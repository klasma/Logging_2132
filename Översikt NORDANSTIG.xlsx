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57296-2025</t>
        </is>
      </c>
      <c r="B2" s="1" t="n">
        <v>45979</v>
      </c>
      <c r="C2" s="1" t="n">
        <v>46199</v>
      </c>
      <c r="D2" t="inlineStr">
        <is>
          <t>GÄVLEBORGS LÄN</t>
        </is>
      </c>
      <c r="E2" t="inlineStr">
        <is>
          <t>NORDANSTIG</t>
        </is>
      </c>
      <c r="G2" t="n">
        <v>5.4</v>
      </c>
      <c r="H2" t="n">
        <v>8</v>
      </c>
      <c r="I2" t="n">
        <v>2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Garnlav
Knärot
Raggbock
Enkelbeckasin
Lunglav
Skogshare
Sparvuggla
Tallticka
Talltita
Tretåig hackspett
Bårdlav
Vedticka
Spillkråka
Timmerticka
Tjäder
Orre</t>
        </is>
      </c>
      <c r="S2">
        <f>HYPERLINK("https://klasma.github.io/Logging_2132/artfynd/A 57296-2025 artfynd.xlsx", "A 57296-2025")</f>
        <v/>
      </c>
      <c r="T2">
        <f>HYPERLINK("https://klasma.github.io/Logging_2132/kartor/A 57296-2025 karta.png", "A 57296-2025")</f>
        <v/>
      </c>
      <c r="U2">
        <f>HYPERLINK("https://klasma.github.io/Logging_2132/knärot/A 57296-2025 karta knärot.png", "A 57296-2025")</f>
        <v/>
      </c>
      <c r="V2">
        <f>HYPERLINK("https://klasma.github.io/Logging_2132/klagomål/A 57296-2025 FSC-klagomål.docx", "A 57296-2025")</f>
        <v/>
      </c>
      <c r="W2">
        <f>HYPERLINK("https://klasma.github.io/Logging_2132/klagomålsmail/A 57296-2025 FSC-klagomål mail.docx", "A 57296-2025")</f>
        <v/>
      </c>
      <c r="X2">
        <f>HYPERLINK("https://klasma.github.io/Logging_2132/tillsyn/A 57296-2025 tillsynsbegäran.docx", "A 57296-2025")</f>
        <v/>
      </c>
      <c r="Y2">
        <f>HYPERLINK("https://klasma.github.io/Logging_2132/tillsynsmail/A 57296-2025 tillsynsbegäran mail.docx", "A 57296-2025")</f>
        <v/>
      </c>
      <c r="Z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46199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46199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46199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63804-2025</t>
        </is>
      </c>
      <c r="B8" s="1" t="n">
        <v>46019</v>
      </c>
      <c r="C8" s="1" t="n">
        <v>46199</v>
      </c>
      <c r="D8" t="inlineStr">
        <is>
          <t>GÄVLEBORGS LÄN</t>
        </is>
      </c>
      <c r="E8" t="inlineStr">
        <is>
          <t>NORDANSTIG</t>
        </is>
      </c>
      <c r="G8" t="n">
        <v>31.4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Tallkötticka
Talltita
Älg
Spillkråka
Kråka
Kungsfågel</t>
        </is>
      </c>
      <c r="S8">
        <f>HYPERLINK("https://klasma.github.io/Logging_2132/artfynd/A 63804-2025 artfynd.xlsx", "A 63804-2025")</f>
        <v/>
      </c>
      <c r="T8">
        <f>HYPERLINK("https://klasma.github.io/Logging_2132/kartor/A 63804-2025 karta.png", "A 63804-2025")</f>
        <v/>
      </c>
      <c r="V8">
        <f>HYPERLINK("https://klasma.github.io/Logging_2132/klagomål/A 63804-2025 FSC-klagomål.docx", "A 63804-2025")</f>
        <v/>
      </c>
      <c r="W8">
        <f>HYPERLINK("https://klasma.github.io/Logging_2132/klagomålsmail/A 63804-2025 FSC-klagomål mail.docx", "A 63804-2025")</f>
        <v/>
      </c>
      <c r="X8">
        <f>HYPERLINK("https://klasma.github.io/Logging_2132/tillsyn/A 63804-2025 tillsynsbegäran.docx", "A 63804-2025")</f>
        <v/>
      </c>
      <c r="Y8">
        <f>HYPERLINK("https://klasma.github.io/Logging_2132/tillsynsmail/A 63804-2025 tillsynsbegäran mail.docx", "A 63804-2025")</f>
        <v/>
      </c>
      <c r="Z8">
        <f>HYPERLINK("https://klasma.github.io/Logging_2132/fåglar/A 63804-2025 prioriterade fågelarter.docx", "A 63804-2025")</f>
        <v/>
      </c>
    </row>
    <row r="9" ht="15" customHeight="1">
      <c r="A9" t="inlineStr">
        <is>
          <t>A 31224-2022</t>
        </is>
      </c>
      <c r="B9" s="1" t="n">
        <v>44771</v>
      </c>
      <c r="C9" s="1" t="n">
        <v>46199</v>
      </c>
      <c r="D9" t="inlineStr">
        <is>
          <t>GÄVLEBORGS LÄN</t>
        </is>
      </c>
      <c r="E9" t="inlineStr">
        <is>
          <t>NORDANSTIG</t>
        </is>
      </c>
      <c r="G9" t="n">
        <v>1.2</v>
      </c>
      <c r="H9" t="n">
        <v>1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6</v>
      </c>
      <c r="R9" s="2" t="inlineStr">
        <is>
          <t>Bitter taggsvamp
Knärot
Lammticka
Orange taggsvamp
Tallfingersvamp
Talltaggsvamp</t>
        </is>
      </c>
      <c r="S9">
        <f>HYPERLINK("https://klasma.github.io/Logging_2132/artfynd/A 31224-2022 artfynd.xlsx", "A 31224-2022")</f>
        <v/>
      </c>
      <c r="T9">
        <f>HYPERLINK("https://klasma.github.io/Logging_2132/kartor/A 31224-2022 karta.png", "A 31224-2022")</f>
        <v/>
      </c>
      <c r="U9">
        <f>HYPERLINK("https://klasma.github.io/Logging_2132/knärot/A 31224-2022 karta knärot.png", "A 31224-2022")</f>
        <v/>
      </c>
      <c r="V9">
        <f>HYPERLINK("https://klasma.github.io/Logging_2132/klagomål/A 31224-2022 FSC-klagomål.docx", "A 31224-2022")</f>
        <v/>
      </c>
      <c r="W9">
        <f>HYPERLINK("https://klasma.github.io/Logging_2132/klagomålsmail/A 31224-2022 FSC-klagomål mail.docx", "A 31224-2022")</f>
        <v/>
      </c>
      <c r="X9">
        <f>HYPERLINK("https://klasma.github.io/Logging_2132/tillsyn/A 31224-2022 tillsynsbegäran.docx", "A 31224-2022")</f>
        <v/>
      </c>
      <c r="Y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46199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46199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46199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Rosenticka
Svartvit taggsvamp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44837-2024</t>
        </is>
      </c>
      <c r="B13" s="1" t="n">
        <v>45574</v>
      </c>
      <c r="C13" s="1" t="n">
        <v>46199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Garnlav
Knärot
Violettgrå tagellav
Luddlav
Blåsippa</t>
        </is>
      </c>
      <c r="S13">
        <f>HYPERLINK("https://klasma.github.io/Logging_2132/artfynd/A 44837-2024 artfynd.xlsx", "A 44837-2024")</f>
        <v/>
      </c>
      <c r="T13">
        <f>HYPERLINK("https://klasma.github.io/Logging_2132/kartor/A 44837-2024 karta.png", "A 44837-2024")</f>
        <v/>
      </c>
      <c r="U13">
        <f>HYPERLINK("https://klasma.github.io/Logging_2132/knärot/A 44837-2024 karta knärot.png", "A 44837-2024")</f>
        <v/>
      </c>
      <c r="V13">
        <f>HYPERLINK("https://klasma.github.io/Logging_2132/klagomål/A 44837-2024 FSC-klagomål.docx", "A 44837-2024")</f>
        <v/>
      </c>
      <c r="W13">
        <f>HYPERLINK("https://klasma.github.io/Logging_2132/klagomålsmail/A 44837-2024 FSC-klagomål mail.docx", "A 44837-2024")</f>
        <v/>
      </c>
      <c r="X13">
        <f>HYPERLINK("https://klasma.github.io/Logging_2132/tillsyn/A 44837-2024 tillsynsbegäran.docx", "A 44837-2024")</f>
        <v/>
      </c>
      <c r="Y13">
        <f>HYPERLINK("https://klasma.github.io/Logging_2132/tillsynsmail/A 44837-2024 tillsynsbegäran mail.docx", "A 44837-2024")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46199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46199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57831-2025</t>
        </is>
      </c>
      <c r="B16" s="1" t="n">
        <v>45981</v>
      </c>
      <c r="C16" s="1" t="n">
        <v>46199</v>
      </c>
      <c r="D16" t="inlineStr">
        <is>
          <t>GÄVLEBORGS LÄN</t>
        </is>
      </c>
      <c r="E16" t="inlineStr">
        <is>
          <t>NORDANSTIG</t>
        </is>
      </c>
      <c r="G16" t="n">
        <v>3.3</v>
      </c>
      <c r="H16" t="n">
        <v>4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Plattlummer
Mattlummer
Fläcknycklar
Revlummer</t>
        </is>
      </c>
      <c r="S16">
        <f>HYPERLINK("https://klasma.github.io/Logging_2132/artfynd/A 57831-2025 artfynd.xlsx", "A 57831-2025")</f>
        <v/>
      </c>
      <c r="T16">
        <f>HYPERLINK("https://klasma.github.io/Logging_2132/kartor/A 57831-2025 karta.png", "A 57831-2025")</f>
        <v/>
      </c>
      <c r="V16">
        <f>HYPERLINK("https://klasma.github.io/Logging_2132/klagomål/A 57831-2025 FSC-klagomål.docx", "A 57831-2025")</f>
        <v/>
      </c>
      <c r="W16">
        <f>HYPERLINK("https://klasma.github.io/Logging_2132/klagomålsmail/A 57831-2025 FSC-klagomål mail.docx", "A 57831-2025")</f>
        <v/>
      </c>
      <c r="X16">
        <f>HYPERLINK("https://klasma.github.io/Logging_2132/tillsyn/A 57831-2025 tillsynsbegäran.docx", "A 57831-2025")</f>
        <v/>
      </c>
      <c r="Y16">
        <f>HYPERLINK("https://klasma.github.io/Logging_2132/tillsynsmail/A 57831-2025 tillsynsbegäran mail.docx", "A 57831-2025")</f>
        <v/>
      </c>
    </row>
    <row r="17" ht="15" customHeight="1">
      <c r="A17" t="inlineStr">
        <is>
          <t>A 51489-2025</t>
        </is>
      </c>
      <c r="B17" s="1" t="n">
        <v>45950</v>
      </c>
      <c r="C17" s="1" t="n">
        <v>46199</v>
      </c>
      <c r="D17" t="inlineStr">
        <is>
          <t>GÄVLEBORGS LÄN</t>
        </is>
      </c>
      <c r="E17" t="inlineStr">
        <is>
          <t>NORDANSTIG</t>
        </is>
      </c>
      <c r="G17" t="n">
        <v>8.5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Brunklöver
Slåtterfibbla
Tibast
Revlummer</t>
        </is>
      </c>
      <c r="S17">
        <f>HYPERLINK("https://klasma.github.io/Logging_2132/artfynd/A 51489-2025 artfynd.xlsx", "A 51489-2025")</f>
        <v/>
      </c>
      <c r="T17">
        <f>HYPERLINK("https://klasma.github.io/Logging_2132/kartor/A 51489-2025 karta.png", "A 51489-2025")</f>
        <v/>
      </c>
      <c r="V17">
        <f>HYPERLINK("https://klasma.github.io/Logging_2132/klagomål/A 51489-2025 FSC-klagomål.docx", "A 51489-2025")</f>
        <v/>
      </c>
      <c r="W17">
        <f>HYPERLINK("https://klasma.github.io/Logging_2132/klagomålsmail/A 51489-2025 FSC-klagomål mail.docx", "A 51489-2025")</f>
        <v/>
      </c>
      <c r="X17">
        <f>HYPERLINK("https://klasma.github.io/Logging_2132/tillsyn/A 51489-2025 tillsynsbegäran.docx", "A 51489-2025")</f>
        <v/>
      </c>
      <c r="Y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s="1" t="n">
        <v>46073</v>
      </c>
      <c r="C18" s="1" t="n">
        <v>46199</v>
      </c>
      <c r="D18" t="inlineStr">
        <is>
          <t>GÄVLEBORGS LÄN</t>
        </is>
      </c>
      <c r="E18" t="inlineStr">
        <is>
          <t>NORDANSTIG</t>
        </is>
      </c>
      <c r="G18" t="n">
        <v>17.9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Lunglav
Skinnlav
Zontaggsvamp
Blåsippa</t>
        </is>
      </c>
      <c r="S18">
        <f>HYPERLINK("https://klasma.github.io/Logging_2132/artfynd/A 9973-2026 artfynd.xlsx", "A 9973-2026")</f>
        <v/>
      </c>
      <c r="T18">
        <f>HYPERLINK("https://klasma.github.io/Logging_2132/kartor/A 9973-2026 karta.png", "A 9973-2026")</f>
        <v/>
      </c>
      <c r="V18">
        <f>HYPERLINK("https://klasma.github.io/Logging_2132/klagomål/A 9973-2026 FSC-klagomål.docx", "A 9973-2026")</f>
        <v/>
      </c>
      <c r="W18">
        <f>HYPERLINK("https://klasma.github.io/Logging_2132/klagomålsmail/A 9973-2026 FSC-klagomål mail.docx", "A 9973-2026")</f>
        <v/>
      </c>
      <c r="X18">
        <f>HYPERLINK("https://klasma.github.io/Logging_2132/tillsyn/A 9973-2026 tillsynsbegäran.docx", "A 9973-2026")</f>
        <v/>
      </c>
      <c r="Y18">
        <f>HYPERLINK("https://klasma.github.io/Logging_2132/tillsynsmail/A 9973-2026 tillsynsbegäran mail.docx", "A 9973-2026")</f>
        <v/>
      </c>
    </row>
    <row r="19" ht="15" customHeight="1">
      <c r="A19" t="inlineStr">
        <is>
          <t>A 13025-2025</t>
        </is>
      </c>
      <c r="B19" s="1" t="n">
        <v>45734</v>
      </c>
      <c r="C19" s="1" t="n">
        <v>46199</v>
      </c>
      <c r="D19" t="inlineStr">
        <is>
          <t>GÄVLEBORGS LÄN</t>
        </is>
      </c>
      <c r="E19" t="inlineStr">
        <is>
          <t>NORDANSTIG</t>
        </is>
      </c>
      <c r="G19" t="n">
        <v>9.699999999999999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Älg
Spillkråka
Kråka
Kungsfågel</t>
        </is>
      </c>
      <c r="S19">
        <f>HYPERLINK("https://klasma.github.io/Logging_2132/artfynd/A 13025-2025 artfynd.xlsx", "A 13025-2025")</f>
        <v/>
      </c>
      <c r="T19">
        <f>HYPERLINK("https://klasma.github.io/Logging_2132/kartor/A 13025-2025 karta.png", "A 13025-2025")</f>
        <v/>
      </c>
      <c r="V19">
        <f>HYPERLINK("https://klasma.github.io/Logging_2132/klagomål/A 13025-2025 FSC-klagomål.docx", "A 13025-2025")</f>
        <v/>
      </c>
      <c r="W19">
        <f>HYPERLINK("https://klasma.github.io/Logging_2132/klagomålsmail/A 13025-2025 FSC-klagomål mail.docx", "A 13025-2025")</f>
        <v/>
      </c>
      <c r="X19">
        <f>HYPERLINK("https://klasma.github.io/Logging_2132/tillsyn/A 13025-2025 tillsynsbegäran.docx", "A 13025-2025")</f>
        <v/>
      </c>
      <c r="Y19">
        <f>HYPERLINK("https://klasma.github.io/Logging_2132/tillsynsmail/A 13025-2025 tillsynsbegäran mail.docx", "A 13025-2025")</f>
        <v/>
      </c>
      <c r="Z19">
        <f>HYPERLINK("https://klasma.github.io/Logging_2132/fåglar/A 13025-2025 prioriterade fågelarter.docx", "A 13025-2025")</f>
        <v/>
      </c>
    </row>
    <row r="20" ht="15" customHeight="1">
      <c r="A20" t="inlineStr">
        <is>
          <t>A 6798-2026</t>
        </is>
      </c>
      <c r="B20" s="1" t="n">
        <v>46057</v>
      </c>
      <c r="C20" s="1" t="n">
        <v>46199</v>
      </c>
      <c r="D20" t="inlineStr">
        <is>
          <t>GÄVLEBORGS LÄN</t>
        </is>
      </c>
      <c r="E20" t="inlineStr">
        <is>
          <t>NORDANSTIG</t>
        </is>
      </c>
      <c r="G20" t="n">
        <v>5.6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Ögonpyrola
Blåsippa
Spillkråka</t>
        </is>
      </c>
      <c r="S20">
        <f>HYPERLINK("https://klasma.github.io/Logging_2132/artfynd/A 6798-2026 artfynd.xlsx", "A 6798-2026")</f>
        <v/>
      </c>
      <c r="T20">
        <f>HYPERLINK("https://klasma.github.io/Logging_2132/kartor/A 6798-2026 karta.png", "A 6798-2026")</f>
        <v/>
      </c>
      <c r="U20">
        <f>HYPERLINK("https://klasma.github.io/Logging_2132/knärot/A 6798-2026 karta knärot.png", "A 6798-2026")</f>
        <v/>
      </c>
      <c r="V20">
        <f>HYPERLINK("https://klasma.github.io/Logging_2132/klagomål/A 6798-2026 FSC-klagomål.docx", "A 6798-2026")</f>
        <v/>
      </c>
      <c r="W20">
        <f>HYPERLINK("https://klasma.github.io/Logging_2132/klagomålsmail/A 6798-2026 FSC-klagomål mail.docx", "A 6798-2026")</f>
        <v/>
      </c>
      <c r="X20">
        <f>HYPERLINK("https://klasma.github.io/Logging_2132/tillsyn/A 6798-2026 tillsynsbegäran.docx", "A 6798-2026")</f>
        <v/>
      </c>
      <c r="Y20">
        <f>HYPERLINK("https://klasma.github.io/Logging_2132/tillsynsmail/A 6798-2026 tillsynsbegäran mail.docx", "A 6798-2026")</f>
        <v/>
      </c>
      <c r="Z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s="1" t="n">
        <v>45595</v>
      </c>
      <c r="C21" s="1" t="n">
        <v>46199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Goliatmusseron
Skrovlig taggsvamp
Dropptaggsvamp
Skarp dropptaggsvamp</t>
        </is>
      </c>
      <c r="S21">
        <f>HYPERLINK("https://klasma.github.io/Logging_2132/artfynd/A 49419-2024 artfynd.xlsx", "A 49419-2024")</f>
        <v/>
      </c>
      <c r="T21">
        <f>HYPERLINK("https://klasma.github.io/Logging_2132/kartor/A 49419-2024 karta.png", "A 49419-2024")</f>
        <v/>
      </c>
      <c r="V21">
        <f>HYPERLINK("https://klasma.github.io/Logging_2132/klagomål/A 49419-2024 FSC-klagomål.docx", "A 49419-2024")</f>
        <v/>
      </c>
      <c r="W21">
        <f>HYPERLINK("https://klasma.github.io/Logging_2132/klagomålsmail/A 49419-2024 FSC-klagomål mail.docx", "A 49419-2024")</f>
        <v/>
      </c>
      <c r="X21">
        <f>HYPERLINK("https://klasma.github.io/Logging_2132/tillsyn/A 49419-2024 tillsynsbegäran.docx", "A 49419-2024")</f>
        <v/>
      </c>
      <c r="Y21">
        <f>HYPERLINK("https://klasma.github.io/Logging_2132/tillsynsmail/A 49419-2024 tillsynsbegäran mail.docx", "A 49419-2024")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46199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Garnlav
Ringlav
Lunglav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51227-2023</t>
        </is>
      </c>
      <c r="B23" s="1" t="n">
        <v>45219</v>
      </c>
      <c r="C23" s="1" t="n">
        <v>46199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Kattfotslav
Violettgrå tagellav
Granbarkgnagare
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46199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46199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Järpe
Tjäder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38050-2024</t>
        </is>
      </c>
      <c r="B26" s="1" t="n">
        <v>45544</v>
      </c>
      <c r="C26" s="1" t="n">
        <v>46199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3.1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Tallticka
Plattlummer</t>
        </is>
      </c>
      <c r="S26">
        <f>HYPERLINK("https://klasma.github.io/Logging_2132/artfynd/A 38050-2024 artfynd.xlsx", "A 38050-2024")</f>
        <v/>
      </c>
      <c r="T26">
        <f>HYPERLINK("https://klasma.github.io/Logging_2132/kartor/A 38050-2024 karta.png", "A 38050-2024")</f>
        <v/>
      </c>
      <c r="U26">
        <f>HYPERLINK("https://klasma.github.io/Logging_2132/knärot/A 38050-2024 karta knärot.png", "A 38050-2024")</f>
        <v/>
      </c>
      <c r="V26">
        <f>HYPERLINK("https://klasma.github.io/Logging_2132/klagomål/A 38050-2024 FSC-klagomål.docx", "A 38050-2024")</f>
        <v/>
      </c>
      <c r="W26">
        <f>HYPERLINK("https://klasma.github.io/Logging_2132/klagomålsmail/A 38050-2024 FSC-klagomål mail.docx", "A 38050-2024")</f>
        <v/>
      </c>
      <c r="X26">
        <f>HYPERLINK("https://klasma.github.io/Logging_2132/tillsyn/A 38050-2024 tillsynsbegäran.docx", "A 38050-2024")</f>
        <v/>
      </c>
      <c r="Y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s="1" t="n">
        <v>44972</v>
      </c>
      <c r="C27" s="1" t="n">
        <v>46199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Sädesärla
Tallticka
Mindre märgborre</t>
        </is>
      </c>
      <c r="S27">
        <f>HYPERLINK("https://klasma.github.io/Logging_2132/artfynd/A 7608-2023 artfynd.xlsx", "A 7608-2023")</f>
        <v/>
      </c>
      <c r="T27">
        <f>HYPERLINK("https://klasma.github.io/Logging_2132/kartor/A 7608-2023 karta.png", "A 7608-2023")</f>
        <v/>
      </c>
      <c r="V27">
        <f>HYPERLINK("https://klasma.github.io/Logging_2132/klagomål/A 7608-2023 FSC-klagomål.docx", "A 7608-2023")</f>
        <v/>
      </c>
      <c r="W27">
        <f>HYPERLINK("https://klasma.github.io/Logging_2132/klagomålsmail/A 7608-2023 FSC-klagomål mail.docx", "A 7608-2023")</f>
        <v/>
      </c>
      <c r="X27">
        <f>HYPERLINK("https://klasma.github.io/Logging_2132/tillsyn/A 7608-2023 tillsynsbegäran.docx", "A 7608-2023")</f>
        <v/>
      </c>
      <c r="Y27">
        <f>HYPERLINK("https://klasma.github.io/Logging_2132/tillsynsmail/A 7608-2023 tillsynsbegäran mail.docx", "A 7608-2023")</f>
        <v/>
      </c>
      <c r="Z27">
        <f>HYPERLINK("https://klasma.github.io/Logging_2132/fåglar/A 7608-2023 prioriterade fågelarter.docx", "A 7608-2023")</f>
        <v/>
      </c>
    </row>
    <row r="28" ht="15" customHeight="1">
      <c r="A28" t="inlineStr">
        <is>
          <t>A 21921-2025</t>
        </is>
      </c>
      <c r="B28" s="1" t="n">
        <v>45784</v>
      </c>
      <c r="C28" s="1" t="n">
        <v>46199</v>
      </c>
      <c r="D28" t="inlineStr">
        <is>
          <t>GÄVLEBORGS LÄN</t>
        </is>
      </c>
      <c r="E28" t="inlineStr">
        <is>
          <t>NORDANSTIG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Stubbspretmossa
Brudborste
Kransmossa</t>
        </is>
      </c>
      <c r="S28">
        <f>HYPERLINK("https://klasma.github.io/Logging_2132/artfynd/A 21921-2025 artfynd.xlsx", "A 21921-2025")</f>
        <v/>
      </c>
      <c r="T28">
        <f>HYPERLINK("https://klasma.github.io/Logging_2132/kartor/A 21921-2025 karta.png", "A 21921-2025")</f>
        <v/>
      </c>
      <c r="V28">
        <f>HYPERLINK("https://klasma.github.io/Logging_2132/klagomål/A 21921-2025 FSC-klagomål.docx", "A 21921-2025")</f>
        <v/>
      </c>
      <c r="W28">
        <f>HYPERLINK("https://klasma.github.io/Logging_2132/klagomålsmail/A 21921-2025 FSC-klagomål mail.docx", "A 21921-2025")</f>
        <v/>
      </c>
      <c r="X28">
        <f>HYPERLINK("https://klasma.github.io/Logging_2132/tillsyn/A 21921-2025 tillsynsbegäran.docx", "A 21921-2025")</f>
        <v/>
      </c>
      <c r="Y28">
        <f>HYPERLINK("https://klasma.github.io/Logging_2132/tillsynsmail/A 21921-2025 tillsynsbegäran mail.docx", "A 21921-2025")</f>
        <v/>
      </c>
    </row>
    <row r="29" ht="15" customHeight="1">
      <c r="A29" t="inlineStr">
        <is>
          <t>A 321-2024</t>
        </is>
      </c>
      <c r="B29" s="1" t="n">
        <v>45295</v>
      </c>
      <c r="C29" s="1" t="n">
        <v>46199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Tvåblad</t>
        </is>
      </c>
      <c r="S29">
        <f>HYPERLINK("https://klasma.github.io/Logging_2132/artfynd/A 321-2024 artfynd.xlsx", "A 321-2024")</f>
        <v/>
      </c>
      <c r="T29">
        <f>HYPERLINK("https://klasma.github.io/Logging_2132/kartor/A 321-2024 karta.png", "A 321-2024")</f>
        <v/>
      </c>
      <c r="V29">
        <f>HYPERLINK("https://klasma.github.io/Logging_2132/klagomål/A 321-2024 FSC-klagomål.docx", "A 321-2024")</f>
        <v/>
      </c>
      <c r="W29">
        <f>HYPERLINK("https://klasma.github.io/Logging_2132/klagomålsmail/A 321-2024 FSC-klagomål mail.docx", "A 321-2024")</f>
        <v/>
      </c>
      <c r="X29">
        <f>HYPERLINK("https://klasma.github.io/Logging_2132/tillsyn/A 321-2024 tillsynsbegäran.docx", "A 321-2024")</f>
        <v/>
      </c>
      <c r="Y29">
        <f>HYPERLINK("https://klasma.github.io/Logging_2132/tillsynsmail/A 321-2024 tillsynsbegäran mail.docx", "A 321-2024")</f>
        <v/>
      </c>
    </row>
    <row r="30" ht="15" customHeight="1">
      <c r="A30" t="inlineStr">
        <is>
          <t>A 60231-2025</t>
        </is>
      </c>
      <c r="B30" s="1" t="n">
        <v>45994</v>
      </c>
      <c r="C30" s="1" t="n">
        <v>46199</v>
      </c>
      <c r="D30" t="inlineStr">
        <is>
          <t>GÄVLEBORGS LÄN</t>
        </is>
      </c>
      <c r="E30" t="inlineStr">
        <is>
          <t>NORDANSTIG</t>
        </is>
      </c>
      <c r="G30" t="n">
        <v>5.2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HYPERLINK("https://klasma.github.io/Logging_2132/artfynd/A 60231-2025 artfynd.xlsx", "A 60231-2025")</f>
        <v/>
      </c>
      <c r="T30">
        <f>HYPERLINK("https://klasma.github.io/Logging_2132/kartor/A 60231-2025 karta.png", "A 60231-2025")</f>
        <v/>
      </c>
      <c r="V30">
        <f>HYPERLINK("https://klasma.github.io/Logging_2132/klagomål/A 60231-2025 FSC-klagomål.docx", "A 60231-2025")</f>
        <v/>
      </c>
      <c r="W30">
        <f>HYPERLINK("https://klasma.github.io/Logging_2132/klagomålsmail/A 60231-2025 FSC-klagomål mail.docx", "A 60231-2025")</f>
        <v/>
      </c>
      <c r="X30">
        <f>HYPERLINK("https://klasma.github.io/Logging_2132/tillsyn/A 60231-2025 tillsynsbegäran.docx", "A 60231-2025")</f>
        <v/>
      </c>
      <c r="Y30">
        <f>HYPERLINK("https://klasma.github.io/Logging_2132/tillsynsmail/A 60231-2025 tillsynsbegäran mail.docx", "A 60231-2025")</f>
        <v/>
      </c>
    </row>
    <row r="31" ht="15" customHeight="1">
      <c r="A31" t="inlineStr">
        <is>
          <t>A 62767-2022</t>
        </is>
      </c>
      <c r="B31" s="1" t="n">
        <v>44884</v>
      </c>
      <c r="C31" s="1" t="n">
        <v>46199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13.3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Törnskata</t>
        </is>
      </c>
      <c r="S31">
        <f>HYPERLINK("https://klasma.github.io/Logging_2132/artfynd/A 62767-2022 artfynd.xlsx", "A 62767-2022")</f>
        <v/>
      </c>
      <c r="T31">
        <f>HYPERLINK("https://klasma.github.io/Logging_2132/kartor/A 62767-2022 karta.png", "A 62767-2022")</f>
        <v/>
      </c>
      <c r="V31">
        <f>HYPERLINK("https://klasma.github.io/Logging_2132/klagomål/A 62767-2022 FSC-klagomål.docx", "A 62767-2022")</f>
        <v/>
      </c>
      <c r="W31">
        <f>HYPERLINK("https://klasma.github.io/Logging_2132/klagomålsmail/A 62767-2022 FSC-klagomål mail.docx", "A 62767-2022")</f>
        <v/>
      </c>
      <c r="X31">
        <f>HYPERLINK("https://klasma.github.io/Logging_2132/tillsyn/A 62767-2022 tillsynsbegäran.docx", "A 62767-2022")</f>
        <v/>
      </c>
      <c r="Y31">
        <f>HYPERLINK("https://klasma.github.io/Logging_2132/tillsynsmail/A 62767-2022 tillsynsbegäran mail.docx", "A 62767-2022")</f>
        <v/>
      </c>
      <c r="Z31">
        <f>HYPERLINK("https://klasma.github.io/Logging_2132/fåglar/A 62767-2022 prioriterade fågelarter.docx", "A 62767-2022")</f>
        <v/>
      </c>
    </row>
    <row r="32" ht="15" customHeight="1">
      <c r="A32" t="inlineStr">
        <is>
          <t>A 1708-2026</t>
        </is>
      </c>
      <c r="B32" s="1" t="n">
        <v>46034</v>
      </c>
      <c r="C32" s="1" t="n">
        <v>46199</v>
      </c>
      <c r="D32" t="inlineStr">
        <is>
          <t>GÄVLEBORGS LÄN</t>
        </is>
      </c>
      <c r="E32" t="inlineStr">
        <is>
          <t>NORDANSTIG</t>
        </is>
      </c>
      <c r="G32" t="n">
        <v>8.699999999999999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Tjäder
Fläcknycklar</t>
        </is>
      </c>
      <c r="S32">
        <f>HYPERLINK("https://klasma.github.io/Logging_2132/artfynd/A 1708-2026 artfynd.xlsx", "A 1708-2026")</f>
        <v/>
      </c>
      <c r="T32">
        <f>HYPERLINK("https://klasma.github.io/Logging_2132/kartor/A 1708-2026 karta.png", "A 1708-2026")</f>
        <v/>
      </c>
      <c r="V32">
        <f>HYPERLINK("https://klasma.github.io/Logging_2132/klagomål/A 1708-2026 FSC-klagomål.docx", "A 1708-2026")</f>
        <v/>
      </c>
      <c r="W32">
        <f>HYPERLINK("https://klasma.github.io/Logging_2132/klagomålsmail/A 1708-2026 FSC-klagomål mail.docx", "A 1708-2026")</f>
        <v/>
      </c>
      <c r="X32">
        <f>HYPERLINK("https://klasma.github.io/Logging_2132/tillsyn/A 1708-2026 tillsynsbegäran.docx", "A 1708-2026")</f>
        <v/>
      </c>
      <c r="Y32">
        <f>HYPERLINK("https://klasma.github.io/Logging_2132/tillsynsmail/A 1708-2026 tillsynsbegäran mail.docx", "A 1708-2026")</f>
        <v/>
      </c>
      <c r="Z32">
        <f>HYPERLINK("https://klasma.github.io/Logging_2132/fåglar/A 1708-2026 prioriterade fågelarter.docx", "A 1708-2026")</f>
        <v/>
      </c>
    </row>
    <row r="33" ht="15" customHeight="1">
      <c r="A33" t="inlineStr">
        <is>
          <t>A 3781-2026</t>
        </is>
      </c>
      <c r="B33" s="1" t="n">
        <v>46043</v>
      </c>
      <c r="C33" s="1" t="n">
        <v>46199</v>
      </c>
      <c r="D33" t="inlineStr">
        <is>
          <t>GÄVLEBORGS LÄN</t>
        </is>
      </c>
      <c r="E33" t="inlineStr">
        <is>
          <t>NORDANSTIG</t>
        </is>
      </c>
      <c r="G33" t="n">
        <v>31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Garnlav
Fläcknycklar</t>
        </is>
      </c>
      <c r="S33">
        <f>HYPERLINK("https://klasma.github.io/Logging_2132/artfynd/A 3781-2026 artfynd.xlsx", "A 3781-2026")</f>
        <v/>
      </c>
      <c r="T33">
        <f>HYPERLINK("https://klasma.github.io/Logging_2132/kartor/A 3781-2026 karta.png", "A 3781-2026")</f>
        <v/>
      </c>
      <c r="V33">
        <f>HYPERLINK("https://klasma.github.io/Logging_2132/klagomål/A 3781-2026 FSC-klagomål.docx", "A 3781-2026")</f>
        <v/>
      </c>
      <c r="W33">
        <f>HYPERLINK("https://klasma.github.io/Logging_2132/klagomålsmail/A 3781-2026 FSC-klagomål mail.docx", "A 3781-2026")</f>
        <v/>
      </c>
      <c r="X33">
        <f>HYPERLINK("https://klasma.github.io/Logging_2132/tillsyn/A 3781-2026 tillsynsbegäran.docx", "A 3781-2026")</f>
        <v/>
      </c>
      <c r="Y33">
        <f>HYPERLINK("https://klasma.github.io/Logging_2132/tillsynsmail/A 3781-2026 tillsynsbegäran mail.docx", "A 3781-2026")</f>
        <v/>
      </c>
    </row>
    <row r="34" ht="15" customHeight="1">
      <c r="A34" t="inlineStr">
        <is>
          <t>A 3760-2026</t>
        </is>
      </c>
      <c r="B34" s="1" t="n">
        <v>46043</v>
      </c>
      <c r="C34" s="1" t="n">
        <v>46199</v>
      </c>
      <c r="D34" t="inlineStr">
        <is>
          <t>GÄVLEBORGS LÄN</t>
        </is>
      </c>
      <c r="E34" t="inlineStr">
        <is>
          <t>NORDANSTIG</t>
        </is>
      </c>
      <c r="G34" t="n">
        <v>3.4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3760-2026 artfynd.xlsx", "A 3760-2026")</f>
        <v/>
      </c>
      <c r="T34">
        <f>HYPERLINK("https://klasma.github.io/Logging_2132/kartor/A 3760-2026 karta.png", "A 3760-2026")</f>
        <v/>
      </c>
      <c r="V34">
        <f>HYPERLINK("https://klasma.github.io/Logging_2132/klagomål/A 3760-2026 FSC-klagomål.docx", "A 3760-2026")</f>
        <v/>
      </c>
      <c r="W34">
        <f>HYPERLINK("https://klasma.github.io/Logging_2132/klagomålsmail/A 3760-2026 FSC-klagomål mail.docx", "A 3760-2026")</f>
        <v/>
      </c>
      <c r="X34">
        <f>HYPERLINK("https://klasma.github.io/Logging_2132/tillsyn/A 3760-2026 tillsynsbegäran.docx", "A 3760-2026")</f>
        <v/>
      </c>
      <c r="Y34">
        <f>HYPERLINK("https://klasma.github.io/Logging_2132/tillsynsmail/A 3760-2026 tillsynsbegäran mail.docx", "A 3760-2026")</f>
        <v/>
      </c>
    </row>
    <row r="35" ht="15" customHeight="1">
      <c r="A35" t="inlineStr">
        <is>
          <t>A 18926-2022</t>
        </is>
      </c>
      <c r="B35" s="1" t="n">
        <v>44690</v>
      </c>
      <c r="C35" s="1" t="n">
        <v>46199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Trana</t>
        </is>
      </c>
      <c r="S35">
        <f>HYPERLINK("https://klasma.github.io/Logging_2132/artfynd/A 18926-2022 artfynd.xlsx", "A 18926-2022")</f>
        <v/>
      </c>
      <c r="T35">
        <f>HYPERLINK("https://klasma.github.io/Logging_2132/kartor/A 18926-2022 karta.png", "A 18926-2022")</f>
        <v/>
      </c>
      <c r="V35">
        <f>HYPERLINK("https://klasma.github.io/Logging_2132/klagomål/A 18926-2022 FSC-klagomål.docx", "A 18926-2022")</f>
        <v/>
      </c>
      <c r="W35">
        <f>HYPERLINK("https://klasma.github.io/Logging_2132/klagomålsmail/A 18926-2022 FSC-klagomål mail.docx", "A 18926-2022")</f>
        <v/>
      </c>
      <c r="X35">
        <f>HYPERLINK("https://klasma.github.io/Logging_2132/tillsyn/A 18926-2022 tillsynsbegäran.docx", "A 18926-2022")</f>
        <v/>
      </c>
      <c r="Y35">
        <f>HYPERLINK("https://klasma.github.io/Logging_2132/tillsynsmail/A 18926-2022 tillsynsbegäran mail.docx", "A 18926-2022")</f>
        <v/>
      </c>
      <c r="Z35">
        <f>HYPERLINK("https://klasma.github.io/Logging_2132/fåglar/A 18926-2022 prioriterade fågelarter.docx", "A 18926-2022")</f>
        <v/>
      </c>
    </row>
    <row r="36" ht="15" customHeight="1">
      <c r="A36" t="inlineStr">
        <is>
          <t>A 9202-2026</t>
        </is>
      </c>
      <c r="B36" s="1" t="n">
        <v>46070</v>
      </c>
      <c r="C36" s="1" t="n">
        <v>46199</v>
      </c>
      <c r="D36" t="inlineStr">
        <is>
          <t>GÄVLEBORGS LÄN</t>
        </is>
      </c>
      <c r="E36" t="inlineStr">
        <is>
          <t>NORDANSTIG</t>
        </is>
      </c>
      <c r="G36" t="n">
        <v>41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Vitfläckig guldvinge
Barkticka</t>
        </is>
      </c>
      <c r="S36">
        <f>HYPERLINK("https://klasma.github.io/Logging_2132/artfynd/A 9202-2026 artfynd.xlsx", "A 9202-2026")</f>
        <v/>
      </c>
      <c r="T36">
        <f>HYPERLINK("https://klasma.github.io/Logging_2132/kartor/A 9202-2026 karta.png", "A 9202-2026")</f>
        <v/>
      </c>
      <c r="V36">
        <f>HYPERLINK("https://klasma.github.io/Logging_2132/klagomål/A 9202-2026 FSC-klagomål.docx", "A 9202-2026")</f>
        <v/>
      </c>
      <c r="W36">
        <f>HYPERLINK("https://klasma.github.io/Logging_2132/klagomålsmail/A 9202-2026 FSC-klagomål mail.docx", "A 9202-2026")</f>
        <v/>
      </c>
      <c r="X36">
        <f>HYPERLINK("https://klasma.github.io/Logging_2132/tillsyn/A 9202-2026 tillsynsbegäran.docx", "A 9202-2026")</f>
        <v/>
      </c>
      <c r="Y36">
        <f>HYPERLINK("https://klasma.github.io/Logging_2132/tillsynsmail/A 9202-2026 tillsynsbegäran mail.docx", "A 9202-2026")</f>
        <v/>
      </c>
    </row>
    <row r="37" ht="15" customHeight="1">
      <c r="A37" t="inlineStr">
        <is>
          <t>A 31066-2024</t>
        </is>
      </c>
      <c r="B37" s="1" t="n">
        <v>45502</v>
      </c>
      <c r="C37" s="1" t="n">
        <v>46199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Smal svampklubba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17006-2026</t>
        </is>
      </c>
      <c r="B38" s="1" t="n">
        <v>46114</v>
      </c>
      <c r="C38" s="1" t="n">
        <v>46199</v>
      </c>
      <c r="D38" t="inlineStr">
        <is>
          <t>GÄVLEBORGS LÄN</t>
        </is>
      </c>
      <c r="E38" t="inlineStr">
        <is>
          <t>NORDANSTIG</t>
        </is>
      </c>
      <c r="G38" t="n">
        <v>3.1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Fläcknycklar</t>
        </is>
      </c>
      <c r="S38">
        <f>HYPERLINK("https://klasma.github.io/Logging_2132/artfynd/A 17006-2026 artfynd.xlsx", "A 17006-2026")</f>
        <v/>
      </c>
      <c r="T38">
        <f>HYPERLINK("https://klasma.github.io/Logging_2132/kartor/A 17006-2026 karta.png", "A 17006-2026")</f>
        <v/>
      </c>
      <c r="V38">
        <f>HYPERLINK("https://klasma.github.io/Logging_2132/klagomål/A 17006-2026 FSC-klagomål.docx", "A 17006-2026")</f>
        <v/>
      </c>
      <c r="W38">
        <f>HYPERLINK("https://klasma.github.io/Logging_2132/klagomålsmail/A 17006-2026 FSC-klagomål mail.docx", "A 17006-2026")</f>
        <v/>
      </c>
      <c r="X38">
        <f>HYPERLINK("https://klasma.github.io/Logging_2132/tillsyn/A 17006-2026 tillsynsbegäran.docx", "A 17006-2026")</f>
        <v/>
      </c>
      <c r="Y38">
        <f>HYPERLINK("https://klasma.github.io/Logging_2132/tillsynsmail/A 17006-2026 tillsynsbegäran mail.docx", "A 17006-2026")</f>
        <v/>
      </c>
      <c r="Z38">
        <f>HYPERLINK("https://klasma.github.io/Logging_2132/fåglar/A 17006-2026 prioriterade fågelarter.docx", "A 17006-2026")</f>
        <v/>
      </c>
    </row>
    <row r="39" ht="15" customHeight="1">
      <c r="A39" t="inlineStr">
        <is>
          <t>A 470-2024</t>
        </is>
      </c>
      <c r="B39" s="1" t="n">
        <v>45297</v>
      </c>
      <c r="C39" s="1" t="n">
        <v>46199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Duvhök
Kungsfågel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46199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Smal svampklubba
Fläcknycklar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4409-2025</t>
        </is>
      </c>
      <c r="B41" s="1" t="n">
        <v>45686</v>
      </c>
      <c r="C41" s="1" t="n">
        <v>46199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Luddlav</t>
        </is>
      </c>
      <c r="S41">
        <f>HYPERLINK("https://klasma.github.io/Logging_2132/artfynd/A 4409-2025 artfynd.xlsx", "A 4409-2025")</f>
        <v/>
      </c>
      <c r="T41">
        <f>HYPERLINK("https://klasma.github.io/Logging_2132/kartor/A 4409-2025 karta.png", "A 4409-2025")</f>
        <v/>
      </c>
      <c r="V41">
        <f>HYPERLINK("https://klasma.github.io/Logging_2132/klagomål/A 4409-2025 FSC-klagomål.docx", "A 4409-2025")</f>
        <v/>
      </c>
      <c r="W41">
        <f>HYPERLINK("https://klasma.github.io/Logging_2132/klagomålsmail/A 4409-2025 FSC-klagomål mail.docx", "A 4409-2025")</f>
        <v/>
      </c>
      <c r="X41">
        <f>HYPERLINK("https://klasma.github.io/Logging_2132/tillsyn/A 4409-2025 tillsynsbegäran.docx", "A 4409-2025")</f>
        <v/>
      </c>
      <c r="Y41">
        <f>HYPERLINK("https://klasma.github.io/Logging_2132/tillsynsmail/A 4409-2025 tillsynsbegäran mail.docx", "A 4409-2025")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46199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46199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46199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46199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46199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23333-2025</t>
        </is>
      </c>
      <c r="B47" s="1" t="n">
        <v>45791</v>
      </c>
      <c r="C47" s="1" t="n">
        <v>46199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HYPERLINK("https://klasma.github.io/Logging_2132/artfynd/A 23333-2025 artfynd.xlsx", "A 23333-2025")</f>
        <v/>
      </c>
      <c r="T47">
        <f>HYPERLINK("https://klasma.github.io/Logging_2132/kartor/A 23333-2025 karta.png", "A 23333-2025")</f>
        <v/>
      </c>
      <c r="V47">
        <f>HYPERLINK("https://klasma.github.io/Logging_2132/klagomål/A 23333-2025 FSC-klagomål.docx", "A 23333-2025")</f>
        <v/>
      </c>
      <c r="W47">
        <f>HYPERLINK("https://klasma.github.io/Logging_2132/klagomålsmail/A 23333-2025 FSC-klagomål mail.docx", "A 23333-2025")</f>
        <v/>
      </c>
      <c r="X47">
        <f>HYPERLINK("https://klasma.github.io/Logging_2132/tillsyn/A 23333-2025 tillsynsbegäran.docx", "A 23333-2025")</f>
        <v/>
      </c>
      <c r="Y47">
        <f>HYPERLINK("https://klasma.github.io/Logging_2132/tillsynsmail/A 23333-2025 tillsynsbegäran mail.docx", "A 23333-2025")</f>
        <v/>
      </c>
      <c r="Z47">
        <f>HYPERLINK("https://klasma.github.io/Logging_2132/fåglar/A 23333-2025 prioriterade fågelarter.docx", "A 23333-2025")</f>
        <v/>
      </c>
    </row>
    <row r="48" ht="15" customHeight="1">
      <c r="A48" t="inlineStr">
        <is>
          <t>A 57186-2025</t>
        </is>
      </c>
      <c r="B48" s="1" t="n">
        <v>45979</v>
      </c>
      <c r="C48" s="1" t="n">
        <v>46199</v>
      </c>
      <c r="D48" t="inlineStr">
        <is>
          <t>GÄVLEBORGS LÄN</t>
        </is>
      </c>
      <c r="E48" t="inlineStr">
        <is>
          <t>NORDANSTIG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Stjärnstarr</t>
        </is>
      </c>
      <c r="S48">
        <f>HYPERLINK("https://klasma.github.io/Logging_2132/artfynd/A 57186-2025 artfynd.xlsx", "A 57186-2025")</f>
        <v/>
      </c>
      <c r="T48">
        <f>HYPERLINK("https://klasma.github.io/Logging_2132/kartor/A 57186-2025 karta.png", "A 57186-2025")</f>
        <v/>
      </c>
      <c r="V48">
        <f>HYPERLINK("https://klasma.github.io/Logging_2132/klagomål/A 57186-2025 FSC-klagomål.docx", "A 57186-2025")</f>
        <v/>
      </c>
      <c r="W48">
        <f>HYPERLINK("https://klasma.github.io/Logging_2132/klagomålsmail/A 57186-2025 FSC-klagomål mail.docx", "A 57186-2025")</f>
        <v/>
      </c>
      <c r="X48">
        <f>HYPERLINK("https://klasma.github.io/Logging_2132/tillsyn/A 57186-2025 tillsynsbegäran.docx", "A 57186-2025")</f>
        <v/>
      </c>
      <c r="Y48">
        <f>HYPERLINK("https://klasma.github.io/Logging_2132/tillsynsmail/A 57186-2025 tillsynsbegäran mail.docx", "A 57186-2025")</f>
        <v/>
      </c>
    </row>
    <row r="49" ht="15" customHeight="1">
      <c r="A49" t="inlineStr">
        <is>
          <t>A 28587-2024</t>
        </is>
      </c>
      <c r="B49" s="1" t="n">
        <v>45478</v>
      </c>
      <c r="C49" s="1" t="n">
        <v>46199</v>
      </c>
      <c r="D49" t="inlineStr">
        <is>
          <t>GÄVLEBORGS LÄN</t>
        </is>
      </c>
      <c r="E49" t="inlineStr">
        <is>
          <t>NORDANSTIG</t>
        </is>
      </c>
      <c r="G49" t="n">
        <v>26.3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28587-2024 artfynd.xlsx", "A 28587-2024")</f>
        <v/>
      </c>
      <c r="T49">
        <f>HYPERLINK("https://klasma.github.io/Logging_2132/kartor/A 28587-2024 karta.png", "A 28587-2024")</f>
        <v/>
      </c>
      <c r="V49">
        <f>HYPERLINK("https://klasma.github.io/Logging_2132/klagomål/A 28587-2024 FSC-klagomål.docx", "A 28587-2024")</f>
        <v/>
      </c>
      <c r="W49">
        <f>HYPERLINK("https://klasma.github.io/Logging_2132/klagomålsmail/A 28587-2024 FSC-klagomål mail.docx", "A 28587-2024")</f>
        <v/>
      </c>
      <c r="X49">
        <f>HYPERLINK("https://klasma.github.io/Logging_2132/tillsyn/A 28587-2024 tillsynsbegäran.docx", "A 28587-2024")</f>
        <v/>
      </c>
      <c r="Y49">
        <f>HYPERLINK("https://klasma.github.io/Logging_2132/tillsynsmail/A 28587-2024 tillsynsbegäran mail.docx", "A 28587-2024")</f>
        <v/>
      </c>
    </row>
    <row r="50" ht="15" customHeight="1">
      <c r="A50" t="inlineStr">
        <is>
          <t>A 24758-2025</t>
        </is>
      </c>
      <c r="B50" s="1" t="n">
        <v>45799</v>
      </c>
      <c r="C50" s="1" t="n">
        <v>46199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23.2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24758-2025 artfynd.xlsx", "A 24758-2025")</f>
        <v/>
      </c>
      <c r="T50">
        <f>HYPERLINK("https://klasma.github.io/Logging_2132/kartor/A 24758-2025 karta.png", "A 24758-2025")</f>
        <v/>
      </c>
      <c r="U50">
        <f>HYPERLINK("https://klasma.github.io/Logging_2132/knärot/A 24758-2025 karta knärot.png", "A 24758-2025")</f>
        <v/>
      </c>
      <c r="V50">
        <f>HYPERLINK("https://klasma.github.io/Logging_2132/klagomål/A 24758-2025 FSC-klagomål.docx", "A 24758-2025")</f>
        <v/>
      </c>
      <c r="W50">
        <f>HYPERLINK("https://klasma.github.io/Logging_2132/klagomålsmail/A 24758-2025 FSC-klagomål mail.docx", "A 24758-2025")</f>
        <v/>
      </c>
      <c r="X50">
        <f>HYPERLINK("https://klasma.github.io/Logging_2132/tillsyn/A 24758-2025 tillsynsbegäran.docx", "A 24758-2025")</f>
        <v/>
      </c>
      <c r="Y50">
        <f>HYPERLINK("https://klasma.github.io/Logging_2132/tillsynsmail/A 24758-2025 tillsynsbegäran mail.docx", "A 24758-2025")</f>
        <v/>
      </c>
    </row>
    <row r="51" ht="15" customHeight="1">
      <c r="A51" t="inlineStr">
        <is>
          <t>A 44032-2023</t>
        </is>
      </c>
      <c r="B51" s="1" t="n">
        <v>45188</v>
      </c>
      <c r="C51" s="1" t="n">
        <v>46199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44032-2023 artfynd.xlsx", "A 44032-2023")</f>
        <v/>
      </c>
      <c r="T51">
        <f>HYPERLINK("https://klasma.github.io/Logging_2132/kartor/A 44032-2023 karta.png", "A 44032-2023")</f>
        <v/>
      </c>
      <c r="V51">
        <f>HYPERLINK("https://klasma.github.io/Logging_2132/klagomål/A 44032-2023 FSC-klagomål.docx", "A 44032-2023")</f>
        <v/>
      </c>
      <c r="W51">
        <f>HYPERLINK("https://klasma.github.io/Logging_2132/klagomålsmail/A 44032-2023 FSC-klagomål mail.docx", "A 44032-2023")</f>
        <v/>
      </c>
      <c r="X51">
        <f>HYPERLINK("https://klasma.github.io/Logging_2132/tillsyn/A 44032-2023 tillsynsbegäran.docx", "A 44032-2023")</f>
        <v/>
      </c>
      <c r="Y51">
        <f>HYPERLINK("https://klasma.github.io/Logging_2132/tillsynsmail/A 44032-2023 tillsynsbegäran mail.docx", "A 44032-2023")</f>
        <v/>
      </c>
    </row>
    <row r="52" ht="15" customHeight="1">
      <c r="A52" t="inlineStr">
        <is>
          <t>A 60371-2025</t>
        </is>
      </c>
      <c r="B52" s="1" t="n">
        <v>45995</v>
      </c>
      <c r="C52" s="1" t="n">
        <v>46199</v>
      </c>
      <c r="D52" t="inlineStr">
        <is>
          <t>GÄVLEBORGS LÄN</t>
        </is>
      </c>
      <c r="E52" t="inlineStr">
        <is>
          <t>NORDANSTIG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HYPERLINK("https://klasma.github.io/Logging_2132/artfynd/A 60371-2025 artfynd.xlsx", "A 60371-2025")</f>
        <v/>
      </c>
      <c r="T52">
        <f>HYPERLINK("https://klasma.github.io/Logging_2132/kartor/A 60371-2025 karta.png", "A 60371-2025")</f>
        <v/>
      </c>
      <c r="V52">
        <f>HYPERLINK("https://klasma.github.io/Logging_2132/klagomål/A 60371-2025 FSC-klagomål.docx", "A 60371-2025")</f>
        <v/>
      </c>
      <c r="W52">
        <f>HYPERLINK("https://klasma.github.io/Logging_2132/klagomålsmail/A 60371-2025 FSC-klagomål mail.docx", "A 60371-2025")</f>
        <v/>
      </c>
      <c r="X52">
        <f>HYPERLINK("https://klasma.github.io/Logging_2132/tillsyn/A 60371-2025 tillsynsbegäran.docx", "A 60371-2025")</f>
        <v/>
      </c>
      <c r="Y52">
        <f>HYPERLINK("https://klasma.github.io/Logging_2132/tillsynsmail/A 60371-2025 tillsynsbegäran mail.docx", "A 60371-2025")</f>
        <v/>
      </c>
    </row>
    <row r="53" ht="15" customHeight="1">
      <c r="A53" t="inlineStr">
        <is>
          <t>A 31845-2025</t>
        </is>
      </c>
      <c r="B53" s="1" t="n">
        <v>45834</v>
      </c>
      <c r="C53" s="1" t="n">
        <v>46199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HYPERLINK("https://klasma.github.io/Logging_2132/artfynd/A 31845-2025 artfynd.xlsx", "A 31845-2025")</f>
        <v/>
      </c>
      <c r="T53">
        <f>HYPERLINK("https://klasma.github.io/Logging_2132/kartor/A 31845-2025 karta.png", "A 31845-2025")</f>
        <v/>
      </c>
      <c r="V53">
        <f>HYPERLINK("https://klasma.github.io/Logging_2132/klagomål/A 31845-2025 FSC-klagomål.docx", "A 31845-2025")</f>
        <v/>
      </c>
      <c r="W53">
        <f>HYPERLINK("https://klasma.github.io/Logging_2132/klagomålsmail/A 31845-2025 FSC-klagomål mail.docx", "A 31845-2025")</f>
        <v/>
      </c>
      <c r="X53">
        <f>HYPERLINK("https://klasma.github.io/Logging_2132/tillsyn/A 31845-2025 tillsynsbegäran.docx", "A 31845-2025")</f>
        <v/>
      </c>
      <c r="Y53">
        <f>HYPERLINK("https://klasma.github.io/Logging_2132/tillsynsmail/A 31845-2025 tillsynsbegäran mail.docx", "A 31845-2025")</f>
        <v/>
      </c>
    </row>
    <row r="54" ht="15" customHeight="1">
      <c r="A54" t="inlineStr">
        <is>
          <t>A 47605-2025</t>
        </is>
      </c>
      <c r="B54" s="1" t="n">
        <v>45931</v>
      </c>
      <c r="C54" s="1" t="n">
        <v>46199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11.7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HYPERLINK("https://klasma.github.io/Logging_2132/artfynd/A 47605-2025 artfynd.xlsx", "A 47605-2025")</f>
        <v/>
      </c>
      <c r="T54">
        <f>HYPERLINK("https://klasma.github.io/Logging_2132/kartor/A 47605-2025 karta.png", "A 47605-2025")</f>
        <v/>
      </c>
      <c r="V54">
        <f>HYPERLINK("https://klasma.github.io/Logging_2132/klagomål/A 47605-2025 FSC-klagomål.docx", "A 47605-2025")</f>
        <v/>
      </c>
      <c r="W54">
        <f>HYPERLINK("https://klasma.github.io/Logging_2132/klagomålsmail/A 47605-2025 FSC-klagomål mail.docx", "A 47605-2025")</f>
        <v/>
      </c>
      <c r="X54">
        <f>HYPERLINK("https://klasma.github.io/Logging_2132/tillsyn/A 47605-2025 tillsynsbegäran.docx", "A 47605-2025")</f>
        <v/>
      </c>
      <c r="Y54">
        <f>HYPERLINK("https://klasma.github.io/Logging_2132/tillsynsmail/A 47605-2025 tillsynsbegäran mail.docx", "A 47605-2025")</f>
        <v/>
      </c>
      <c r="Z54">
        <f>HYPERLINK("https://klasma.github.io/Logging_2132/fåglar/A 47605-2025 prioriterade fågelarter.docx", "A 47605-2025")</f>
        <v/>
      </c>
    </row>
    <row r="55" ht="15" customHeight="1">
      <c r="A55" t="inlineStr">
        <is>
          <t>A 16515-2023</t>
        </is>
      </c>
      <c r="B55" s="1" t="n">
        <v>45029</v>
      </c>
      <c r="C55" s="1" t="n">
        <v>46199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16515-2023 artfynd.xlsx", "A 16515-2023")</f>
        <v/>
      </c>
      <c r="T55">
        <f>HYPERLINK("https://klasma.github.io/Logging_2132/kartor/A 16515-2023 karta.png", "A 16515-2023")</f>
        <v/>
      </c>
      <c r="V55">
        <f>HYPERLINK("https://klasma.github.io/Logging_2132/klagomål/A 16515-2023 FSC-klagomål.docx", "A 16515-2023")</f>
        <v/>
      </c>
      <c r="W55">
        <f>HYPERLINK("https://klasma.github.io/Logging_2132/klagomålsmail/A 16515-2023 FSC-klagomål mail.docx", "A 16515-2023")</f>
        <v/>
      </c>
      <c r="X55">
        <f>HYPERLINK("https://klasma.github.io/Logging_2132/tillsyn/A 16515-2023 tillsynsbegäran.docx", "A 16515-2023")</f>
        <v/>
      </c>
      <c r="Y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s="1" t="n">
        <v>44951</v>
      </c>
      <c r="C56" s="1" t="n">
        <v>46199</v>
      </c>
      <c r="D56" t="inlineStr">
        <is>
          <t>GÄVLEBORGS LÄN</t>
        </is>
      </c>
      <c r="E56" t="inlineStr">
        <is>
          <t>NORDANSTIG</t>
        </is>
      </c>
      <c r="G56" t="n">
        <v>8.199999999999999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3755-2023 artfynd.xlsx", "A 3755-2023")</f>
        <v/>
      </c>
      <c r="T56">
        <f>HYPERLINK("https://klasma.github.io/Logging_2132/kartor/A 3755-2023 karta.png", "A 3755-2023")</f>
        <v/>
      </c>
      <c r="V56">
        <f>HYPERLINK("https://klasma.github.io/Logging_2132/klagomål/A 3755-2023 FSC-klagomål.docx", "A 3755-2023")</f>
        <v/>
      </c>
      <c r="W56">
        <f>HYPERLINK("https://klasma.github.io/Logging_2132/klagomålsmail/A 3755-2023 FSC-klagomål mail.docx", "A 3755-2023")</f>
        <v/>
      </c>
      <c r="X56">
        <f>HYPERLINK("https://klasma.github.io/Logging_2132/tillsyn/A 3755-2023 tillsynsbegäran.docx", "A 3755-2023")</f>
        <v/>
      </c>
      <c r="Y56">
        <f>HYPERLINK("https://klasma.github.io/Logging_2132/tillsynsmail/A 3755-2023 tillsynsbegäran mail.docx", "A 3755-2023")</f>
        <v/>
      </c>
    </row>
    <row r="57" ht="15" customHeight="1">
      <c r="A57" t="inlineStr">
        <is>
          <t>A 63783-2025</t>
        </is>
      </c>
      <c r="B57" s="1" t="n">
        <v>46019</v>
      </c>
      <c r="C57" s="1" t="n">
        <v>46199</v>
      </c>
      <c r="D57" t="inlineStr">
        <is>
          <t>GÄVLEBORGS LÄN</t>
        </is>
      </c>
      <c r="E57" t="inlineStr">
        <is>
          <t>NORDANSTIG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HYPERLINK("https://klasma.github.io/Logging_2132/artfynd/A 63783-2025 artfynd.xlsx", "A 63783-2025")</f>
        <v/>
      </c>
      <c r="T57">
        <f>HYPERLINK("https://klasma.github.io/Logging_2132/kartor/A 63783-2025 karta.png", "A 63783-2025")</f>
        <v/>
      </c>
      <c r="V57">
        <f>HYPERLINK("https://klasma.github.io/Logging_2132/klagomål/A 63783-2025 FSC-klagomål.docx", "A 63783-2025")</f>
        <v/>
      </c>
      <c r="W57">
        <f>HYPERLINK("https://klasma.github.io/Logging_2132/klagomålsmail/A 63783-2025 FSC-klagomål mail.docx", "A 63783-2025")</f>
        <v/>
      </c>
      <c r="X57">
        <f>HYPERLINK("https://klasma.github.io/Logging_2132/tillsyn/A 63783-2025 tillsynsbegäran.docx", "A 63783-2025")</f>
        <v/>
      </c>
      <c r="Y57">
        <f>HYPERLINK("https://klasma.github.io/Logging_2132/tillsynsmail/A 63783-2025 tillsynsbegäran mail.docx", "A 63783-2025")</f>
        <v/>
      </c>
    </row>
    <row r="58" ht="15" customHeight="1">
      <c r="A58" t="inlineStr">
        <is>
          <t>A 16809-2022</t>
        </is>
      </c>
      <c r="B58" s="1" t="n">
        <v>44673</v>
      </c>
      <c r="C58" s="1" t="n">
        <v>46199</v>
      </c>
      <c r="D58" t="inlineStr">
        <is>
          <t>GÄVLEBORGS LÄN</t>
        </is>
      </c>
      <c r="E58" t="inlineStr">
        <is>
          <t>NORDANSTIG</t>
        </is>
      </c>
      <c r="G58" t="n">
        <v>4.4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HYPERLINK("https://klasma.github.io/Logging_2132/artfynd/A 16809-2022 artfynd.xlsx", "A 16809-2022")</f>
        <v/>
      </c>
      <c r="T58">
        <f>HYPERLINK("https://klasma.github.io/Logging_2132/kartor/A 16809-2022 karta.png", "A 16809-2022")</f>
        <v/>
      </c>
      <c r="V58">
        <f>HYPERLINK("https://klasma.github.io/Logging_2132/klagomål/A 16809-2022 FSC-klagomål.docx", "A 16809-2022")</f>
        <v/>
      </c>
      <c r="W58">
        <f>HYPERLINK("https://klasma.github.io/Logging_2132/klagomålsmail/A 16809-2022 FSC-klagomål mail.docx", "A 16809-2022")</f>
        <v/>
      </c>
      <c r="X58">
        <f>HYPERLINK("https://klasma.github.io/Logging_2132/tillsyn/A 16809-2022 tillsynsbegäran.docx", "A 16809-2022")</f>
        <v/>
      </c>
      <c r="Y58">
        <f>HYPERLINK("https://klasma.github.io/Logging_2132/tillsynsmail/A 16809-2022 tillsynsbegäran mail.docx", "A 16809-2022")</f>
        <v/>
      </c>
    </row>
    <row r="59" ht="15" customHeight="1">
      <c r="A59" t="inlineStr">
        <is>
          <t>A 2878-2026</t>
        </is>
      </c>
      <c r="B59" s="1" t="n">
        <v>46038</v>
      </c>
      <c r="C59" s="1" t="n">
        <v>46199</v>
      </c>
      <c r="D59" t="inlineStr">
        <is>
          <t>GÄVLEBORGS LÄN</t>
        </is>
      </c>
      <c r="E59" t="inlineStr">
        <is>
          <t>NORDANSTIG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HYPERLINK("https://klasma.github.io/Logging_2132/artfynd/A 2878-2026 artfynd.xlsx", "A 2878-2026")</f>
        <v/>
      </c>
      <c r="T59">
        <f>HYPERLINK("https://klasma.github.io/Logging_2132/kartor/A 2878-2026 karta.png", "A 2878-2026")</f>
        <v/>
      </c>
      <c r="V59">
        <f>HYPERLINK("https://klasma.github.io/Logging_2132/klagomål/A 2878-2026 FSC-klagomål.docx", "A 2878-2026")</f>
        <v/>
      </c>
      <c r="W59">
        <f>HYPERLINK("https://klasma.github.io/Logging_2132/klagomålsmail/A 2878-2026 FSC-klagomål mail.docx", "A 2878-2026")</f>
        <v/>
      </c>
      <c r="X59">
        <f>HYPERLINK("https://klasma.github.io/Logging_2132/tillsyn/A 2878-2026 tillsynsbegäran.docx", "A 2878-2026")</f>
        <v/>
      </c>
      <c r="Y59">
        <f>HYPERLINK("https://klasma.github.io/Logging_2132/tillsynsmail/A 2878-2026 tillsynsbegäran mail.docx", "A 2878-2026")</f>
        <v/>
      </c>
      <c r="Z59">
        <f>HYPERLINK("https://klasma.github.io/Logging_2132/fåglar/A 2878-2026 prioriterade fågelarter.docx", "A 2878-2026")</f>
        <v/>
      </c>
    </row>
    <row r="60" ht="15" customHeight="1">
      <c r="A60" t="inlineStr">
        <is>
          <t>A 55476-2025</t>
        </is>
      </c>
      <c r="B60" s="1" t="n">
        <v>45971</v>
      </c>
      <c r="C60" s="1" t="n">
        <v>46199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6.9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HYPERLINK("https://klasma.github.io/Logging_2132/artfynd/A 55476-2025 artfynd.xlsx", "A 55476-2025")</f>
        <v/>
      </c>
      <c r="T60">
        <f>HYPERLINK("https://klasma.github.io/Logging_2132/kartor/A 55476-2025 karta.png", "A 55476-2025")</f>
        <v/>
      </c>
      <c r="V60">
        <f>HYPERLINK("https://klasma.github.io/Logging_2132/klagomål/A 55476-2025 FSC-klagomål.docx", "A 55476-2025")</f>
        <v/>
      </c>
      <c r="W60">
        <f>HYPERLINK("https://klasma.github.io/Logging_2132/klagomålsmail/A 55476-2025 FSC-klagomål mail.docx", "A 55476-2025")</f>
        <v/>
      </c>
      <c r="X60">
        <f>HYPERLINK("https://klasma.github.io/Logging_2132/tillsyn/A 55476-2025 tillsynsbegäran.docx", "A 55476-2025")</f>
        <v/>
      </c>
      <c r="Y60">
        <f>HYPERLINK("https://klasma.github.io/Logging_2132/tillsynsmail/A 55476-2025 tillsynsbegäran mail.docx", "A 55476-2025")</f>
        <v/>
      </c>
    </row>
    <row r="61" ht="15" customHeight="1">
      <c r="A61" t="inlineStr">
        <is>
          <t>A 22041-2022</t>
        </is>
      </c>
      <c r="B61" s="1" t="n">
        <v>44711</v>
      </c>
      <c r="C61" s="1" t="n">
        <v>46199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Svavelriska</t>
        </is>
      </c>
      <c r="S61">
        <f>HYPERLINK("https://klasma.github.io/Logging_2132/artfynd/A 22041-2022 artfynd.xlsx", "A 22041-2022")</f>
        <v/>
      </c>
      <c r="T61">
        <f>HYPERLINK("https://klasma.github.io/Logging_2132/kartor/A 22041-2022 karta.png", "A 22041-2022")</f>
        <v/>
      </c>
      <c r="V61">
        <f>HYPERLINK("https://klasma.github.io/Logging_2132/klagomål/A 22041-2022 FSC-klagomål.docx", "A 22041-2022")</f>
        <v/>
      </c>
      <c r="W61">
        <f>HYPERLINK("https://klasma.github.io/Logging_2132/klagomålsmail/A 22041-2022 FSC-klagomål mail.docx", "A 22041-2022")</f>
        <v/>
      </c>
      <c r="X61">
        <f>HYPERLINK("https://klasma.github.io/Logging_2132/tillsyn/A 22041-2022 tillsynsbegäran.docx", "A 22041-2022")</f>
        <v/>
      </c>
      <c r="Y61">
        <f>HYPERLINK("https://klasma.github.io/Logging_2132/tillsynsmail/A 22041-2022 tillsynsbegäran mail.docx", "A 22041-2022")</f>
        <v/>
      </c>
    </row>
    <row r="62" ht="15" customHeight="1">
      <c r="A62" t="inlineStr">
        <is>
          <t>A 11895-2026</t>
        </is>
      </c>
      <c r="B62" s="1" t="n">
        <v>46085</v>
      </c>
      <c r="C62" s="1" t="n">
        <v>46199</v>
      </c>
      <c r="D62" t="inlineStr">
        <is>
          <t>GÄVLEBORGS LÄN</t>
        </is>
      </c>
      <c r="E62" t="inlineStr">
        <is>
          <t>NORDANSTIG</t>
        </is>
      </c>
      <c r="G62" t="n">
        <v>21.2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Sötgräs</t>
        </is>
      </c>
      <c r="S62">
        <f>HYPERLINK("https://klasma.github.io/Logging_2132/artfynd/A 11895-2026 artfynd.xlsx", "A 11895-2026")</f>
        <v/>
      </c>
      <c r="T62">
        <f>HYPERLINK("https://klasma.github.io/Logging_2132/kartor/A 11895-2026 karta.png", "A 11895-2026")</f>
        <v/>
      </c>
      <c r="V62">
        <f>HYPERLINK("https://klasma.github.io/Logging_2132/klagomål/A 11895-2026 FSC-klagomål.docx", "A 11895-2026")</f>
        <v/>
      </c>
      <c r="W62">
        <f>HYPERLINK("https://klasma.github.io/Logging_2132/klagomålsmail/A 11895-2026 FSC-klagomål mail.docx", "A 11895-2026")</f>
        <v/>
      </c>
      <c r="X62">
        <f>HYPERLINK("https://klasma.github.io/Logging_2132/tillsyn/A 11895-2026 tillsynsbegäran.docx", "A 11895-2026")</f>
        <v/>
      </c>
      <c r="Y62">
        <f>HYPERLINK("https://klasma.github.io/Logging_2132/tillsynsmail/A 11895-2026 tillsynsbegäran mail.docx", "A 11895-2026")</f>
        <v/>
      </c>
    </row>
    <row r="63" ht="15" customHeight="1">
      <c r="A63" t="inlineStr">
        <is>
          <t>A 20441-2023</t>
        </is>
      </c>
      <c r="B63" s="1" t="n">
        <v>45056</v>
      </c>
      <c r="C63" s="1" t="n">
        <v>46199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HYPERLINK("https://klasma.github.io/Logging_2132/artfynd/A 20441-2023 artfynd.xlsx", "A 20441-2023")</f>
        <v/>
      </c>
      <c r="T63">
        <f>HYPERLINK("https://klasma.github.io/Logging_2132/kartor/A 20441-2023 karta.png", "A 20441-2023")</f>
        <v/>
      </c>
      <c r="V63">
        <f>HYPERLINK("https://klasma.github.io/Logging_2132/klagomål/A 20441-2023 FSC-klagomål.docx", "A 20441-2023")</f>
        <v/>
      </c>
      <c r="W63">
        <f>HYPERLINK("https://klasma.github.io/Logging_2132/klagomålsmail/A 20441-2023 FSC-klagomål mail.docx", "A 20441-2023")</f>
        <v/>
      </c>
      <c r="X63">
        <f>HYPERLINK("https://klasma.github.io/Logging_2132/tillsyn/A 20441-2023 tillsynsbegäran.docx", "A 20441-2023")</f>
        <v/>
      </c>
      <c r="Y63">
        <f>HYPERLINK("https://klasma.github.io/Logging_2132/tillsynsmail/A 20441-2023 tillsynsbegäran mail.docx", "A 20441-2023")</f>
        <v/>
      </c>
      <c r="Z63">
        <f>HYPERLINK("https://klasma.github.io/Logging_2132/fåglar/A 20441-2023 prioriterade fågelarter.docx", "A 20441-2023")</f>
        <v/>
      </c>
    </row>
    <row r="64" ht="15" customHeight="1">
      <c r="A64" t="inlineStr">
        <is>
          <t>A 20566-2025</t>
        </is>
      </c>
      <c r="B64" s="1" t="n">
        <v>45775</v>
      </c>
      <c r="C64" s="1" t="n">
        <v>46199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HYPERLINK("https://klasma.github.io/Logging_2132/artfynd/A 20566-2025 artfynd.xlsx", "A 20566-2025")</f>
        <v/>
      </c>
      <c r="T64">
        <f>HYPERLINK("https://klasma.github.io/Logging_2132/kartor/A 20566-2025 karta.png", "A 20566-2025")</f>
        <v/>
      </c>
      <c r="V64">
        <f>HYPERLINK("https://klasma.github.io/Logging_2132/klagomål/A 20566-2025 FSC-klagomål.docx", "A 20566-2025")</f>
        <v/>
      </c>
      <c r="W64">
        <f>HYPERLINK("https://klasma.github.io/Logging_2132/klagomålsmail/A 20566-2025 FSC-klagomål mail.docx", "A 20566-2025")</f>
        <v/>
      </c>
      <c r="X64">
        <f>HYPERLINK("https://klasma.github.io/Logging_2132/tillsyn/A 20566-2025 tillsynsbegäran.docx", "A 20566-2025")</f>
        <v/>
      </c>
      <c r="Y64">
        <f>HYPERLINK("https://klasma.github.io/Logging_2132/tillsynsmail/A 20566-2025 tillsynsbegäran mail.docx", "A 20566-2025")</f>
        <v/>
      </c>
    </row>
    <row r="65" ht="15" customHeight="1">
      <c r="A65" t="inlineStr">
        <is>
          <t>A 13089-2025</t>
        </is>
      </c>
      <c r="B65" s="1" t="n">
        <v>45734</v>
      </c>
      <c r="C65" s="1" t="n">
        <v>46199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HYPERLINK("https://klasma.github.io/Logging_2132/artfynd/A 13089-2025 artfynd.xlsx", "A 13089-2025")</f>
        <v/>
      </c>
      <c r="T65">
        <f>HYPERLINK("https://klasma.github.io/Logging_2132/kartor/A 13089-2025 karta.png", "A 13089-2025")</f>
        <v/>
      </c>
      <c r="V65">
        <f>HYPERLINK("https://klasma.github.io/Logging_2132/klagomål/A 13089-2025 FSC-klagomål.docx", "A 13089-2025")</f>
        <v/>
      </c>
      <c r="W65">
        <f>HYPERLINK("https://klasma.github.io/Logging_2132/klagomålsmail/A 13089-2025 FSC-klagomål mail.docx", "A 13089-2025")</f>
        <v/>
      </c>
      <c r="X65">
        <f>HYPERLINK("https://klasma.github.io/Logging_2132/tillsyn/A 13089-2025 tillsynsbegäran.docx", "A 13089-2025")</f>
        <v/>
      </c>
      <c r="Y65">
        <f>HYPERLINK("https://klasma.github.io/Logging_2132/tillsynsmail/A 13089-2025 tillsynsbegäran mail.docx", "A 13089-2025")</f>
        <v/>
      </c>
      <c r="Z65">
        <f>HYPERLINK("https://klasma.github.io/Logging_2132/fåglar/A 13089-2025 prioriterade fågelarter.docx", "A 13089-2025")</f>
        <v/>
      </c>
    </row>
    <row r="66" ht="15" customHeight="1">
      <c r="A66" t="inlineStr">
        <is>
          <t>A 6109-2023</t>
        </is>
      </c>
      <c r="B66" s="1" t="n">
        <v>44964</v>
      </c>
      <c r="C66" s="1" t="n">
        <v>46199</v>
      </c>
      <c r="D66" t="inlineStr">
        <is>
          <t>GÄVLEBORGS LÄN</t>
        </is>
      </c>
      <c r="E66" t="inlineStr">
        <is>
          <t>NORDANSTIG</t>
        </is>
      </c>
      <c r="G66" t="n">
        <v>0.1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HYPERLINK("https://klasma.github.io/Logging_2132/artfynd/A 6109-2023 artfynd.xlsx", "A 6109-2023")</f>
        <v/>
      </c>
      <c r="T66">
        <f>HYPERLINK("https://klasma.github.io/Logging_2132/kartor/A 6109-2023 karta.png", "A 6109-2023")</f>
        <v/>
      </c>
      <c r="V66">
        <f>HYPERLINK("https://klasma.github.io/Logging_2132/klagomål/A 6109-2023 FSC-klagomål.docx", "A 6109-2023")</f>
        <v/>
      </c>
      <c r="W66">
        <f>HYPERLINK("https://klasma.github.io/Logging_2132/klagomålsmail/A 6109-2023 FSC-klagomål mail.docx", "A 6109-2023")</f>
        <v/>
      </c>
      <c r="X66">
        <f>HYPERLINK("https://klasma.github.io/Logging_2132/tillsyn/A 6109-2023 tillsynsbegäran.docx", "A 6109-2023")</f>
        <v/>
      </c>
      <c r="Y66">
        <f>HYPERLINK("https://klasma.github.io/Logging_2132/tillsynsmail/A 6109-2023 tillsynsbegäran mail.docx", "A 6109-2023")</f>
        <v/>
      </c>
    </row>
    <row r="67" ht="15" customHeight="1">
      <c r="A67" t="inlineStr">
        <is>
          <t>A 25625-2026</t>
        </is>
      </c>
      <c r="B67" s="1" t="n">
        <v>46177</v>
      </c>
      <c r="C67" s="1" t="n">
        <v>46199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HYPERLINK("https://klasma.github.io/Logging_2132/artfynd/A 25625-2026 artfynd.xlsx", "A 25625-2026")</f>
        <v/>
      </c>
      <c r="T67">
        <f>HYPERLINK("https://klasma.github.io/Logging_2132/kartor/A 25625-2026 karta.png", "A 25625-2026")</f>
        <v/>
      </c>
      <c r="V67">
        <f>HYPERLINK("https://klasma.github.io/Logging_2132/klagomål/A 25625-2026 FSC-klagomål.docx", "A 25625-2026")</f>
        <v/>
      </c>
      <c r="W67">
        <f>HYPERLINK("https://klasma.github.io/Logging_2132/klagomålsmail/A 25625-2026 FSC-klagomål mail.docx", "A 25625-2026")</f>
        <v/>
      </c>
      <c r="X67">
        <f>HYPERLINK("https://klasma.github.io/Logging_2132/tillsyn/A 25625-2026 tillsynsbegäran.docx", "A 25625-2026")</f>
        <v/>
      </c>
      <c r="Y67">
        <f>HYPERLINK("https://klasma.github.io/Logging_2132/tillsynsmail/A 25625-2026 tillsynsbegäran mail.docx", "A 25625-2026")</f>
        <v/>
      </c>
    </row>
    <row r="68" ht="15" customHeight="1">
      <c r="A68" t="inlineStr">
        <is>
          <t>A 57806-2024</t>
        </is>
      </c>
      <c r="B68" s="1" t="n">
        <v>45631</v>
      </c>
      <c r="C68" s="1" t="n">
        <v>46199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HYPERLINK("https://klasma.github.io/Logging_2132/artfynd/A 57806-2024 artfynd.xlsx", "A 57806-2024")</f>
        <v/>
      </c>
      <c r="T68">
        <f>HYPERLINK("https://klasma.github.io/Logging_2132/kartor/A 57806-2024 karta.png", "A 57806-2024")</f>
        <v/>
      </c>
      <c r="U68">
        <f>HYPERLINK("https://klasma.github.io/Logging_2132/knärot/A 57806-2024 karta knärot.png", "A 57806-2024")</f>
        <v/>
      </c>
      <c r="V68">
        <f>HYPERLINK("https://klasma.github.io/Logging_2132/klagomål/A 57806-2024 FSC-klagomål.docx", "A 57806-2024")</f>
        <v/>
      </c>
      <c r="W68">
        <f>HYPERLINK("https://klasma.github.io/Logging_2132/klagomålsmail/A 57806-2024 FSC-klagomål mail.docx", "A 57806-2024")</f>
        <v/>
      </c>
      <c r="X68">
        <f>HYPERLINK("https://klasma.github.io/Logging_2132/tillsyn/A 57806-2024 tillsynsbegäran.docx", "A 57806-2024")</f>
        <v/>
      </c>
      <c r="Y68">
        <f>HYPERLINK("https://klasma.github.io/Logging_2132/tillsynsmail/A 57806-2024 tillsynsbegäran mail.docx", "A 57806-2024")</f>
        <v/>
      </c>
    </row>
    <row r="69" ht="15" customHeight="1">
      <c r="A69" t="inlineStr">
        <is>
          <t>A 3692-2022</t>
        </is>
      </c>
      <c r="B69" s="1" t="n">
        <v>44586</v>
      </c>
      <c r="C69" s="1" t="n">
        <v>46199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HYPERLINK("https://klasma.github.io/Logging_2132/artfynd/A 3692-2022 artfynd.xlsx", "A 3692-2022")</f>
        <v/>
      </c>
      <c r="T69">
        <f>HYPERLINK("https://klasma.github.io/Logging_2132/kartor/A 3692-2022 karta.png", "A 3692-2022")</f>
        <v/>
      </c>
      <c r="V69">
        <f>HYPERLINK("https://klasma.github.io/Logging_2132/klagomål/A 3692-2022 FSC-klagomål.docx", "A 3692-2022")</f>
        <v/>
      </c>
      <c r="W69">
        <f>HYPERLINK("https://klasma.github.io/Logging_2132/klagomålsmail/A 3692-2022 FSC-klagomål mail.docx", "A 3692-2022")</f>
        <v/>
      </c>
      <c r="X69">
        <f>HYPERLINK("https://klasma.github.io/Logging_2132/tillsyn/A 3692-2022 tillsynsbegäran.docx", "A 3692-2022")</f>
        <v/>
      </c>
      <c r="Y69">
        <f>HYPERLINK("https://klasma.github.io/Logging_2132/tillsynsmail/A 3692-2022 tillsynsbegäran mail.docx", "A 3692-2022")</f>
        <v/>
      </c>
    </row>
    <row r="70" ht="15" customHeight="1">
      <c r="A70" t="inlineStr">
        <is>
          <t>A 2254-2025</t>
        </is>
      </c>
      <c r="B70" s="1" t="n">
        <v>45673</v>
      </c>
      <c r="C70" s="1" t="n">
        <v>46199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Bredgentiana</t>
        </is>
      </c>
      <c r="S70">
        <f>HYPERLINK("https://klasma.github.io/Logging_2132/artfynd/A 2254-2025 artfynd.xlsx", "A 2254-2025")</f>
        <v/>
      </c>
      <c r="T70">
        <f>HYPERLINK("https://klasma.github.io/Logging_2132/kartor/A 2254-2025 karta.png", "A 2254-2025")</f>
        <v/>
      </c>
      <c r="V70">
        <f>HYPERLINK("https://klasma.github.io/Logging_2132/klagomål/A 2254-2025 FSC-klagomål.docx", "A 2254-2025")</f>
        <v/>
      </c>
      <c r="W70">
        <f>HYPERLINK("https://klasma.github.io/Logging_2132/klagomålsmail/A 2254-2025 FSC-klagomål mail.docx", "A 2254-2025")</f>
        <v/>
      </c>
      <c r="X70">
        <f>HYPERLINK("https://klasma.github.io/Logging_2132/tillsyn/A 2254-2025 tillsynsbegäran.docx", "A 2254-2025")</f>
        <v/>
      </c>
      <c r="Y70">
        <f>HYPERLINK("https://klasma.github.io/Logging_2132/tillsynsmail/A 2254-2025 tillsynsbegäran mail.docx", "A 2254-2025")</f>
        <v/>
      </c>
    </row>
    <row r="71" ht="15" customHeight="1">
      <c r="A71" t="inlineStr">
        <is>
          <t>A 11818-2026</t>
        </is>
      </c>
      <c r="B71" s="1" t="n">
        <v>46085</v>
      </c>
      <c r="C71" s="1" t="n">
        <v>46199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HYPERLINK("https://klasma.github.io/Logging_2132/artfynd/A 11818-2026 artfynd.xlsx", "A 11818-2026")</f>
        <v/>
      </c>
      <c r="T71">
        <f>HYPERLINK("https://klasma.github.io/Logging_2132/kartor/A 11818-2026 karta.png", "A 11818-2026")</f>
        <v/>
      </c>
      <c r="V71">
        <f>HYPERLINK("https://klasma.github.io/Logging_2132/klagomål/A 11818-2026 FSC-klagomål.docx", "A 11818-2026")</f>
        <v/>
      </c>
      <c r="W71">
        <f>HYPERLINK("https://klasma.github.io/Logging_2132/klagomålsmail/A 11818-2026 FSC-klagomål mail.docx", "A 11818-2026")</f>
        <v/>
      </c>
      <c r="X71">
        <f>HYPERLINK("https://klasma.github.io/Logging_2132/tillsyn/A 11818-2026 tillsynsbegäran.docx", "A 11818-2026")</f>
        <v/>
      </c>
      <c r="Y71">
        <f>HYPERLINK("https://klasma.github.io/Logging_2132/tillsynsmail/A 11818-2026 tillsynsbegäran mail.docx", "A 11818-2026")</f>
        <v/>
      </c>
      <c r="Z71">
        <f>HYPERLINK("https://klasma.github.io/Logging_2132/fåglar/A 11818-2026 prioriterade fågelarter.docx", "A 11818-2026")</f>
        <v/>
      </c>
    </row>
    <row r="72" ht="15" customHeight="1">
      <c r="A72" t="inlineStr">
        <is>
          <t>A 3474-2024</t>
        </is>
      </c>
      <c r="B72" s="1" t="n">
        <v>45320</v>
      </c>
      <c r="C72" s="1" t="n">
        <v>46199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HYPERLINK("https://klasma.github.io/Logging_2132/artfynd/A 3474-2024 artfynd.xlsx", "A 3474-2024")</f>
        <v/>
      </c>
      <c r="T72">
        <f>HYPERLINK("https://klasma.github.io/Logging_2132/kartor/A 3474-2024 karta.png", "A 3474-2024")</f>
        <v/>
      </c>
      <c r="V72">
        <f>HYPERLINK("https://klasma.github.io/Logging_2132/klagomål/A 3474-2024 FSC-klagomål.docx", "A 3474-2024")</f>
        <v/>
      </c>
      <c r="W72">
        <f>HYPERLINK("https://klasma.github.io/Logging_2132/klagomålsmail/A 3474-2024 FSC-klagomål mail.docx", "A 3474-2024")</f>
        <v/>
      </c>
      <c r="X72">
        <f>HYPERLINK("https://klasma.github.io/Logging_2132/tillsyn/A 3474-2024 tillsynsbegäran.docx", "A 3474-2024")</f>
        <v/>
      </c>
      <c r="Y72">
        <f>HYPERLINK("https://klasma.github.io/Logging_2132/tillsynsmail/A 3474-2024 tillsynsbegäran mail.docx", "A 3474-2024")</f>
        <v/>
      </c>
    </row>
    <row r="73" ht="15" customHeight="1">
      <c r="A73" t="inlineStr">
        <is>
          <t>A 26278-2026</t>
        </is>
      </c>
      <c r="B73" s="1" t="n">
        <v>46182</v>
      </c>
      <c r="C73" s="1" t="n">
        <v>46199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Lavskrika</t>
        </is>
      </c>
      <c r="S73">
        <f>HYPERLINK("https://klasma.github.io/Logging_2132/artfynd/A 26278-2026 artfynd.xlsx", "A 26278-2026")</f>
        <v/>
      </c>
      <c r="T73">
        <f>HYPERLINK("https://klasma.github.io/Logging_2132/kartor/A 26278-2026 karta.png", "A 26278-2026")</f>
        <v/>
      </c>
      <c r="V73">
        <f>HYPERLINK("https://klasma.github.io/Logging_2132/klagomål/A 26278-2026 FSC-klagomål.docx", "A 26278-2026")</f>
        <v/>
      </c>
      <c r="W73">
        <f>HYPERLINK("https://klasma.github.io/Logging_2132/klagomålsmail/A 26278-2026 FSC-klagomål mail.docx", "A 26278-2026")</f>
        <v/>
      </c>
      <c r="X73">
        <f>HYPERLINK("https://klasma.github.io/Logging_2132/tillsyn/A 26278-2026 tillsynsbegäran.docx", "A 26278-2026")</f>
        <v/>
      </c>
      <c r="Y73">
        <f>HYPERLINK("https://klasma.github.io/Logging_2132/tillsynsmail/A 26278-2026 tillsynsbegäran mail.docx", "A 26278-2026")</f>
        <v/>
      </c>
      <c r="Z73">
        <f>HYPERLINK("https://klasma.github.io/Logging_2132/fåglar/A 26278-2026 prioriterade fågelarter.docx", "A 26278-2026")</f>
        <v/>
      </c>
    </row>
    <row r="74" ht="15" customHeight="1">
      <c r="A74" t="inlineStr">
        <is>
          <t>A 27992-2026</t>
        </is>
      </c>
      <c r="B74" s="1" t="n">
        <v>46195</v>
      </c>
      <c r="C74" s="1" t="n">
        <v>46199</v>
      </c>
      <c r="D74" t="inlineStr">
        <is>
          <t>GÄVLEBORGS LÄN</t>
        </is>
      </c>
      <c r="E74" t="inlineStr">
        <is>
          <t>NORDANSTIG</t>
        </is>
      </c>
      <c r="G74" t="n">
        <v>4.7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HYPERLINK("https://klasma.github.io/Logging_2132/artfynd/A 27992-2026 artfynd.xlsx", "A 27992-2026")</f>
        <v/>
      </c>
      <c r="T74">
        <f>HYPERLINK("https://klasma.github.io/Logging_2132/kartor/A 27992-2026 karta.png", "A 27992-2026")</f>
        <v/>
      </c>
      <c r="V74">
        <f>HYPERLINK("https://klasma.github.io/Logging_2132/klagomål/A 27992-2026 FSC-klagomål.docx", "A 27992-2026")</f>
        <v/>
      </c>
      <c r="W74">
        <f>HYPERLINK("https://klasma.github.io/Logging_2132/klagomålsmail/A 27992-2026 FSC-klagomål mail.docx", "A 27992-2026")</f>
        <v/>
      </c>
      <c r="X74">
        <f>HYPERLINK("https://klasma.github.io/Logging_2132/tillsyn/A 27992-2026 tillsynsbegäran.docx", "A 27992-2026")</f>
        <v/>
      </c>
      <c r="Y74">
        <f>HYPERLINK("https://klasma.github.io/Logging_2132/tillsynsmail/A 27992-2026 tillsynsbegäran mail.docx", "A 27992-2026")</f>
        <v/>
      </c>
      <c r="Z74">
        <f>HYPERLINK("https://klasma.github.io/Logging_2132/fåglar/A 27992-2026 prioriterade fågelarter.docx", "A 27992-2026")</f>
        <v/>
      </c>
    </row>
    <row r="75" ht="15" customHeight="1">
      <c r="A75" t="inlineStr">
        <is>
          <t>A 22863-2023</t>
        </is>
      </c>
      <c r="B75" s="1" t="n">
        <v>45072</v>
      </c>
      <c r="C75" s="1" t="n">
        <v>46199</v>
      </c>
      <c r="D75" t="inlineStr">
        <is>
          <t>GÄVLEBORGS LÄN</t>
        </is>
      </c>
      <c r="E75" t="inlineStr">
        <is>
          <t>NORDANSTIG</t>
        </is>
      </c>
      <c r="G75" t="n">
        <v>1.9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Igelkott</t>
        </is>
      </c>
      <c r="S75">
        <f>HYPERLINK("https://klasma.github.io/Logging_2132/artfynd/A 22863-2023 artfynd.xlsx", "A 22863-2023")</f>
        <v/>
      </c>
      <c r="T75">
        <f>HYPERLINK("https://klasma.github.io/Logging_2132/kartor/A 22863-2023 karta.png", "A 22863-2023")</f>
        <v/>
      </c>
      <c r="V75">
        <f>HYPERLINK("https://klasma.github.io/Logging_2132/klagomål/A 22863-2023 FSC-klagomål.docx", "A 22863-2023")</f>
        <v/>
      </c>
      <c r="W75">
        <f>HYPERLINK("https://klasma.github.io/Logging_2132/klagomålsmail/A 22863-2023 FSC-klagomål mail.docx", "A 22863-2023")</f>
        <v/>
      </c>
      <c r="X75">
        <f>HYPERLINK("https://klasma.github.io/Logging_2132/tillsyn/A 22863-2023 tillsynsbegäran.docx", "A 22863-2023")</f>
        <v/>
      </c>
      <c r="Y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s="1" t="n">
        <v>45741</v>
      </c>
      <c r="C76" s="1" t="n">
        <v>46199</v>
      </c>
      <c r="D76" t="inlineStr">
        <is>
          <t>GÄVLEBORGS LÄN</t>
        </is>
      </c>
      <c r="E76" t="inlineStr">
        <is>
          <t>NORDANSTIG</t>
        </is>
      </c>
      <c r="G76" t="n">
        <v>28.6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HYPERLINK("https://klasma.github.io/Logging_2132/artfynd/A 14392-2025 artfynd.xlsx", "A 14392-2025")</f>
        <v/>
      </c>
      <c r="T76">
        <f>HYPERLINK("https://klasma.github.io/Logging_2132/kartor/A 14392-2025 karta.png", "A 14392-2025")</f>
        <v/>
      </c>
      <c r="V76">
        <f>HYPERLINK("https://klasma.github.io/Logging_2132/klagomål/A 14392-2025 FSC-klagomål.docx", "A 14392-2025")</f>
        <v/>
      </c>
      <c r="W76">
        <f>HYPERLINK("https://klasma.github.io/Logging_2132/klagomålsmail/A 14392-2025 FSC-klagomål mail.docx", "A 14392-2025")</f>
        <v/>
      </c>
      <c r="X76">
        <f>HYPERLINK("https://klasma.github.io/Logging_2132/tillsyn/A 14392-2025 tillsynsbegäran.docx", "A 14392-2025")</f>
        <v/>
      </c>
      <c r="Y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s="1" t="n">
        <v>45296</v>
      </c>
      <c r="C77" s="1" t="n">
        <v>46199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HYPERLINK("https://klasma.github.io/Logging_2132/artfynd/A 377-2024 artfynd.xlsx", "A 377-2024")</f>
        <v/>
      </c>
      <c r="T77">
        <f>HYPERLINK("https://klasma.github.io/Logging_2132/kartor/A 377-2024 karta.png", "A 377-2024")</f>
        <v/>
      </c>
      <c r="V77">
        <f>HYPERLINK("https://klasma.github.io/Logging_2132/klagomål/A 377-2024 FSC-klagomål.docx", "A 377-2024")</f>
        <v/>
      </c>
      <c r="W77">
        <f>HYPERLINK("https://klasma.github.io/Logging_2132/klagomålsmail/A 377-2024 FSC-klagomål mail.docx", "A 377-2024")</f>
        <v/>
      </c>
      <c r="X77">
        <f>HYPERLINK("https://klasma.github.io/Logging_2132/tillsyn/A 377-2024 tillsynsbegäran.docx", "A 377-2024")</f>
        <v/>
      </c>
      <c r="Y77">
        <f>HYPERLINK("https://klasma.github.io/Logging_2132/tillsynsmail/A 377-2024 tillsynsbegäran mail.docx", "A 377-2024")</f>
        <v/>
      </c>
      <c r="Z77">
        <f>HYPERLINK("https://klasma.github.io/Logging_2132/fåglar/A 377-2024 prioriterade fågelarter.docx", "A 377-2024")</f>
        <v/>
      </c>
    </row>
    <row r="78" ht="15" customHeight="1">
      <c r="A78" t="inlineStr">
        <is>
          <t>A 18681-2025</t>
        </is>
      </c>
      <c r="B78" s="1" t="n">
        <v>45763</v>
      </c>
      <c r="C78" s="1" t="n">
        <v>46199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6.7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HYPERLINK("https://klasma.github.io/Logging_2132/artfynd/A 18681-2025 artfynd.xlsx", "A 18681-2025")</f>
        <v/>
      </c>
      <c r="T78">
        <f>HYPERLINK("https://klasma.github.io/Logging_2132/kartor/A 18681-2025 karta.png", "A 18681-2025")</f>
        <v/>
      </c>
      <c r="V78">
        <f>HYPERLINK("https://klasma.github.io/Logging_2132/klagomål/A 18681-2025 FSC-klagomål.docx", "A 18681-2025")</f>
        <v/>
      </c>
      <c r="W78">
        <f>HYPERLINK("https://klasma.github.io/Logging_2132/klagomålsmail/A 18681-2025 FSC-klagomål mail.docx", "A 18681-2025")</f>
        <v/>
      </c>
      <c r="X78">
        <f>HYPERLINK("https://klasma.github.io/Logging_2132/tillsyn/A 18681-2025 tillsynsbegäran.docx", "A 18681-2025")</f>
        <v/>
      </c>
      <c r="Y78">
        <f>HYPERLINK("https://klasma.github.io/Logging_2132/tillsynsmail/A 18681-2025 tillsynsbegäran mail.docx", "A 18681-2025")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46199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41161-2022</t>
        </is>
      </c>
      <c r="B80" s="1" t="n">
        <v>44825</v>
      </c>
      <c r="C80" s="1" t="n">
        <v>46199</v>
      </c>
      <c r="D80" t="inlineStr">
        <is>
          <t>GÄVLEBORGS LÄN</t>
        </is>
      </c>
      <c r="E80" t="inlineStr">
        <is>
          <t>NORDANSTIG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21873-2022</t>
        </is>
      </c>
      <c r="B81" s="1" t="n">
        <v>44711</v>
      </c>
      <c r="C81" s="1" t="n">
        <v>46199</v>
      </c>
      <c r="D81" t="inlineStr">
        <is>
          <t>GÄVLEBORGS LÄN</t>
        </is>
      </c>
      <c r="E81" t="inlineStr">
        <is>
          <t>NORDANSTIG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30857-2022</t>
        </is>
      </c>
      <c r="B82" s="1" t="n">
        <v>44767</v>
      </c>
      <c r="C82" s="1" t="n">
        <v>46199</v>
      </c>
      <c r="D82" t="inlineStr">
        <is>
          <t>GÄVLEBORGS LÄN</t>
        </is>
      </c>
      <c r="E82" t="inlineStr">
        <is>
          <t>NORDANSTIG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31432-2022</t>
        </is>
      </c>
      <c r="B83" s="1" t="n">
        <v>44774</v>
      </c>
      <c r="C83" s="1" t="n">
        <v>46199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53079-2022</t>
        </is>
      </c>
      <c r="B84" s="1" t="n">
        <v>44876</v>
      </c>
      <c r="C84" s="1" t="n">
        <v>46199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46199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40764-2021</t>
        </is>
      </c>
      <c r="B86" s="1" t="n">
        <v>44420</v>
      </c>
      <c r="C86" s="1" t="n">
        <v>46199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46199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46199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46199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46199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46199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46199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46199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46199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46199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46199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46199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48080-2022</t>
        </is>
      </c>
      <c r="B98" s="1" t="n">
        <v>44855</v>
      </c>
      <c r="C98" s="1" t="n">
        <v>46199</v>
      </c>
      <c r="D98" t="inlineStr">
        <is>
          <t>GÄVLEBORGS LÄN</t>
        </is>
      </c>
      <c r="E98" t="inlineStr">
        <is>
          <t>NORDANSTIG</t>
        </is>
      </c>
      <c r="F98" t="inlineStr">
        <is>
          <t>SCA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50036-2021</t>
        </is>
      </c>
      <c r="B99" s="1" t="n">
        <v>44456</v>
      </c>
      <c r="C99" s="1" t="n">
        <v>46199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46199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46199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40342-2022</t>
        </is>
      </c>
      <c r="B102" s="1" t="n">
        <v>44823</v>
      </c>
      <c r="C102" s="1" t="n">
        <v>46199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53673-2022</t>
        </is>
      </c>
      <c r="B103" s="1" t="n">
        <v>44879</v>
      </c>
      <c r="C103" s="1" t="n">
        <v>46199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SCA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23881-2022</t>
        </is>
      </c>
      <c r="B104" s="1" t="n">
        <v>44722</v>
      </c>
      <c r="C104" s="1" t="n">
        <v>46199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42629-2022</t>
        </is>
      </c>
      <c r="B105" s="1" t="n">
        <v>44831</v>
      </c>
      <c r="C105" s="1" t="n">
        <v>46199</v>
      </c>
      <c r="D105" t="inlineStr">
        <is>
          <t>GÄVLEBORGS LÄN</t>
        </is>
      </c>
      <c r="E105" t="inlineStr">
        <is>
          <t>NORDANSTIG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38800-2022</t>
        </is>
      </c>
      <c r="B106" s="1" t="n">
        <v>44816</v>
      </c>
      <c r="C106" s="1" t="n">
        <v>46199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27276-2022</t>
        </is>
      </c>
      <c r="B107" s="1" t="n">
        <v>44741</v>
      </c>
      <c r="C107" s="1" t="n">
        <v>46199</v>
      </c>
      <c r="D107" t="inlineStr">
        <is>
          <t>GÄVLEBORGS LÄN</t>
        </is>
      </c>
      <c r="E107" t="inlineStr">
        <is>
          <t>NORDANSTIG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38348-2022</t>
        </is>
      </c>
      <c r="B108" s="1" t="n">
        <v>44812</v>
      </c>
      <c r="C108" s="1" t="n">
        <v>46199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34286-2021</t>
        </is>
      </c>
      <c r="B109" s="1" t="n">
        <v>44379</v>
      </c>
      <c r="C109" s="1" t="n">
        <v>46199</v>
      </c>
      <c r="D109" t="inlineStr">
        <is>
          <t>GÄVLEBORGS LÄN</t>
        </is>
      </c>
      <c r="E109" t="inlineStr">
        <is>
          <t>NORDANSTIG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46199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46199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54496-2021</t>
        </is>
      </c>
      <c r="B112" s="1" t="n">
        <v>44473</v>
      </c>
      <c r="C112" s="1" t="n">
        <v>46199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62111-2021</t>
        </is>
      </c>
      <c r="B113" s="1" t="n">
        <v>44502</v>
      </c>
      <c r="C113" s="1" t="n">
        <v>46199</v>
      </c>
      <c r="D113" t="inlineStr">
        <is>
          <t>GÄVLEBORGS LÄN</t>
        </is>
      </c>
      <c r="E113" t="inlineStr">
        <is>
          <t>NORDANSTIG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14246-2022</t>
        </is>
      </c>
      <c r="B114" s="1" t="n">
        <v>44651</v>
      </c>
      <c r="C114" s="1" t="n">
        <v>46199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63656-2021</t>
        </is>
      </c>
      <c r="B115" s="1" t="n">
        <v>44509</v>
      </c>
      <c r="C115" s="1" t="n">
        <v>46199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51223-2021</t>
        </is>
      </c>
      <c r="B116" s="1" t="n">
        <v>44461</v>
      </c>
      <c r="C116" s="1" t="n">
        <v>46199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19233-2022</t>
        </is>
      </c>
      <c r="B117" s="1" t="n">
        <v>44692</v>
      </c>
      <c r="C117" s="1" t="n">
        <v>46199</v>
      </c>
      <c r="D117" t="inlineStr">
        <is>
          <t>GÄVLEBORGS LÄN</t>
        </is>
      </c>
      <c r="E117" t="inlineStr">
        <is>
          <t>NORDANSTIG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19182-2022</t>
        </is>
      </c>
      <c r="B118" s="1" t="n">
        <v>44691</v>
      </c>
      <c r="C118" s="1" t="n">
        <v>46199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26547-2022</t>
        </is>
      </c>
      <c r="B119" s="1" t="n">
        <v>44739</v>
      </c>
      <c r="C119" s="1" t="n">
        <v>46199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35129-2022</t>
        </is>
      </c>
      <c r="B120" s="1" t="n">
        <v>44797</v>
      </c>
      <c r="C120" s="1" t="n">
        <v>46199</v>
      </c>
      <c r="D120" t="inlineStr">
        <is>
          <t>GÄVLEBORGS LÄN</t>
        </is>
      </c>
      <c r="E120" t="inlineStr">
        <is>
          <t>NORDANSTIG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45272-2021</t>
        </is>
      </c>
      <c r="B121" s="1" t="n">
        <v>44439</v>
      </c>
      <c r="C121" s="1" t="n">
        <v>46199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39052-2021</t>
        </is>
      </c>
      <c r="B122" s="1" t="n">
        <v>44412</v>
      </c>
      <c r="C122" s="1" t="n">
        <v>46199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71973-2021</t>
        </is>
      </c>
      <c r="B123" s="1" t="n">
        <v>44544</v>
      </c>
      <c r="C123" s="1" t="n">
        <v>46199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</v>
      </c>
      <c r="C124" s="1" t="n">
        <v>46199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72435-2021</t>
        </is>
      </c>
      <c r="B125" s="1" t="n">
        <v>44545</v>
      </c>
      <c r="C125" s="1" t="n">
        <v>46199</v>
      </c>
      <c r="D125" t="inlineStr">
        <is>
          <t>GÄVLEBORGS LÄN</t>
        </is>
      </c>
      <c r="E125" t="inlineStr">
        <is>
          <t>NORDANSTIG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35859-2021</t>
        </is>
      </c>
      <c r="B126" s="1" t="n">
        <v>44386</v>
      </c>
      <c r="C126" s="1" t="n">
        <v>46199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11706-2022</t>
        </is>
      </c>
      <c r="B127" s="1" t="n">
        <v>44634</v>
      </c>
      <c r="C127" s="1" t="n">
        <v>46199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25460-2022</t>
        </is>
      </c>
      <c r="B128" s="1" t="n">
        <v>44732</v>
      </c>
      <c r="C128" s="1" t="n">
        <v>46199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46199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67931-2021</t>
        </is>
      </c>
      <c r="B130" s="1" t="n">
        <v>44525</v>
      </c>
      <c r="C130" s="1" t="n">
        <v>46199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42129-2022</t>
        </is>
      </c>
      <c r="B131" s="1" t="n">
        <v>44830</v>
      </c>
      <c r="C131" s="1" t="n">
        <v>46199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9899-2022</t>
        </is>
      </c>
      <c r="B132" s="1" t="n">
        <v>44620</v>
      </c>
      <c r="C132" s="1" t="n">
        <v>46199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</v>
      </c>
      <c r="C133" s="1" t="n">
        <v>46199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27695-2022</t>
        </is>
      </c>
      <c r="B134" s="1" t="n">
        <v>44743</v>
      </c>
      <c r="C134" s="1" t="n">
        <v>46199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</v>
      </c>
      <c r="C135" s="1" t="n">
        <v>46199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</v>
      </c>
      <c r="C136" s="1" t="n">
        <v>46199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</v>
      </c>
      <c r="C137" s="1" t="n">
        <v>46199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52990-2021</t>
        </is>
      </c>
      <c r="B138" s="1" t="n">
        <v>44467</v>
      </c>
      <c r="C138" s="1" t="n">
        <v>46199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73725-2021</t>
        </is>
      </c>
      <c r="B139" s="1" t="n">
        <v>44552</v>
      </c>
      <c r="C139" s="1" t="n">
        <v>46199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46199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</v>
      </c>
      <c r="C141" s="1" t="n">
        <v>46199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46199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</v>
      </c>
      <c r="C143" s="1" t="n">
        <v>46199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960-2022</t>
        </is>
      </c>
      <c r="B144" s="1" t="n">
        <v>44571</v>
      </c>
      <c r="C144" s="1" t="n">
        <v>46199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</v>
      </c>
      <c r="C145" s="1" t="n">
        <v>46199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</v>
      </c>
      <c r="C146" s="1" t="n">
        <v>46199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46199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46199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25002-2022</t>
        </is>
      </c>
      <c r="B149" s="1" t="n">
        <v>44728</v>
      </c>
      <c r="C149" s="1" t="n">
        <v>46199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33109-2022</t>
        </is>
      </c>
      <c r="B150" s="1" t="n">
        <v>44785</v>
      </c>
      <c r="C150" s="1" t="n">
        <v>46199</v>
      </c>
      <c r="D150" t="inlineStr">
        <is>
          <t>GÄVLEBORGS LÄN</t>
        </is>
      </c>
      <c r="E150" t="inlineStr">
        <is>
          <t>NORDANSTIG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69127-2021</t>
        </is>
      </c>
      <c r="B151" s="1" t="n">
        <v>44530</v>
      </c>
      <c r="C151" s="1" t="n">
        <v>46199</v>
      </c>
      <c r="D151" t="inlineStr">
        <is>
          <t>GÄVLEBORGS LÄN</t>
        </is>
      </c>
      <c r="E151" t="inlineStr">
        <is>
          <t>NORDANSTIG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</v>
      </c>
      <c r="C152" s="1" t="n">
        <v>46199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46199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</v>
      </c>
      <c r="C154" s="1" t="n">
        <v>46199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</v>
      </c>
      <c r="C155" s="1" t="n">
        <v>46199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46199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46199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46199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</v>
      </c>
      <c r="C159" s="1" t="n">
        <v>46199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46199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46199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8805-2025</t>
        </is>
      </c>
      <c r="B162" s="1" t="n">
        <v>45712</v>
      </c>
      <c r="C162" s="1" t="n">
        <v>46199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</v>
      </c>
      <c r="C163" s="1" t="n">
        <v>46199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</v>
      </c>
      <c r="C164" s="1" t="n">
        <v>46199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</v>
      </c>
      <c r="C165" s="1" t="n">
        <v>46199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</v>
      </c>
      <c r="C166" s="1" t="n">
        <v>46199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37686-2024</t>
        </is>
      </c>
      <c r="B167" s="1" t="n">
        <v>45541</v>
      </c>
      <c r="C167" s="1" t="n">
        <v>46199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14415-2025</t>
        </is>
      </c>
      <c r="B168" s="1" t="n">
        <v>45741</v>
      </c>
      <c r="C168" s="1" t="n">
        <v>46199</v>
      </c>
      <c r="D168" t="inlineStr">
        <is>
          <t>GÄVLEBORGS LÄN</t>
        </is>
      </c>
      <c r="E168" t="inlineStr">
        <is>
          <t>NORDANSTIG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55206-2022</t>
        </is>
      </c>
      <c r="B169" s="1" t="n">
        <v>44886</v>
      </c>
      <c r="C169" s="1" t="n">
        <v>46199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4255-2024</t>
        </is>
      </c>
      <c r="B170" s="1" t="n">
        <v>45324</v>
      </c>
      <c r="C170" s="1" t="n">
        <v>46199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45310-2022</t>
        </is>
      </c>
      <c r="B171" s="1" t="n">
        <v>44844</v>
      </c>
      <c r="C171" s="1" t="n">
        <v>46199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17887-2024</t>
        </is>
      </c>
      <c r="B172" s="1" t="n">
        <v>45419</v>
      </c>
      <c r="C172" s="1" t="n">
        <v>46199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50365-2023</t>
        </is>
      </c>
      <c r="B173" s="1" t="n">
        <v>45216</v>
      </c>
      <c r="C173" s="1" t="n">
        <v>46199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30879-2024</t>
        </is>
      </c>
      <c r="B174" s="1" t="n">
        <v>45498</v>
      </c>
      <c r="C174" s="1" t="n">
        <v>46199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18761-2024</t>
        </is>
      </c>
      <c r="B175" s="1" t="n">
        <v>45426</v>
      </c>
      <c r="C175" s="1" t="n">
        <v>46199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32470-2023</t>
        </is>
      </c>
      <c r="B176" s="1" t="n">
        <v>45120</v>
      </c>
      <c r="C176" s="1" t="n">
        <v>46199</v>
      </c>
      <c r="D176" t="inlineStr">
        <is>
          <t>GÄVLEBORGS LÄN</t>
        </is>
      </c>
      <c r="E176" t="inlineStr">
        <is>
          <t>NORDANSTIG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42253-2024</t>
        </is>
      </c>
      <c r="B177" s="1" t="n">
        <v>45562</v>
      </c>
      <c r="C177" s="1" t="n">
        <v>46199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22310-2025</t>
        </is>
      </c>
      <c r="B178" s="1" t="n">
        <v>45786</v>
      </c>
      <c r="C178" s="1" t="n">
        <v>46199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57559-2025</t>
        </is>
      </c>
      <c r="B179" s="1" t="n">
        <v>45980</v>
      </c>
      <c r="C179" s="1" t="n">
        <v>46199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57558-2025</t>
        </is>
      </c>
      <c r="B180" s="1" t="n">
        <v>45980</v>
      </c>
      <c r="C180" s="1" t="n">
        <v>46199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57284-2025</t>
        </is>
      </c>
      <c r="B181" s="1" t="n">
        <v>45979</v>
      </c>
      <c r="C181" s="1" t="n">
        <v>46199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67879-2021</t>
        </is>
      </c>
      <c r="B182" s="1" t="n">
        <v>44525</v>
      </c>
      <c r="C182" s="1" t="n">
        <v>46199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37563-2025</t>
        </is>
      </c>
      <c r="B183" s="1" t="n">
        <v>45880</v>
      </c>
      <c r="C183" s="1" t="n">
        <v>46199</v>
      </c>
      <c r="D183" t="inlineStr">
        <is>
          <t>GÄVLEBORGS LÄN</t>
        </is>
      </c>
      <c r="E183" t="inlineStr">
        <is>
          <t>NORDANSTIG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16616-2025</t>
        </is>
      </c>
      <c r="B184" s="1" t="n">
        <v>45754</v>
      </c>
      <c r="C184" s="1" t="n">
        <v>46199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22319-2025</t>
        </is>
      </c>
      <c r="B185" s="1" t="n">
        <v>45786</v>
      </c>
      <c r="C185" s="1" t="n">
        <v>46199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42717-2024</t>
        </is>
      </c>
      <c r="B186" s="1" t="n">
        <v>45566</v>
      </c>
      <c r="C186" s="1" t="n">
        <v>46199</v>
      </c>
      <c r="D186" t="inlineStr">
        <is>
          <t>GÄVLEBORGS LÄN</t>
        </is>
      </c>
      <c r="E186" t="inlineStr">
        <is>
          <t>NORDANSTIG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43589-2021</t>
        </is>
      </c>
      <c r="B187" s="1" t="n">
        <v>44433</v>
      </c>
      <c r="C187" s="1" t="n">
        <v>46199</v>
      </c>
      <c r="D187" t="inlineStr">
        <is>
          <t>GÄVLEBORGS LÄN</t>
        </is>
      </c>
      <c r="E187" t="inlineStr">
        <is>
          <t>NORDANSTIG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23122-2025</t>
        </is>
      </c>
      <c r="B188" s="1" t="n">
        <v>45791</v>
      </c>
      <c r="C188" s="1" t="n">
        <v>46199</v>
      </c>
      <c r="D188" t="inlineStr">
        <is>
          <t>GÄVLEBORGS LÄN</t>
        </is>
      </c>
      <c r="E188" t="inlineStr">
        <is>
          <t>NORDANSTIG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17678-2025</t>
        </is>
      </c>
      <c r="B189" s="1" t="n">
        <v>45758</v>
      </c>
      <c r="C189" s="1" t="n">
        <v>46199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23623-2025</t>
        </is>
      </c>
      <c r="B190" s="1" t="n">
        <v>45792</v>
      </c>
      <c r="C190" s="1" t="n">
        <v>46199</v>
      </c>
      <c r="D190" t="inlineStr">
        <is>
          <t>GÄVLEBORGS LÄN</t>
        </is>
      </c>
      <c r="E190" t="inlineStr">
        <is>
          <t>NORDANSTIG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38610-2025</t>
        </is>
      </c>
      <c r="B191" s="1" t="n">
        <v>45884</v>
      </c>
      <c r="C191" s="1" t="n">
        <v>46199</v>
      </c>
      <c r="D191" t="inlineStr">
        <is>
          <t>GÄVLEBORGS LÄN</t>
        </is>
      </c>
      <c r="E191" t="inlineStr">
        <is>
          <t>NORDANSTIG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23154-2025</t>
        </is>
      </c>
      <c r="B192" s="1" t="n">
        <v>45791</v>
      </c>
      <c r="C192" s="1" t="n">
        <v>46199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20137-2023</t>
        </is>
      </c>
      <c r="B193" s="1" t="n">
        <v>45055</v>
      </c>
      <c r="C193" s="1" t="n">
        <v>46199</v>
      </c>
      <c r="D193" t="inlineStr">
        <is>
          <t>GÄVLEBORGS LÄN</t>
        </is>
      </c>
      <c r="E193" t="inlineStr">
        <is>
          <t>NORDANSTIG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54803-2023</t>
        </is>
      </c>
      <c r="B194" s="1" t="n">
        <v>45236</v>
      </c>
      <c r="C194" s="1" t="n">
        <v>46199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18525-2025</t>
        </is>
      </c>
      <c r="B195" s="1" t="n">
        <v>45763</v>
      </c>
      <c r="C195" s="1" t="n">
        <v>46199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2986-2023</t>
        </is>
      </c>
      <c r="B196" s="1" t="n">
        <v>44945</v>
      </c>
      <c r="C196" s="1" t="n">
        <v>46199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33414-2022</t>
        </is>
      </c>
      <c r="B197" s="1" t="n">
        <v>44788</v>
      </c>
      <c r="C197" s="1" t="n">
        <v>46199</v>
      </c>
      <c r="D197" t="inlineStr">
        <is>
          <t>GÄVLEBORGS LÄN</t>
        </is>
      </c>
      <c r="E197" t="inlineStr">
        <is>
          <t>NORDANSTIG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23119-2025</t>
        </is>
      </c>
      <c r="B198" s="1" t="n">
        <v>45791</v>
      </c>
      <c r="C198" s="1" t="n">
        <v>46199</v>
      </c>
      <c r="D198" t="inlineStr">
        <is>
          <t>GÄVLEBORGS LÄN</t>
        </is>
      </c>
      <c r="E198" t="inlineStr">
        <is>
          <t>NORDANSTIG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23072-2025</t>
        </is>
      </c>
      <c r="B199" s="1" t="n">
        <v>45790</v>
      </c>
      <c r="C199" s="1" t="n">
        <v>46199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38295-2025</t>
        </is>
      </c>
      <c r="B200" s="1" t="n">
        <v>45883</v>
      </c>
      <c r="C200" s="1" t="n">
        <v>46199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23993-2025</t>
        </is>
      </c>
      <c r="B201" s="1" t="n">
        <v>45796</v>
      </c>
      <c r="C201" s="1" t="n">
        <v>46199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23791-2025</t>
        </is>
      </c>
      <c r="B202" s="1" t="n">
        <v>45793</v>
      </c>
      <c r="C202" s="1" t="n">
        <v>46199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42780-2022</t>
        </is>
      </c>
      <c r="B203" s="1" t="n">
        <v>44832</v>
      </c>
      <c r="C203" s="1" t="n">
        <v>46199</v>
      </c>
      <c r="D203" t="inlineStr">
        <is>
          <t>GÄVLEBORGS LÄN</t>
        </is>
      </c>
      <c r="E203" t="inlineStr">
        <is>
          <t>NORDANSTIG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42947-2022</t>
        </is>
      </c>
      <c r="B204" s="1" t="n">
        <v>44833</v>
      </c>
      <c r="C204" s="1" t="n">
        <v>46199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57875-2025</t>
        </is>
      </c>
      <c r="B205" s="1" t="n">
        <v>45981</v>
      </c>
      <c r="C205" s="1" t="n">
        <v>46199</v>
      </c>
      <c r="D205" t="inlineStr">
        <is>
          <t>GÄVLEBORGS LÄN</t>
        </is>
      </c>
      <c r="E205" t="inlineStr">
        <is>
          <t>NORDANSTIG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43523-2024</t>
        </is>
      </c>
      <c r="B206" s="1" t="n">
        <v>45569</v>
      </c>
      <c r="C206" s="1" t="n">
        <v>46199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45312-2023</t>
        </is>
      </c>
      <c r="B207" s="1" t="n">
        <v>45191</v>
      </c>
      <c r="C207" s="1" t="n">
        <v>46199</v>
      </c>
      <c r="D207" t="inlineStr">
        <is>
          <t>GÄVLEBORGS LÄN</t>
        </is>
      </c>
      <c r="E207" t="inlineStr">
        <is>
          <t>NORDANSTIG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23788-2025</t>
        </is>
      </c>
      <c r="B208" s="1" t="n">
        <v>45793</v>
      </c>
      <c r="C208" s="1" t="n">
        <v>46199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24101-2025</t>
        </is>
      </c>
      <c r="B209" s="1" t="n">
        <v>45796</v>
      </c>
      <c r="C209" s="1" t="n">
        <v>46199</v>
      </c>
      <c r="D209" t="inlineStr">
        <is>
          <t>GÄVLEBORGS LÄN</t>
        </is>
      </c>
      <c r="E209" t="inlineStr">
        <is>
          <t>NORDANSTIG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38159-2022</t>
        </is>
      </c>
      <c r="B210" s="1" t="n">
        <v>44812</v>
      </c>
      <c r="C210" s="1" t="n">
        <v>46199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25724-2024</t>
        </is>
      </c>
      <c r="B211" s="1" t="n">
        <v>45463</v>
      </c>
      <c r="C211" s="1" t="n">
        <v>46199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30150-2024</t>
        </is>
      </c>
      <c r="B212" s="1" t="n">
        <v>45489</v>
      </c>
      <c r="C212" s="1" t="n">
        <v>46199</v>
      </c>
      <c r="D212" t="inlineStr">
        <is>
          <t>GÄVLEBORGS LÄN</t>
        </is>
      </c>
      <c r="E212" t="inlineStr">
        <is>
          <t>NORDANSTIG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39036-2025</t>
        </is>
      </c>
      <c r="B213" s="1" t="n">
        <v>45888</v>
      </c>
      <c r="C213" s="1" t="n">
        <v>46199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25723-2024</t>
        </is>
      </c>
      <c r="B214" s="1" t="n">
        <v>45463</v>
      </c>
      <c r="C214" s="1" t="n">
        <v>46199</v>
      </c>
      <c r="D214" t="inlineStr">
        <is>
          <t>GÄVLEBORGS LÄN</t>
        </is>
      </c>
      <c r="E214" t="inlineStr">
        <is>
          <t>NORDANSTIG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73748-2021</t>
        </is>
      </c>
      <c r="B215" s="1" t="n">
        <v>44552</v>
      </c>
      <c r="C215" s="1" t="n">
        <v>46199</v>
      </c>
      <c r="D215" t="inlineStr">
        <is>
          <t>GÄVLEBORGS LÄN</t>
        </is>
      </c>
      <c r="E215" t="inlineStr">
        <is>
          <t>NORDANSTIG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35741-2024</t>
        </is>
      </c>
      <c r="B216" s="1" t="n">
        <v>45532</v>
      </c>
      <c r="C216" s="1" t="n">
        <v>46199</v>
      </c>
      <c r="D216" t="inlineStr">
        <is>
          <t>GÄVLEBORGS LÄN</t>
        </is>
      </c>
      <c r="E216" t="inlineStr">
        <is>
          <t>NORDANSTIG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37294-2024</t>
        </is>
      </c>
      <c r="B217" s="1" t="n">
        <v>45540</v>
      </c>
      <c r="C217" s="1" t="n">
        <v>46199</v>
      </c>
      <c r="D217" t="inlineStr">
        <is>
          <t>GÄVLEBORGS LÄN</t>
        </is>
      </c>
      <c r="E217" t="inlineStr">
        <is>
          <t>NORDANSTIG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34339-2023</t>
        </is>
      </c>
      <c r="B218" s="1" t="n">
        <v>45139</v>
      </c>
      <c r="C218" s="1" t="n">
        <v>46199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38990-2025</t>
        </is>
      </c>
      <c r="B219" s="1" t="n">
        <v>45888</v>
      </c>
      <c r="C219" s="1" t="n">
        <v>46199</v>
      </c>
      <c r="D219" t="inlineStr">
        <is>
          <t>GÄVLEBORGS LÄN</t>
        </is>
      </c>
      <c r="E219" t="inlineStr">
        <is>
          <t>NORDANSTIG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47238-2024</t>
        </is>
      </c>
      <c r="B220" s="1" t="n">
        <v>45586</v>
      </c>
      <c r="C220" s="1" t="n">
        <v>46199</v>
      </c>
      <c r="D220" t="inlineStr">
        <is>
          <t>GÄVLEBORGS LÄN</t>
        </is>
      </c>
      <c r="E220" t="inlineStr">
        <is>
          <t>NORDANSTIG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39597-2025</t>
        </is>
      </c>
      <c r="B221" s="1" t="n">
        <v>45890</v>
      </c>
      <c r="C221" s="1" t="n">
        <v>46199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58531-2025</t>
        </is>
      </c>
      <c r="B222" s="1" t="n">
        <v>45985</v>
      </c>
      <c r="C222" s="1" t="n">
        <v>46199</v>
      </c>
      <c r="D222" t="inlineStr">
        <is>
          <t>GÄVLEBORGS LÄN</t>
        </is>
      </c>
      <c r="E222" t="inlineStr">
        <is>
          <t>NORDANSTIG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35405-2025</t>
        </is>
      </c>
      <c r="B223" s="1" t="n">
        <v>45855</v>
      </c>
      <c r="C223" s="1" t="n">
        <v>46199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58522-2025</t>
        </is>
      </c>
      <c r="B224" s="1" t="n">
        <v>45985</v>
      </c>
      <c r="C224" s="1" t="n">
        <v>46199</v>
      </c>
      <c r="D224" t="inlineStr">
        <is>
          <t>GÄVLEBORGS LÄN</t>
        </is>
      </c>
      <c r="E224" t="inlineStr">
        <is>
          <t>NORDANSTIG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49607-2022</t>
        </is>
      </c>
      <c r="B225" s="1" t="n">
        <v>44862</v>
      </c>
      <c r="C225" s="1" t="n">
        <v>46199</v>
      </c>
      <c r="D225" t="inlineStr">
        <is>
          <t>GÄVLEBORGS LÄN</t>
        </is>
      </c>
      <c r="E225" t="inlineStr">
        <is>
          <t>NORDANSTIG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34560-2023</t>
        </is>
      </c>
      <c r="B226" s="1" t="n">
        <v>45140</v>
      </c>
      <c r="C226" s="1" t="n">
        <v>46199</v>
      </c>
      <c r="D226" t="inlineStr">
        <is>
          <t>GÄVLEBORGS LÄN</t>
        </is>
      </c>
      <c r="E226" t="inlineStr">
        <is>
          <t>NORDANSTIG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36694-2024</t>
        </is>
      </c>
      <c r="B227" s="1" t="n">
        <v>45537</v>
      </c>
      <c r="C227" s="1" t="n">
        <v>46199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40658-2025</t>
        </is>
      </c>
      <c r="B228" s="1" t="n">
        <v>45896</v>
      </c>
      <c r="C228" s="1" t="n">
        <v>46199</v>
      </c>
      <c r="D228" t="inlineStr">
        <is>
          <t>GÄVLEBORGS LÄN</t>
        </is>
      </c>
      <c r="E228" t="inlineStr">
        <is>
          <t>NORDANSTIG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58533-2025</t>
        </is>
      </c>
      <c r="B229" s="1" t="n">
        <v>45985</v>
      </c>
      <c r="C229" s="1" t="n">
        <v>46199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58595-2025</t>
        </is>
      </c>
      <c r="B230" s="1" t="n">
        <v>45986</v>
      </c>
      <c r="C230" s="1" t="n">
        <v>46199</v>
      </c>
      <c r="D230" t="inlineStr">
        <is>
          <t>GÄVLEBORGS LÄN</t>
        </is>
      </c>
      <c r="E230" t="inlineStr">
        <is>
          <t>NORDANSTIG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35822-2025</t>
        </is>
      </c>
      <c r="B231" s="1" t="n">
        <v>45861</v>
      </c>
      <c r="C231" s="1" t="n">
        <v>46199</v>
      </c>
      <c r="D231" t="inlineStr">
        <is>
          <t>GÄVLEBORGS LÄN</t>
        </is>
      </c>
      <c r="E231" t="inlineStr">
        <is>
          <t>NORDANSTIG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40622-2025</t>
        </is>
      </c>
      <c r="B232" s="1" t="n">
        <v>45896</v>
      </c>
      <c r="C232" s="1" t="n">
        <v>46199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40647-2025</t>
        </is>
      </c>
      <c r="B233" s="1" t="n">
        <v>45896</v>
      </c>
      <c r="C233" s="1" t="n">
        <v>46199</v>
      </c>
      <c r="D233" t="inlineStr">
        <is>
          <t>GÄVLEBORGS LÄN</t>
        </is>
      </c>
      <c r="E233" t="inlineStr">
        <is>
          <t>NORDANSTIG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40629-2025</t>
        </is>
      </c>
      <c r="B234" s="1" t="n">
        <v>45896</v>
      </c>
      <c r="C234" s="1" t="n">
        <v>46199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25068-2025</t>
        </is>
      </c>
      <c r="B235" s="1" t="n">
        <v>45799</v>
      </c>
      <c r="C235" s="1" t="n">
        <v>46199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40804-2025</t>
        </is>
      </c>
      <c r="B236" s="1" t="n">
        <v>45897</v>
      </c>
      <c r="C236" s="1" t="n">
        <v>46199</v>
      </c>
      <c r="D236" t="inlineStr">
        <is>
          <t>GÄVLEBORGS LÄN</t>
        </is>
      </c>
      <c r="E236" t="inlineStr">
        <is>
          <t>NORDANSTIG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58532-2025</t>
        </is>
      </c>
      <c r="B237" s="1" t="n">
        <v>45985</v>
      </c>
      <c r="C237" s="1" t="n">
        <v>46199</v>
      </c>
      <c r="D237" t="inlineStr">
        <is>
          <t>GÄVLEBORGS LÄN</t>
        </is>
      </c>
      <c r="E237" t="inlineStr">
        <is>
          <t>NORDANSTIG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58535-2025</t>
        </is>
      </c>
      <c r="B238" s="1" t="n">
        <v>45985</v>
      </c>
      <c r="C238" s="1" t="n">
        <v>46199</v>
      </c>
      <c r="D238" t="inlineStr">
        <is>
          <t>GÄVLEBORGS LÄN</t>
        </is>
      </c>
      <c r="E238" t="inlineStr">
        <is>
          <t>NORDANSTIG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40824-2025</t>
        </is>
      </c>
      <c r="B239" s="1" t="n">
        <v>45897</v>
      </c>
      <c r="C239" s="1" t="n">
        <v>46199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24938-2025</t>
        </is>
      </c>
      <c r="B240" s="1" t="n">
        <v>45799</v>
      </c>
      <c r="C240" s="1" t="n">
        <v>46199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40812-2025</t>
        </is>
      </c>
      <c r="B241" s="1" t="n">
        <v>45897</v>
      </c>
      <c r="C241" s="1" t="n">
        <v>46199</v>
      </c>
      <c r="D241" t="inlineStr">
        <is>
          <t>GÄVLEBORGS LÄN</t>
        </is>
      </c>
      <c r="E241" t="inlineStr">
        <is>
          <t>NORDANSTIG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41202-2025</t>
        </is>
      </c>
      <c r="B242" s="1" t="n">
        <v>45898</v>
      </c>
      <c r="C242" s="1" t="n">
        <v>46199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32602-2024</t>
        </is>
      </c>
      <c r="B243" s="1" t="n">
        <v>45513</v>
      </c>
      <c r="C243" s="1" t="n">
        <v>46199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31270-2024</t>
        </is>
      </c>
      <c r="B244" s="1" t="n">
        <v>45504</v>
      </c>
      <c r="C244" s="1" t="n">
        <v>46199</v>
      </c>
      <c r="D244" t="inlineStr">
        <is>
          <t>GÄVLEBORGS LÄN</t>
        </is>
      </c>
      <c r="E244" t="inlineStr">
        <is>
          <t>NORDANSTIG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25080-2025</t>
        </is>
      </c>
      <c r="B245" s="1" t="n">
        <v>45799</v>
      </c>
      <c r="C245" s="1" t="n">
        <v>46199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25468-2025</t>
        </is>
      </c>
      <c r="B246" s="1" t="n">
        <v>45802</v>
      </c>
      <c r="C246" s="1" t="n">
        <v>46199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25467-2025</t>
        </is>
      </c>
      <c r="B247" s="1" t="n">
        <v>45802</v>
      </c>
      <c r="C247" s="1" t="n">
        <v>46199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51222-2024</t>
        </is>
      </c>
      <c r="B248" s="1" t="n">
        <v>45603</v>
      </c>
      <c r="C248" s="1" t="n">
        <v>46199</v>
      </c>
      <c r="D248" t="inlineStr">
        <is>
          <t>GÄVLEBORGS LÄN</t>
        </is>
      </c>
      <c r="E248" t="inlineStr">
        <is>
          <t>NORDANSTIG</t>
        </is>
      </c>
      <c r="G248" t="n">
        <v>15.1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51230-2024</t>
        </is>
      </c>
      <c r="B249" s="1" t="n">
        <v>45603</v>
      </c>
      <c r="C249" s="1" t="n">
        <v>46199</v>
      </c>
      <c r="D249" t="inlineStr">
        <is>
          <t>GÄVLEBORGS LÄN</t>
        </is>
      </c>
      <c r="E249" t="inlineStr">
        <is>
          <t>NORDANSTIG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25469-2025</t>
        </is>
      </c>
      <c r="B250" s="1" t="n">
        <v>45802</v>
      </c>
      <c r="C250" s="1" t="n">
        <v>46199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2861-2023</t>
        </is>
      </c>
      <c r="B251" s="1" t="n">
        <v>44945</v>
      </c>
      <c r="C251" s="1" t="n">
        <v>46199</v>
      </c>
      <c r="D251" t="inlineStr">
        <is>
          <t>GÄVLEBORGS LÄN</t>
        </is>
      </c>
      <c r="E251" t="inlineStr">
        <is>
          <t>NORDANSTIG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41773-2025</t>
        </is>
      </c>
      <c r="B252" s="1" t="n">
        <v>45902</v>
      </c>
      <c r="C252" s="1" t="n">
        <v>46199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4142-2023</t>
        </is>
      </c>
      <c r="B253" s="1" t="n">
        <v>44953</v>
      </c>
      <c r="C253" s="1" t="n">
        <v>46199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30969-2024</t>
        </is>
      </c>
      <c r="B254" s="1" t="n">
        <v>45499</v>
      </c>
      <c r="C254" s="1" t="n">
        <v>46199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42210-2025</t>
        </is>
      </c>
      <c r="B255" s="1" t="n">
        <v>45904</v>
      </c>
      <c r="C255" s="1" t="n">
        <v>46199</v>
      </c>
      <c r="D255" t="inlineStr">
        <is>
          <t>GÄVLEBORGS LÄN</t>
        </is>
      </c>
      <c r="E255" t="inlineStr">
        <is>
          <t>NORDANSTIG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30978-2024</t>
        </is>
      </c>
      <c r="B256" s="1" t="n">
        <v>45499</v>
      </c>
      <c r="C256" s="1" t="n">
        <v>46199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41960-2025</t>
        </is>
      </c>
      <c r="B257" s="1" t="n">
        <v>45903</v>
      </c>
      <c r="C257" s="1" t="n">
        <v>46199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42200-2025</t>
        </is>
      </c>
      <c r="B258" s="1" t="n">
        <v>45904</v>
      </c>
      <c r="C258" s="1" t="n">
        <v>46199</v>
      </c>
      <c r="D258" t="inlineStr">
        <is>
          <t>GÄVLEBORGS LÄN</t>
        </is>
      </c>
      <c r="E258" t="inlineStr">
        <is>
          <t>NORDANSTIG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1526-2024</t>
        </is>
      </c>
      <c r="B259" s="1" t="n">
        <v>45306</v>
      </c>
      <c r="C259" s="1" t="n">
        <v>46199</v>
      </c>
      <c r="D259" t="inlineStr">
        <is>
          <t>GÄVLEBORGS LÄN</t>
        </is>
      </c>
      <c r="E259" t="inlineStr">
        <is>
          <t>NORDANSTIG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41701-2023</t>
        </is>
      </c>
      <c r="B260" s="1" t="n">
        <v>45176</v>
      </c>
      <c r="C260" s="1" t="n">
        <v>46199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42884-2025</t>
        </is>
      </c>
      <c r="B261" s="1" t="n">
        <v>45908</v>
      </c>
      <c r="C261" s="1" t="n">
        <v>46199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52120-2022</t>
        </is>
      </c>
      <c r="B262" s="1" t="n">
        <v>44873</v>
      </c>
      <c r="C262" s="1" t="n">
        <v>46199</v>
      </c>
      <c r="D262" t="inlineStr">
        <is>
          <t>GÄVLEBORGS LÄN</t>
        </is>
      </c>
      <c r="E262" t="inlineStr">
        <is>
          <t>NORDANSTIG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5475-2023</t>
        </is>
      </c>
      <c r="B263" s="1" t="n">
        <v>44960</v>
      </c>
      <c r="C263" s="1" t="n">
        <v>46199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42737-2025</t>
        </is>
      </c>
      <c r="B264" s="1" t="n">
        <v>45908</v>
      </c>
      <c r="C264" s="1" t="n">
        <v>46199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2105-2023</t>
        </is>
      </c>
      <c r="B265" s="1" t="n">
        <v>44939</v>
      </c>
      <c r="C265" s="1" t="n">
        <v>46199</v>
      </c>
      <c r="D265" t="inlineStr">
        <is>
          <t>GÄVLEBORGS LÄN</t>
        </is>
      </c>
      <c r="E265" t="inlineStr">
        <is>
          <t>NORDANSTIG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675-2023</t>
        </is>
      </c>
      <c r="B266" s="1" t="n">
        <v>44930</v>
      </c>
      <c r="C266" s="1" t="n">
        <v>46199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59008-2025</t>
        </is>
      </c>
      <c r="B267" s="1" t="n">
        <v>45987</v>
      </c>
      <c r="C267" s="1" t="n">
        <v>46199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60520-2023</t>
        </is>
      </c>
      <c r="B268" s="1" t="n">
        <v>45259</v>
      </c>
      <c r="C268" s="1" t="n">
        <v>46199</v>
      </c>
      <c r="D268" t="inlineStr">
        <is>
          <t>GÄVLEBORGS LÄN</t>
        </is>
      </c>
      <c r="E268" t="inlineStr">
        <is>
          <t>NORDANSTIG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2149-2024</t>
        </is>
      </c>
      <c r="B269" s="1" t="n">
        <v>45309</v>
      </c>
      <c r="C269" s="1" t="n">
        <v>46199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42930-2025</t>
        </is>
      </c>
      <c r="B270" s="1" t="n">
        <v>45909</v>
      </c>
      <c r="C270" s="1" t="n">
        <v>46199</v>
      </c>
      <c r="D270" t="inlineStr">
        <is>
          <t>GÄVLEBORGS LÄN</t>
        </is>
      </c>
      <c r="E270" t="inlineStr">
        <is>
          <t>NORDANSTIG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14051-2025</t>
        </is>
      </c>
      <c r="B271" s="1" t="n">
        <v>45740</v>
      </c>
      <c r="C271" s="1" t="n">
        <v>46199</v>
      </c>
      <c r="D271" t="inlineStr">
        <is>
          <t>GÄVLEBORGS LÄN</t>
        </is>
      </c>
      <c r="E271" t="inlineStr">
        <is>
          <t>NORDANSTIG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27224-2025</t>
        </is>
      </c>
      <c r="B272" s="1" t="n">
        <v>45812</v>
      </c>
      <c r="C272" s="1" t="n">
        <v>46199</v>
      </c>
      <c r="D272" t="inlineStr">
        <is>
          <t>GÄVLEBORGS LÄN</t>
        </is>
      </c>
      <c r="E272" t="inlineStr">
        <is>
          <t>NORDANSTIG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55450-2024</t>
        </is>
      </c>
      <c r="B273" s="1" t="n">
        <v>45622</v>
      </c>
      <c r="C273" s="1" t="n">
        <v>46199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11762-2023</t>
        </is>
      </c>
      <c r="B274" s="1" t="n">
        <v>44994</v>
      </c>
      <c r="C274" s="1" t="n">
        <v>46199</v>
      </c>
      <c r="D274" t="inlineStr">
        <is>
          <t>GÄVLEBORGS LÄN</t>
        </is>
      </c>
      <c r="E274" t="inlineStr">
        <is>
          <t>NORDANSTIG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54896-2024</t>
        </is>
      </c>
      <c r="B275" s="1" t="n">
        <v>45618</v>
      </c>
      <c r="C275" s="1" t="n">
        <v>46199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12266-2025</t>
        </is>
      </c>
      <c r="B276" s="1" t="n">
        <v>45729</v>
      </c>
      <c r="C276" s="1" t="n">
        <v>46199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74460-2021</t>
        </is>
      </c>
      <c r="B277" s="1" t="n">
        <v>44560</v>
      </c>
      <c r="C277" s="1" t="n">
        <v>46199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27203-2025</t>
        </is>
      </c>
      <c r="B278" s="1" t="n">
        <v>45812</v>
      </c>
      <c r="C278" s="1" t="n">
        <v>46199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61418-2024</t>
        </is>
      </c>
      <c r="B279" s="1" t="n">
        <v>45646</v>
      </c>
      <c r="C279" s="1" t="n">
        <v>46199</v>
      </c>
      <c r="D279" t="inlineStr">
        <is>
          <t>GÄVLEBORGS LÄN</t>
        </is>
      </c>
      <c r="E279" t="inlineStr">
        <is>
          <t>NORDANSTIG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43507-2025</t>
        </is>
      </c>
      <c r="B280" s="1" t="n">
        <v>45911</v>
      </c>
      <c r="C280" s="1" t="n">
        <v>46199</v>
      </c>
      <c r="D280" t="inlineStr">
        <is>
          <t>GÄVLEBORGS LÄN</t>
        </is>
      </c>
      <c r="E280" t="inlineStr">
        <is>
          <t>NORDANSTIG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71442-2021</t>
        </is>
      </c>
      <c r="B281" s="1" t="n">
        <v>44540</v>
      </c>
      <c r="C281" s="1" t="n">
        <v>46199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38342-2024</t>
        </is>
      </c>
      <c r="B282" s="1" t="n">
        <v>45545</v>
      </c>
      <c r="C282" s="1" t="n">
        <v>46199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44049-2025</t>
        </is>
      </c>
      <c r="B283" s="1" t="n">
        <v>45915</v>
      </c>
      <c r="C283" s="1" t="n">
        <v>46199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27447-2025</t>
        </is>
      </c>
      <c r="B284" s="1" t="n">
        <v>45813</v>
      </c>
      <c r="C284" s="1" t="n">
        <v>46199</v>
      </c>
      <c r="D284" t="inlineStr">
        <is>
          <t>GÄVLEBORGS LÄN</t>
        </is>
      </c>
      <c r="E284" t="inlineStr">
        <is>
          <t>NORDANSTIG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8395-2024</t>
        </is>
      </c>
      <c r="B285" s="1" t="n">
        <v>45352</v>
      </c>
      <c r="C285" s="1" t="n">
        <v>46199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44052-2025</t>
        </is>
      </c>
      <c r="B286" s="1" t="n">
        <v>45915</v>
      </c>
      <c r="C286" s="1" t="n">
        <v>46199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18401-2023</t>
        </is>
      </c>
      <c r="B287" s="1" t="n">
        <v>45042</v>
      </c>
      <c r="C287" s="1" t="n">
        <v>46199</v>
      </c>
      <c r="D287" t="inlineStr">
        <is>
          <t>GÄVLEBORGS LÄN</t>
        </is>
      </c>
      <c r="E287" t="inlineStr">
        <is>
          <t>NORDANSTIG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411-2025</t>
        </is>
      </c>
      <c r="B288" s="1" t="n">
        <v>45663</v>
      </c>
      <c r="C288" s="1" t="n">
        <v>46199</v>
      </c>
      <c r="D288" t="inlineStr">
        <is>
          <t>GÄVLEBORGS LÄN</t>
        </is>
      </c>
      <c r="E288" t="inlineStr">
        <is>
          <t>NORDANSTIG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44599-2025</t>
        </is>
      </c>
      <c r="B289" s="1" t="n">
        <v>45917</v>
      </c>
      <c r="C289" s="1" t="n">
        <v>46199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44603-2025</t>
        </is>
      </c>
      <c r="B290" s="1" t="n">
        <v>45917</v>
      </c>
      <c r="C290" s="1" t="n">
        <v>46199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44591-2025</t>
        </is>
      </c>
      <c r="B291" s="1" t="n">
        <v>45917</v>
      </c>
      <c r="C291" s="1" t="n">
        <v>46199</v>
      </c>
      <c r="D291" t="inlineStr">
        <is>
          <t>GÄVLEBORGS LÄN</t>
        </is>
      </c>
      <c r="E291" t="inlineStr">
        <is>
          <t>NORDANSTIG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36464-2024</t>
        </is>
      </c>
      <c r="B292" s="1" t="n">
        <v>45537</v>
      </c>
      <c r="C292" s="1" t="n">
        <v>46199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27894-2025</t>
        </is>
      </c>
      <c r="B293" s="1" t="n">
        <v>45817</v>
      </c>
      <c r="C293" s="1" t="n">
        <v>46199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44983-2025</t>
        </is>
      </c>
      <c r="B294" s="1" t="n">
        <v>45918</v>
      </c>
      <c r="C294" s="1" t="n">
        <v>46199</v>
      </c>
      <c r="D294" t="inlineStr">
        <is>
          <t>GÄVLEBORGS LÄN</t>
        </is>
      </c>
      <c r="E294" t="inlineStr">
        <is>
          <t>NORDANSTIG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27841-2025</t>
        </is>
      </c>
      <c r="B295" s="1" t="n">
        <v>45817</v>
      </c>
      <c r="C295" s="1" t="n">
        <v>46199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55526-2024</t>
        </is>
      </c>
      <c r="B296" s="1" t="n">
        <v>45622</v>
      </c>
      <c r="C296" s="1" t="n">
        <v>46199</v>
      </c>
      <c r="D296" t="inlineStr">
        <is>
          <t>GÄVLEBORGS LÄN</t>
        </is>
      </c>
      <c r="E296" t="inlineStr">
        <is>
          <t>NORDANSTIG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44972-2025</t>
        </is>
      </c>
      <c r="B297" s="1" t="n">
        <v>45918</v>
      </c>
      <c r="C297" s="1" t="n">
        <v>46199</v>
      </c>
      <c r="D297" t="inlineStr">
        <is>
          <t>GÄVLEBORGS LÄN</t>
        </is>
      </c>
      <c r="E297" t="inlineStr">
        <is>
          <t>NORDANSTIG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44978-2025</t>
        </is>
      </c>
      <c r="B298" s="1" t="n">
        <v>45918</v>
      </c>
      <c r="C298" s="1" t="n">
        <v>46199</v>
      </c>
      <c r="D298" t="inlineStr">
        <is>
          <t>GÄVLEBORGS LÄN</t>
        </is>
      </c>
      <c r="E298" t="inlineStr">
        <is>
          <t>NORDANSTIG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27804-2025</t>
        </is>
      </c>
      <c r="B299" s="1" t="n">
        <v>45817</v>
      </c>
      <c r="C299" s="1" t="n">
        <v>46199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42858-2024</t>
        </is>
      </c>
      <c r="B300" s="1" t="n">
        <v>45566</v>
      </c>
      <c r="C300" s="1" t="n">
        <v>46199</v>
      </c>
      <c r="D300" t="inlineStr">
        <is>
          <t>GÄVLEBORGS LÄN</t>
        </is>
      </c>
      <c r="E300" t="inlineStr">
        <is>
          <t>NORDANSTIG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6096-2022</t>
        </is>
      </c>
      <c r="B301" s="1" t="n">
        <v>44599</v>
      </c>
      <c r="C301" s="1" t="n">
        <v>46199</v>
      </c>
      <c r="D301" t="inlineStr">
        <is>
          <t>GÄVLEBORGS LÄN</t>
        </is>
      </c>
      <c r="E301" t="inlineStr">
        <is>
          <t>NORDANSTIG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45058-2025</t>
        </is>
      </c>
      <c r="B302" s="1" t="n">
        <v>45919</v>
      </c>
      <c r="C302" s="1" t="n">
        <v>46199</v>
      </c>
      <c r="D302" t="inlineStr">
        <is>
          <t>GÄVLEBORGS LÄN</t>
        </is>
      </c>
      <c r="E302" t="inlineStr">
        <is>
          <t>NORDANSTIG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45946-2025</t>
        </is>
      </c>
      <c r="B303" s="1" t="n">
        <v>45924</v>
      </c>
      <c r="C303" s="1" t="n">
        <v>46199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45902-2025</t>
        </is>
      </c>
      <c r="B304" s="1" t="n">
        <v>45923</v>
      </c>
      <c r="C304" s="1" t="n">
        <v>46199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29275-2025</t>
        </is>
      </c>
      <c r="B305" s="1" t="n">
        <v>45824</v>
      </c>
      <c r="C305" s="1" t="n">
        <v>46199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9131-2024</t>
        </is>
      </c>
      <c r="B306" s="1" t="n">
        <v>45358</v>
      </c>
      <c r="C306" s="1" t="n">
        <v>46199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57976-2022</t>
        </is>
      </c>
      <c r="B307" s="1" t="n">
        <v>44900</v>
      </c>
      <c r="C307" s="1" t="n">
        <v>46199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57983-2022</t>
        </is>
      </c>
      <c r="B308" s="1" t="n">
        <v>44900</v>
      </c>
      <c r="C308" s="1" t="n">
        <v>46199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29878-2025</t>
        </is>
      </c>
      <c r="B309" s="1" t="n">
        <v>45826</v>
      </c>
      <c r="C309" s="1" t="n">
        <v>46199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46027-2025</t>
        </is>
      </c>
      <c r="B310" s="1" t="n">
        <v>45924</v>
      </c>
      <c r="C310" s="1" t="n">
        <v>46199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30022-2025</t>
        </is>
      </c>
      <c r="B311" s="1" t="n">
        <v>45826</v>
      </c>
      <c r="C311" s="1" t="n">
        <v>46199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29741-2025</t>
        </is>
      </c>
      <c r="B312" s="1" t="n">
        <v>45825</v>
      </c>
      <c r="C312" s="1" t="n">
        <v>46199</v>
      </c>
      <c r="D312" t="inlineStr">
        <is>
          <t>GÄVLEBORGS LÄN</t>
        </is>
      </c>
      <c r="E312" t="inlineStr">
        <is>
          <t>NORDANSTIG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853-2024</t>
        </is>
      </c>
      <c r="B313" s="1" t="n">
        <v>45300</v>
      </c>
      <c r="C313" s="1" t="n">
        <v>46199</v>
      </c>
      <c r="D313" t="inlineStr">
        <is>
          <t>GÄVLEBORGS LÄN</t>
        </is>
      </c>
      <c r="E313" t="inlineStr">
        <is>
          <t>NORDANSTIG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884-2024</t>
        </is>
      </c>
      <c r="B314" s="1" t="n">
        <v>45301</v>
      </c>
      <c r="C314" s="1" t="n">
        <v>46199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46262-2025</t>
        </is>
      </c>
      <c r="B315" s="1" t="n">
        <v>45925</v>
      </c>
      <c r="C315" s="1" t="n">
        <v>46199</v>
      </c>
      <c r="D315" t="inlineStr">
        <is>
          <t>GÄVLEBORGS LÄN</t>
        </is>
      </c>
      <c r="E315" t="inlineStr">
        <is>
          <t>NORDANSTIG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59997-2025</t>
        </is>
      </c>
      <c r="B316" s="1" t="n">
        <v>45993</v>
      </c>
      <c r="C316" s="1" t="n">
        <v>46199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60299-2025</t>
        </is>
      </c>
      <c r="B317" s="1" t="n">
        <v>45994</v>
      </c>
      <c r="C317" s="1" t="n">
        <v>46199</v>
      </c>
      <c r="D317" t="inlineStr">
        <is>
          <t>GÄVLEBORGS LÄN</t>
        </is>
      </c>
      <c r="E317" t="inlineStr">
        <is>
          <t>NORDANSTIG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60372-2025</t>
        </is>
      </c>
      <c r="B318" s="1" t="n">
        <v>45995</v>
      </c>
      <c r="C318" s="1" t="n">
        <v>46199</v>
      </c>
      <c r="D318" t="inlineStr">
        <is>
          <t>GÄVLEBORGS LÄN</t>
        </is>
      </c>
      <c r="E318" t="inlineStr">
        <is>
          <t>NORDANSTIG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60787-2025</t>
        </is>
      </c>
      <c r="B319" s="1" t="n">
        <v>45999</v>
      </c>
      <c r="C319" s="1" t="n">
        <v>46199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43539-2023</t>
        </is>
      </c>
      <c r="B320" s="1" t="n">
        <v>45184</v>
      </c>
      <c r="C320" s="1" t="n">
        <v>46199</v>
      </c>
      <c r="D320" t="inlineStr">
        <is>
          <t>GÄVLEBORGS LÄN</t>
        </is>
      </c>
      <c r="E320" t="inlineStr">
        <is>
          <t>NORDANSTIG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30291-2025</t>
        </is>
      </c>
      <c r="B321" s="1" t="n">
        <v>45827</v>
      </c>
      <c r="C321" s="1" t="n">
        <v>46199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50286-2023</t>
        </is>
      </c>
      <c r="B322" s="1" t="n">
        <v>45216</v>
      </c>
      <c r="C322" s="1" t="n">
        <v>46199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15973-2022</t>
        </is>
      </c>
      <c r="B323" s="1" t="n">
        <v>44664</v>
      </c>
      <c r="C323" s="1" t="n">
        <v>46199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61072-2025</t>
        </is>
      </c>
      <c r="B324" s="1" t="n">
        <v>46000</v>
      </c>
      <c r="C324" s="1" t="n">
        <v>46199</v>
      </c>
      <c r="D324" t="inlineStr">
        <is>
          <t>GÄVLEBORGS LÄN</t>
        </is>
      </c>
      <c r="E324" t="inlineStr">
        <is>
          <t>NORDANSTIG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30870-2025</t>
        </is>
      </c>
      <c r="B325" s="1" t="n">
        <v>45832</v>
      </c>
      <c r="C325" s="1" t="n">
        <v>46199</v>
      </c>
      <c r="D325" t="inlineStr">
        <is>
          <t>GÄVLEBORGS LÄN</t>
        </is>
      </c>
      <c r="E325" t="inlineStr">
        <is>
          <t>NORDANSTIG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61046-2025</t>
        </is>
      </c>
      <c r="B326" s="1" t="n">
        <v>46000</v>
      </c>
      <c r="C326" s="1" t="n">
        <v>46199</v>
      </c>
      <c r="D326" t="inlineStr">
        <is>
          <t>GÄVLEBORGS LÄN</t>
        </is>
      </c>
      <c r="E326" t="inlineStr">
        <is>
          <t>NORDANSTIG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31031-2025</t>
        </is>
      </c>
      <c r="B327" s="1" t="n">
        <v>45832</v>
      </c>
      <c r="C327" s="1" t="n">
        <v>46199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31197-2025</t>
        </is>
      </c>
      <c r="B328" s="1" t="n">
        <v>45832</v>
      </c>
      <c r="C328" s="1" t="n">
        <v>46199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43652-2025</t>
        </is>
      </c>
      <c r="B329" s="1" t="n">
        <v>45912</v>
      </c>
      <c r="C329" s="1" t="n">
        <v>46199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60839-2023</t>
        </is>
      </c>
      <c r="B330" s="1" t="n">
        <v>45260</v>
      </c>
      <c r="C330" s="1" t="n">
        <v>46199</v>
      </c>
      <c r="D330" t="inlineStr">
        <is>
          <t>GÄVLEBORGS LÄN</t>
        </is>
      </c>
      <c r="E330" t="inlineStr">
        <is>
          <t>NORDANSTIG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62185-2025</t>
        </is>
      </c>
      <c r="B331" s="1" t="n">
        <v>46006</v>
      </c>
      <c r="C331" s="1" t="n">
        <v>46199</v>
      </c>
      <c r="D331" t="inlineStr">
        <is>
          <t>GÄVLEBORGS LÄN</t>
        </is>
      </c>
      <c r="E331" t="inlineStr">
        <is>
          <t>NORDANSTIG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61871-2025</t>
        </is>
      </c>
      <c r="B332" s="1" t="n">
        <v>46003</v>
      </c>
      <c r="C332" s="1" t="n">
        <v>46199</v>
      </c>
      <c r="D332" t="inlineStr">
        <is>
          <t>GÄVLEBORGS LÄN</t>
        </is>
      </c>
      <c r="E332" t="inlineStr">
        <is>
          <t>NORDANSTIG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47544-2025</t>
        </is>
      </c>
      <c r="B333" s="1" t="n">
        <v>45931</v>
      </c>
      <c r="C333" s="1" t="n">
        <v>46199</v>
      </c>
      <c r="D333" t="inlineStr">
        <is>
          <t>GÄVLEBORGS LÄN</t>
        </is>
      </c>
      <c r="E333" t="inlineStr">
        <is>
          <t>NORDANSTIG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62182-2025</t>
        </is>
      </c>
      <c r="B334" s="1" t="n">
        <v>46006</v>
      </c>
      <c r="C334" s="1" t="n">
        <v>46199</v>
      </c>
      <c r="D334" t="inlineStr">
        <is>
          <t>GÄVLEBORGS LÄN</t>
        </is>
      </c>
      <c r="E334" t="inlineStr">
        <is>
          <t>NORDANSTIG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47790-2025</t>
        </is>
      </c>
      <c r="B335" s="1" t="n">
        <v>45931</v>
      </c>
      <c r="C335" s="1" t="n">
        <v>46199</v>
      </c>
      <c r="D335" t="inlineStr">
        <is>
          <t>GÄVLEBORGS LÄN</t>
        </is>
      </c>
      <c r="E335" t="inlineStr">
        <is>
          <t>NORDANSTIG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32056-2025</t>
        </is>
      </c>
      <c r="B336" s="1" t="n">
        <v>45835</v>
      </c>
      <c r="C336" s="1" t="n">
        <v>46199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62833-2025</t>
        </is>
      </c>
      <c r="B337" s="1" t="n">
        <v>46008</v>
      </c>
      <c r="C337" s="1" t="n">
        <v>46199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SCA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25273-2024</t>
        </is>
      </c>
      <c r="B338" s="1" t="n">
        <v>45462</v>
      </c>
      <c r="C338" s="1" t="n">
        <v>46199</v>
      </c>
      <c r="D338" t="inlineStr">
        <is>
          <t>GÄVLEBORGS LÄN</t>
        </is>
      </c>
      <c r="E338" t="inlineStr">
        <is>
          <t>NORDANSTIG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48566-2025</t>
        </is>
      </c>
      <c r="B339" s="1" t="n">
        <v>45936</v>
      </c>
      <c r="C339" s="1" t="n">
        <v>46199</v>
      </c>
      <c r="D339" t="inlineStr">
        <is>
          <t>GÄVLEBORGS LÄN</t>
        </is>
      </c>
      <c r="E339" t="inlineStr">
        <is>
          <t>NORDANSTIG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48715-2025</t>
        </is>
      </c>
      <c r="B340" s="1" t="n">
        <v>45936</v>
      </c>
      <c r="C340" s="1" t="n">
        <v>46199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48724-2025</t>
        </is>
      </c>
      <c r="B341" s="1" t="n">
        <v>45936</v>
      </c>
      <c r="C341" s="1" t="n">
        <v>46199</v>
      </c>
      <c r="D341" t="inlineStr">
        <is>
          <t>GÄVLEBORGS LÄN</t>
        </is>
      </c>
      <c r="E341" t="inlineStr">
        <is>
          <t>NORDANSTIG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48677-2025</t>
        </is>
      </c>
      <c r="B342" s="1" t="n">
        <v>45936</v>
      </c>
      <c r="C342" s="1" t="n">
        <v>46199</v>
      </c>
      <c r="D342" t="inlineStr">
        <is>
          <t>GÄVLEBORGS LÄN</t>
        </is>
      </c>
      <c r="E342" t="inlineStr">
        <is>
          <t>NORDANSTIG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15622-2025</t>
        </is>
      </c>
      <c r="B343" s="1" t="n">
        <v>45748</v>
      </c>
      <c r="C343" s="1" t="n">
        <v>46199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45550-2024</t>
        </is>
      </c>
      <c r="B344" s="1" t="n">
        <v>45579</v>
      </c>
      <c r="C344" s="1" t="n">
        <v>46199</v>
      </c>
      <c r="D344" t="inlineStr">
        <is>
          <t>GÄVLEBORGS LÄN</t>
        </is>
      </c>
      <c r="E344" t="inlineStr">
        <is>
          <t>NORDANSTIG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1873-2025</t>
        </is>
      </c>
      <c r="B345" s="1" t="n">
        <v>45671</v>
      </c>
      <c r="C345" s="1" t="n">
        <v>46199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48916-2025</t>
        </is>
      </c>
      <c r="B346" s="1" t="n">
        <v>45937</v>
      </c>
      <c r="C346" s="1" t="n">
        <v>46199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63314-2025</t>
        </is>
      </c>
      <c r="B347" s="1" t="n">
        <v>46010</v>
      </c>
      <c r="C347" s="1" t="n">
        <v>46199</v>
      </c>
      <c r="D347" t="inlineStr">
        <is>
          <t>GÄVLEBORGS LÄN</t>
        </is>
      </c>
      <c r="E347" t="inlineStr">
        <is>
          <t>NORDANSTIG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48832-2025</t>
        </is>
      </c>
      <c r="B348" s="1" t="n">
        <v>45937</v>
      </c>
      <c r="C348" s="1" t="n">
        <v>46199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32092-2025</t>
        </is>
      </c>
      <c r="B349" s="1" t="n">
        <v>45835</v>
      </c>
      <c r="C349" s="1" t="n">
        <v>46199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4556-2025</t>
        </is>
      </c>
      <c r="B350" s="1" t="n">
        <v>45687</v>
      </c>
      <c r="C350" s="1" t="n">
        <v>46199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32105-2025</t>
        </is>
      </c>
      <c r="B351" s="1" t="n">
        <v>45835</v>
      </c>
      <c r="C351" s="1" t="n">
        <v>46199</v>
      </c>
      <c r="D351" t="inlineStr">
        <is>
          <t>GÄVLEBORGS LÄN</t>
        </is>
      </c>
      <c r="E351" t="inlineStr">
        <is>
          <t>NORDANSTIG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32082-2025</t>
        </is>
      </c>
      <c r="B352" s="1" t="n">
        <v>45835</v>
      </c>
      <c r="C352" s="1" t="n">
        <v>46199</v>
      </c>
      <c r="D352" t="inlineStr">
        <is>
          <t>GÄVLEBORGS LÄN</t>
        </is>
      </c>
      <c r="E352" t="inlineStr">
        <is>
          <t>NORDANSTIG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49309-2025</t>
        </is>
      </c>
      <c r="B353" s="1" t="n">
        <v>45938</v>
      </c>
      <c r="C353" s="1" t="n">
        <v>46199</v>
      </c>
      <c r="D353" t="inlineStr">
        <is>
          <t>GÄVLEBORGS LÄN</t>
        </is>
      </c>
      <c r="E353" t="inlineStr">
        <is>
          <t>NORDANSTIG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49334-2025</t>
        </is>
      </c>
      <c r="B354" s="1" t="n">
        <v>45938</v>
      </c>
      <c r="C354" s="1" t="n">
        <v>46199</v>
      </c>
      <c r="D354" t="inlineStr">
        <is>
          <t>GÄVLEBORGS LÄN</t>
        </is>
      </c>
      <c r="E354" t="inlineStr">
        <is>
          <t>NORDANSTIG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49263-2025</t>
        </is>
      </c>
      <c r="B355" s="1" t="n">
        <v>45938</v>
      </c>
      <c r="C355" s="1" t="n">
        <v>46199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49287-2025</t>
        </is>
      </c>
      <c r="B356" s="1" t="n">
        <v>45938</v>
      </c>
      <c r="C356" s="1" t="n">
        <v>46199</v>
      </c>
      <c r="D356" t="inlineStr">
        <is>
          <t>GÄVLEBORGS LÄN</t>
        </is>
      </c>
      <c r="E356" t="inlineStr">
        <is>
          <t>NORDANSTIG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49331-2025</t>
        </is>
      </c>
      <c r="B357" s="1" t="n">
        <v>45938</v>
      </c>
      <c r="C357" s="1" t="n">
        <v>46199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49268-2025</t>
        </is>
      </c>
      <c r="B358" s="1" t="n">
        <v>45938</v>
      </c>
      <c r="C358" s="1" t="n">
        <v>46199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33097-2025</t>
        </is>
      </c>
      <c r="B359" s="1" t="n">
        <v>45840</v>
      </c>
      <c r="C359" s="1" t="n">
        <v>46199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49328-2025</t>
        </is>
      </c>
      <c r="B360" s="1" t="n">
        <v>45938</v>
      </c>
      <c r="C360" s="1" t="n">
        <v>46199</v>
      </c>
      <c r="D360" t="inlineStr">
        <is>
          <t>GÄVLEBORGS LÄN</t>
        </is>
      </c>
      <c r="E360" t="inlineStr">
        <is>
          <t>NORDANSTIG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49342-2025</t>
        </is>
      </c>
      <c r="B361" s="1" t="n">
        <v>45938</v>
      </c>
      <c r="C361" s="1" t="n">
        <v>46199</v>
      </c>
      <c r="D361" t="inlineStr">
        <is>
          <t>GÄVLEBORGS LÄN</t>
        </is>
      </c>
      <c r="E361" t="inlineStr">
        <is>
          <t>NORDANSTIG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49273-2025</t>
        </is>
      </c>
      <c r="B362" s="1" t="n">
        <v>45938</v>
      </c>
      <c r="C362" s="1" t="n">
        <v>46199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49282-2025</t>
        </is>
      </c>
      <c r="B363" s="1" t="n">
        <v>45938</v>
      </c>
      <c r="C363" s="1" t="n">
        <v>46199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49286-2025</t>
        </is>
      </c>
      <c r="B364" s="1" t="n">
        <v>45938</v>
      </c>
      <c r="C364" s="1" t="n">
        <v>46199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49597-2025</t>
        </is>
      </c>
      <c r="B365" s="1" t="n">
        <v>45939</v>
      </c>
      <c r="C365" s="1" t="n">
        <v>46199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40104-2024</t>
        </is>
      </c>
      <c r="B366" s="1" t="n">
        <v>45554</v>
      </c>
      <c r="C366" s="1" t="n">
        <v>46199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32736-2025</t>
        </is>
      </c>
      <c r="B367" s="1" t="n">
        <v>45839</v>
      </c>
      <c r="C367" s="1" t="n">
        <v>46199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33355-2025</t>
        </is>
      </c>
      <c r="B368" s="1" t="n">
        <v>45841</v>
      </c>
      <c r="C368" s="1" t="n">
        <v>46199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33339-2025</t>
        </is>
      </c>
      <c r="B369" s="1" t="n">
        <v>45841</v>
      </c>
      <c r="C369" s="1" t="n">
        <v>46199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15312-2022</t>
        </is>
      </c>
      <c r="B370" s="1" t="n">
        <v>44659</v>
      </c>
      <c r="C370" s="1" t="n">
        <v>46199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31571-2024</t>
        </is>
      </c>
      <c r="B371" s="1" t="n">
        <v>45506</v>
      </c>
      <c r="C371" s="1" t="n">
        <v>46199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49595-2025</t>
        </is>
      </c>
      <c r="B372" s="1" t="n">
        <v>45939</v>
      </c>
      <c r="C372" s="1" t="n">
        <v>46199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49594-2025</t>
        </is>
      </c>
      <c r="B373" s="1" t="n">
        <v>45939</v>
      </c>
      <c r="C373" s="1" t="n">
        <v>46199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49596-2025</t>
        </is>
      </c>
      <c r="B374" s="1" t="n">
        <v>45939</v>
      </c>
      <c r="C374" s="1" t="n">
        <v>46199</v>
      </c>
      <c r="D374" t="inlineStr">
        <is>
          <t>GÄVLEBORGS LÄN</t>
        </is>
      </c>
      <c r="E374" t="inlineStr">
        <is>
          <t>NORDANSTIG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59128-2024</t>
        </is>
      </c>
      <c r="B375" s="1" t="n">
        <v>45637</v>
      </c>
      <c r="C375" s="1" t="n">
        <v>46199</v>
      </c>
      <c r="D375" t="inlineStr">
        <is>
          <t>GÄVLEBORGS LÄN</t>
        </is>
      </c>
      <c r="E375" t="inlineStr">
        <is>
          <t>NORDANSTIG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33532-2025</t>
        </is>
      </c>
      <c r="B376" s="1" t="n">
        <v>45841</v>
      </c>
      <c r="C376" s="1" t="n">
        <v>46199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19364-2022</t>
        </is>
      </c>
      <c r="B377" s="1" t="n">
        <v>44692</v>
      </c>
      <c r="C377" s="1" t="n">
        <v>46199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34311-2025</t>
        </is>
      </c>
      <c r="B378" s="1" t="n">
        <v>45846</v>
      </c>
      <c r="C378" s="1" t="n">
        <v>46199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34342-2025</t>
        </is>
      </c>
      <c r="B379" s="1" t="n">
        <v>45846</v>
      </c>
      <c r="C379" s="1" t="n">
        <v>46199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51541-2025</t>
        </is>
      </c>
      <c r="B380" s="1" t="n">
        <v>45950</v>
      </c>
      <c r="C380" s="1" t="n">
        <v>46199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50824-2025</t>
        </is>
      </c>
      <c r="B381" s="1" t="n">
        <v>45946</v>
      </c>
      <c r="C381" s="1" t="n">
        <v>46199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63934-2025</t>
        </is>
      </c>
      <c r="B382" s="1" t="n">
        <v>46020</v>
      </c>
      <c r="C382" s="1" t="n">
        <v>46199</v>
      </c>
      <c r="D382" t="inlineStr">
        <is>
          <t>GÄVLEBORGS LÄN</t>
        </is>
      </c>
      <c r="E382" t="inlineStr">
        <is>
          <t>NORDANSTIG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50818-2025</t>
        </is>
      </c>
      <c r="B383" s="1" t="n">
        <v>45946</v>
      </c>
      <c r="C383" s="1" t="n">
        <v>46199</v>
      </c>
      <c r="D383" t="inlineStr">
        <is>
          <t>GÄVLEBORGS LÄN</t>
        </is>
      </c>
      <c r="E383" t="inlineStr">
        <is>
          <t>NORDANSTIG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50842-2025</t>
        </is>
      </c>
      <c r="B384" s="1" t="n">
        <v>45946</v>
      </c>
      <c r="C384" s="1" t="n">
        <v>46199</v>
      </c>
      <c r="D384" t="inlineStr">
        <is>
          <t>GÄVLEBORGS LÄN</t>
        </is>
      </c>
      <c r="E384" t="inlineStr">
        <is>
          <t>NORDANSTIG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34728-2025</t>
        </is>
      </c>
      <c r="B385" s="1" t="n">
        <v>45848</v>
      </c>
      <c r="C385" s="1" t="n">
        <v>46199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34732-2025</t>
        </is>
      </c>
      <c r="B386" s="1" t="n">
        <v>45848</v>
      </c>
      <c r="C386" s="1" t="n">
        <v>46199</v>
      </c>
      <c r="D386" t="inlineStr">
        <is>
          <t>GÄVLEBORGS LÄN</t>
        </is>
      </c>
      <c r="E386" t="inlineStr">
        <is>
          <t>NORDANSTIG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34788-2025</t>
        </is>
      </c>
      <c r="B387" s="1" t="n">
        <v>45848</v>
      </c>
      <c r="C387" s="1" t="n">
        <v>46199</v>
      </c>
      <c r="D387" t="inlineStr">
        <is>
          <t>GÄVLEBORGS LÄN</t>
        </is>
      </c>
      <c r="E387" t="inlineStr">
        <is>
          <t>NORDANSTIG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51115-2025</t>
        </is>
      </c>
      <c r="B388" s="1" t="n">
        <v>45947</v>
      </c>
      <c r="C388" s="1" t="n">
        <v>46199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34694-2025</t>
        </is>
      </c>
      <c r="B389" s="1" t="n">
        <v>45848</v>
      </c>
      <c r="C389" s="1" t="n">
        <v>46199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51503-2025</t>
        </is>
      </c>
      <c r="B390" s="1" t="n">
        <v>45950</v>
      </c>
      <c r="C390" s="1" t="n">
        <v>46199</v>
      </c>
      <c r="D390" t="inlineStr">
        <is>
          <t>GÄVLEBORGS LÄN</t>
        </is>
      </c>
      <c r="E390" t="inlineStr">
        <is>
          <t>NORDANSTIG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51101-2025</t>
        </is>
      </c>
      <c r="B391" s="1" t="n">
        <v>45947</v>
      </c>
      <c r="C391" s="1" t="n">
        <v>46199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7013-2023</t>
        </is>
      </c>
      <c r="B392" s="1" t="n">
        <v>44967</v>
      </c>
      <c r="C392" s="1" t="n">
        <v>46199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7014-2023</t>
        </is>
      </c>
      <c r="B393" s="1" t="n">
        <v>44967</v>
      </c>
      <c r="C393" s="1" t="n">
        <v>46199</v>
      </c>
      <c r="D393" t="inlineStr">
        <is>
          <t>GÄVLEBORGS LÄN</t>
        </is>
      </c>
      <c r="E393" t="inlineStr">
        <is>
          <t>NORDANSTIG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51014-2025</t>
        </is>
      </c>
      <c r="B394" s="1" t="n">
        <v>45947</v>
      </c>
      <c r="C394" s="1" t="n">
        <v>46199</v>
      </c>
      <c r="D394" t="inlineStr">
        <is>
          <t>GÄVLEBORGS LÄN</t>
        </is>
      </c>
      <c r="E394" t="inlineStr">
        <is>
          <t>NORDANSTIG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63986-2025</t>
        </is>
      </c>
      <c r="B395" s="1" t="n">
        <v>46021</v>
      </c>
      <c r="C395" s="1" t="n">
        <v>46199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51466-2025</t>
        </is>
      </c>
      <c r="B396" s="1" t="n">
        <v>45950</v>
      </c>
      <c r="C396" s="1" t="n">
        <v>46199</v>
      </c>
      <c r="D396" t="inlineStr">
        <is>
          <t>GÄVLEBORGS LÄN</t>
        </is>
      </c>
      <c r="E396" t="inlineStr">
        <is>
          <t>NORDANSTIG</t>
        </is>
      </c>
      <c r="G396" t="n">
        <v>30.9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51464-2025</t>
        </is>
      </c>
      <c r="B397" s="1" t="n">
        <v>45950</v>
      </c>
      <c r="C397" s="1" t="n">
        <v>46199</v>
      </c>
      <c r="D397" t="inlineStr">
        <is>
          <t>GÄVLEBORGS LÄN</t>
        </is>
      </c>
      <c r="E397" t="inlineStr">
        <is>
          <t>NORDANSTIG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45-2026</t>
        </is>
      </c>
      <c r="B398" s="1" t="n">
        <v>46024</v>
      </c>
      <c r="C398" s="1" t="n">
        <v>46199</v>
      </c>
      <c r="D398" t="inlineStr">
        <is>
          <t>GÄVLEBORGS LÄN</t>
        </is>
      </c>
      <c r="E398" t="inlineStr">
        <is>
          <t>NORDANSTIG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51680-2025</t>
        </is>
      </c>
      <c r="B399" s="1" t="n">
        <v>45951</v>
      </c>
      <c r="C399" s="1" t="n">
        <v>46199</v>
      </c>
      <c r="D399" t="inlineStr">
        <is>
          <t>GÄVLEBORGS LÄN</t>
        </is>
      </c>
      <c r="E399" t="inlineStr">
        <is>
          <t>NORDANSTIG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2592-2023</t>
        </is>
      </c>
      <c r="B400" s="1" t="n">
        <v>44943</v>
      </c>
      <c r="C400" s="1" t="n">
        <v>46199</v>
      </c>
      <c r="D400" t="inlineStr">
        <is>
          <t>GÄVLEBORGS LÄN</t>
        </is>
      </c>
      <c r="E400" t="inlineStr">
        <is>
          <t>NORDANSTIG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61141-2022</t>
        </is>
      </c>
      <c r="B401" s="1" t="n">
        <v>44915</v>
      </c>
      <c r="C401" s="1" t="n">
        <v>46199</v>
      </c>
      <c r="D401" t="inlineStr">
        <is>
          <t>GÄVLEBORGS LÄN</t>
        </is>
      </c>
      <c r="E401" t="inlineStr">
        <is>
          <t>NORDANSTIG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224-2026</t>
        </is>
      </c>
      <c r="B402" s="1" t="n">
        <v>46026</v>
      </c>
      <c r="C402" s="1" t="n">
        <v>46199</v>
      </c>
      <c r="D402" t="inlineStr">
        <is>
          <t>GÄVLEBORGS LÄN</t>
        </is>
      </c>
      <c r="E402" t="inlineStr">
        <is>
          <t>NORDANSTIG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49284-2025</t>
        </is>
      </c>
      <c r="B403" s="1" t="n">
        <v>45938</v>
      </c>
      <c r="C403" s="1" t="n">
        <v>46199</v>
      </c>
      <c r="D403" t="inlineStr">
        <is>
          <t>GÄVLEBORGS LÄN</t>
        </is>
      </c>
      <c r="E403" t="inlineStr">
        <is>
          <t>NORDANSTIG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1063-2026</t>
        </is>
      </c>
      <c r="B404" s="1" t="n">
        <v>46030</v>
      </c>
      <c r="C404" s="1" t="n">
        <v>46199</v>
      </c>
      <c r="D404" t="inlineStr">
        <is>
          <t>GÄVLEBORGS LÄN</t>
        </is>
      </c>
      <c r="E404" t="inlineStr">
        <is>
          <t>NORDANSTIG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11434-2024</t>
        </is>
      </c>
      <c r="B405" s="1" t="n">
        <v>45372</v>
      </c>
      <c r="C405" s="1" t="n">
        <v>46199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615-2026</t>
        </is>
      </c>
      <c r="B406" s="1" t="n">
        <v>46029</v>
      </c>
      <c r="C406" s="1" t="n">
        <v>46199</v>
      </c>
      <c r="D406" t="inlineStr">
        <is>
          <t>GÄVLEBORGS LÄN</t>
        </is>
      </c>
      <c r="E406" t="inlineStr">
        <is>
          <t>NORDANSTIG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5968-2025</t>
        </is>
      </c>
      <c r="B407" s="1" t="n">
        <v>45695</v>
      </c>
      <c r="C407" s="1" t="n">
        <v>46199</v>
      </c>
      <c r="D407" t="inlineStr">
        <is>
          <t>GÄVLEBORGS LÄN</t>
        </is>
      </c>
      <c r="E407" t="inlineStr">
        <is>
          <t>NORDANSTIG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35707-2025</t>
        </is>
      </c>
      <c r="B408" s="1" t="n">
        <v>45860</v>
      </c>
      <c r="C408" s="1" t="n">
        <v>46199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35652-2025</t>
        </is>
      </c>
      <c r="B409" s="1" t="n">
        <v>45859</v>
      </c>
      <c r="C409" s="1" t="n">
        <v>46199</v>
      </c>
      <c r="D409" t="inlineStr">
        <is>
          <t>GÄVLEBORGS LÄN</t>
        </is>
      </c>
      <c r="E409" t="inlineStr">
        <is>
          <t>NORDANSTIG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35733-2025</t>
        </is>
      </c>
      <c r="B410" s="1" t="n">
        <v>45860</v>
      </c>
      <c r="C410" s="1" t="n">
        <v>46199</v>
      </c>
      <c r="D410" t="inlineStr">
        <is>
          <t>GÄVLEBORGS LÄN</t>
        </is>
      </c>
      <c r="E410" t="inlineStr">
        <is>
          <t>NORDANSTIG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1053-2026</t>
        </is>
      </c>
      <c r="B411" s="1" t="n">
        <v>46030</v>
      </c>
      <c r="C411" s="1" t="n">
        <v>46199</v>
      </c>
      <c r="D411" t="inlineStr">
        <is>
          <t>GÄVLEBORGS LÄN</t>
        </is>
      </c>
      <c r="E411" t="inlineStr">
        <is>
          <t>NORDANSTIG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53028-2025</t>
        </is>
      </c>
      <c r="B412" s="1" t="n">
        <v>45958</v>
      </c>
      <c r="C412" s="1" t="n">
        <v>46199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59409-2023</t>
        </is>
      </c>
      <c r="B413" s="1" t="n">
        <v>45253</v>
      </c>
      <c r="C413" s="1" t="n">
        <v>46199</v>
      </c>
      <c r="D413" t="inlineStr">
        <is>
          <t>GÄVLEBORGS LÄN</t>
        </is>
      </c>
      <c r="E413" t="inlineStr">
        <is>
          <t>NORDANSTIG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46199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35868-2025</t>
        </is>
      </c>
      <c r="B415" s="1" t="n">
        <v>45862</v>
      </c>
      <c r="C415" s="1" t="n">
        <v>46199</v>
      </c>
      <c r="D415" t="inlineStr">
        <is>
          <t>GÄVLEBORGS LÄN</t>
        </is>
      </c>
      <c r="E415" t="inlineStr">
        <is>
          <t>NORDANSTIG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1059-2026</t>
        </is>
      </c>
      <c r="B416" s="1" t="n">
        <v>46030</v>
      </c>
      <c r="C416" s="1" t="n">
        <v>46199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59425-2022</t>
        </is>
      </c>
      <c r="B417" s="1" t="n">
        <v>44907</v>
      </c>
      <c r="C417" s="1" t="n">
        <v>46199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1169-2026</t>
        </is>
      </c>
      <c r="B418" s="1" t="n">
        <v>46031</v>
      </c>
      <c r="C418" s="1" t="n">
        <v>46199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50827-2025</t>
        </is>
      </c>
      <c r="B419" s="1" t="n">
        <v>45946</v>
      </c>
      <c r="C419" s="1" t="n">
        <v>46199</v>
      </c>
      <c r="D419" t="inlineStr">
        <is>
          <t>GÄVLEBORGS LÄN</t>
        </is>
      </c>
      <c r="E419" t="inlineStr">
        <is>
          <t>NORDANSTIG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1168-2026</t>
        </is>
      </c>
      <c r="B420" s="1" t="n">
        <v>46031</v>
      </c>
      <c r="C420" s="1" t="n">
        <v>46199</v>
      </c>
      <c r="D420" t="inlineStr">
        <is>
          <t>GÄVLEBORGS LÄN</t>
        </is>
      </c>
      <c r="E420" t="inlineStr">
        <is>
          <t>NORDANSTIG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17505-2025</t>
        </is>
      </c>
      <c r="B421" s="1" t="n">
        <v>45757</v>
      </c>
      <c r="C421" s="1" t="n">
        <v>46199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53646-2025</t>
        </is>
      </c>
      <c r="B422" s="1" t="n">
        <v>45960</v>
      </c>
      <c r="C422" s="1" t="n">
        <v>46199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1703-2026</t>
        </is>
      </c>
      <c r="B423" s="1" t="n">
        <v>46034</v>
      </c>
      <c r="C423" s="1" t="n">
        <v>46199</v>
      </c>
      <c r="D423" t="inlineStr">
        <is>
          <t>GÄVLEBORGS LÄN</t>
        </is>
      </c>
      <c r="E423" t="inlineStr">
        <is>
          <t>NORDANSTIG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1184-2026</t>
        </is>
      </c>
      <c r="B424" s="1" t="n">
        <v>46031</v>
      </c>
      <c r="C424" s="1" t="n">
        <v>46199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1958-2026</t>
        </is>
      </c>
      <c r="B425" s="1" t="n">
        <v>46035</v>
      </c>
      <c r="C425" s="1" t="n">
        <v>46199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1849-2026</t>
        </is>
      </c>
      <c r="B426" s="1" t="n">
        <v>46035</v>
      </c>
      <c r="C426" s="1" t="n">
        <v>46199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1982-2026</t>
        </is>
      </c>
      <c r="B427" s="1" t="n">
        <v>46035</v>
      </c>
      <c r="C427" s="1" t="n">
        <v>46199</v>
      </c>
      <c r="D427" t="inlineStr">
        <is>
          <t>GÄVLEBORGS LÄN</t>
        </is>
      </c>
      <c r="E427" t="inlineStr">
        <is>
          <t>NORDANSTIG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2837-2026</t>
        </is>
      </c>
      <c r="B428" s="1" t="n">
        <v>46038</v>
      </c>
      <c r="C428" s="1" t="n">
        <v>46199</v>
      </c>
      <c r="D428" t="inlineStr">
        <is>
          <t>GÄVLEBORGS LÄN</t>
        </is>
      </c>
      <c r="E428" t="inlineStr">
        <is>
          <t>NORDANSTIG</t>
        </is>
      </c>
      <c r="G428" t="n">
        <v>21.1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2506-2026</t>
        </is>
      </c>
      <c r="B429" s="1" t="n">
        <v>46037</v>
      </c>
      <c r="C429" s="1" t="n">
        <v>46199</v>
      </c>
      <c r="D429" t="inlineStr">
        <is>
          <t>GÄVLEBORGS LÄN</t>
        </is>
      </c>
      <c r="E429" t="inlineStr">
        <is>
          <t>NORDANSTIG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53360-2025</t>
        </is>
      </c>
      <c r="B430" s="1" t="n">
        <v>45959</v>
      </c>
      <c r="C430" s="1" t="n">
        <v>46199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41729-2023</t>
        </is>
      </c>
      <c r="B431" s="1" t="n">
        <v>45176</v>
      </c>
      <c r="C431" s="1" t="n">
        <v>46199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2575-2026</t>
        </is>
      </c>
      <c r="B432" s="1" t="n">
        <v>46037</v>
      </c>
      <c r="C432" s="1" t="n">
        <v>46199</v>
      </c>
      <c r="D432" t="inlineStr">
        <is>
          <t>GÄVLEBORGS LÄN</t>
        </is>
      </c>
      <c r="E432" t="inlineStr">
        <is>
          <t>NORDANSTIG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2705-2026</t>
        </is>
      </c>
      <c r="B433" s="1" t="n">
        <v>46037</v>
      </c>
      <c r="C433" s="1" t="n">
        <v>46199</v>
      </c>
      <c r="D433" t="inlineStr">
        <is>
          <t>GÄVLEBORGS LÄN</t>
        </is>
      </c>
      <c r="E433" t="inlineStr">
        <is>
          <t>NORDANSTIG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2843-2026</t>
        </is>
      </c>
      <c r="B434" s="1" t="n">
        <v>46038</v>
      </c>
      <c r="C434" s="1" t="n">
        <v>46199</v>
      </c>
      <c r="D434" t="inlineStr">
        <is>
          <t>GÄVLEBORGS LÄN</t>
        </is>
      </c>
      <c r="E434" t="inlineStr">
        <is>
          <t>NORDANSTIG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3547-2026</t>
        </is>
      </c>
      <c r="B435" s="1" t="n">
        <v>46042</v>
      </c>
      <c r="C435" s="1" t="n">
        <v>46199</v>
      </c>
      <c r="D435" t="inlineStr">
        <is>
          <t>GÄVLEBORGS LÄN</t>
        </is>
      </c>
      <c r="E435" t="inlineStr">
        <is>
          <t>NORDANSTIG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3546-2026</t>
        </is>
      </c>
      <c r="B436" s="1" t="n">
        <v>46042</v>
      </c>
      <c r="C436" s="1" t="n">
        <v>46199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3548-2026</t>
        </is>
      </c>
      <c r="B437" s="1" t="n">
        <v>46042</v>
      </c>
      <c r="C437" s="1" t="n">
        <v>46199</v>
      </c>
      <c r="D437" t="inlineStr">
        <is>
          <t>GÄVLEBORGS LÄN</t>
        </is>
      </c>
      <c r="E437" t="inlineStr">
        <is>
          <t>NORDANSTIG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3053-2026</t>
        </is>
      </c>
      <c r="B438" s="1" t="n">
        <v>46039</v>
      </c>
      <c r="C438" s="1" t="n">
        <v>46199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3224-2026</t>
        </is>
      </c>
      <c r="B439" s="1" t="n">
        <v>46041</v>
      </c>
      <c r="C439" s="1" t="n">
        <v>46199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3403-2026</t>
        </is>
      </c>
      <c r="B440" s="1" t="n">
        <v>46042</v>
      </c>
      <c r="C440" s="1" t="n">
        <v>46199</v>
      </c>
      <c r="D440" t="inlineStr">
        <is>
          <t>GÄVLEBORGS LÄN</t>
        </is>
      </c>
      <c r="E440" t="inlineStr">
        <is>
          <t>NORDANSTIG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3387-2026</t>
        </is>
      </c>
      <c r="B441" s="1" t="n">
        <v>46042</v>
      </c>
      <c r="C441" s="1" t="n">
        <v>46199</v>
      </c>
      <c r="D441" t="inlineStr">
        <is>
          <t>GÄVLEBORGS LÄN</t>
        </is>
      </c>
      <c r="E441" t="inlineStr">
        <is>
          <t>NORDANSTIG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3232-2026</t>
        </is>
      </c>
      <c r="B442" s="1" t="n">
        <v>46041</v>
      </c>
      <c r="C442" s="1" t="n">
        <v>46199</v>
      </c>
      <c r="D442" t="inlineStr">
        <is>
          <t>GÄVLEBORGS LÄN</t>
        </is>
      </c>
      <c r="E442" t="inlineStr">
        <is>
          <t>NORDANSTIG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51998-2023</t>
        </is>
      </c>
      <c r="B443" s="1" t="n">
        <v>45223</v>
      </c>
      <c r="C443" s="1" t="n">
        <v>46199</v>
      </c>
      <c r="D443" t="inlineStr">
        <is>
          <t>GÄVLEBORGS LÄN</t>
        </is>
      </c>
      <c r="E443" t="inlineStr">
        <is>
          <t>NORDANSTIG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3768-2026</t>
        </is>
      </c>
      <c r="B444" s="1" t="n">
        <v>46043</v>
      </c>
      <c r="C444" s="1" t="n">
        <v>46199</v>
      </c>
      <c r="D444" t="inlineStr">
        <is>
          <t>GÄVLEBORGS LÄN</t>
        </is>
      </c>
      <c r="E444" t="inlineStr">
        <is>
          <t>NORDANSTIG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3766-2026</t>
        </is>
      </c>
      <c r="B445" s="1" t="n">
        <v>46043</v>
      </c>
      <c r="C445" s="1" t="n">
        <v>46199</v>
      </c>
      <c r="D445" t="inlineStr">
        <is>
          <t>GÄVLEBORGS LÄN</t>
        </is>
      </c>
      <c r="E445" t="inlineStr">
        <is>
          <t>NORDANSTIG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3771-2026</t>
        </is>
      </c>
      <c r="B446" s="1" t="n">
        <v>46043</v>
      </c>
      <c r="C446" s="1" t="n">
        <v>46199</v>
      </c>
      <c r="D446" t="inlineStr">
        <is>
          <t>GÄVLEBORGS LÄN</t>
        </is>
      </c>
      <c r="E446" t="inlineStr">
        <is>
          <t>NORDANSTIG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54373-2025</t>
        </is>
      </c>
      <c r="B447" s="1" t="n">
        <v>45965</v>
      </c>
      <c r="C447" s="1" t="n">
        <v>46199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3762-2026</t>
        </is>
      </c>
      <c r="B448" s="1" t="n">
        <v>46043</v>
      </c>
      <c r="C448" s="1" t="n">
        <v>46199</v>
      </c>
      <c r="D448" t="inlineStr">
        <is>
          <t>GÄVLEBORGS LÄN</t>
        </is>
      </c>
      <c r="E448" t="inlineStr">
        <is>
          <t>NORDANSTIG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3747-2026</t>
        </is>
      </c>
      <c r="B449" s="1" t="n">
        <v>46043</v>
      </c>
      <c r="C449" s="1" t="n">
        <v>46199</v>
      </c>
      <c r="D449" t="inlineStr">
        <is>
          <t>GÄVLEBORGS LÄN</t>
        </is>
      </c>
      <c r="E449" t="inlineStr">
        <is>
          <t>NORDANSTIG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51806-2024</t>
        </is>
      </c>
      <c r="B450" s="1" t="n">
        <v>45607</v>
      </c>
      <c r="C450" s="1" t="n">
        <v>46199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51821-2024</t>
        </is>
      </c>
      <c r="B451" s="1" t="n">
        <v>45607</v>
      </c>
      <c r="C451" s="1" t="n">
        <v>46199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4016-2026</t>
        </is>
      </c>
      <c r="B452" s="1" t="n">
        <v>46044</v>
      </c>
      <c r="C452" s="1" t="n">
        <v>46199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48212-2024</t>
        </is>
      </c>
      <c r="B453" s="1" t="n">
        <v>45590</v>
      </c>
      <c r="C453" s="1" t="n">
        <v>46199</v>
      </c>
      <c r="D453" t="inlineStr">
        <is>
          <t>GÄVLEBORGS LÄN</t>
        </is>
      </c>
      <c r="E453" t="inlineStr">
        <is>
          <t>NORDANSTIG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3828-2026</t>
        </is>
      </c>
      <c r="B454" s="1" t="n">
        <v>46043</v>
      </c>
      <c r="C454" s="1" t="n">
        <v>46199</v>
      </c>
      <c r="D454" t="inlineStr">
        <is>
          <t>GÄVLEBORGS LÄN</t>
        </is>
      </c>
      <c r="E454" t="inlineStr">
        <is>
          <t>NORDANSTIG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4111-2026</t>
        </is>
      </c>
      <c r="B455" s="1" t="n">
        <v>46044</v>
      </c>
      <c r="C455" s="1" t="n">
        <v>46199</v>
      </c>
      <c r="D455" t="inlineStr">
        <is>
          <t>GÄVLEBORGS LÄN</t>
        </is>
      </c>
      <c r="E455" t="inlineStr">
        <is>
          <t>NORDANSTIG</t>
        </is>
      </c>
      <c r="G455" t="n">
        <v>15.3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3819-2026</t>
        </is>
      </c>
      <c r="B456" s="1" t="n">
        <v>46043</v>
      </c>
      <c r="C456" s="1" t="n">
        <v>46199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3820-2026</t>
        </is>
      </c>
      <c r="B457" s="1" t="n">
        <v>46043</v>
      </c>
      <c r="C457" s="1" t="n">
        <v>46199</v>
      </c>
      <c r="D457" t="inlineStr">
        <is>
          <t>GÄVLEBORGS LÄN</t>
        </is>
      </c>
      <c r="E457" t="inlineStr">
        <is>
          <t>NORDANSTIG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3843-2026</t>
        </is>
      </c>
      <c r="B458" s="1" t="n">
        <v>46043</v>
      </c>
      <c r="C458" s="1" t="n">
        <v>46199</v>
      </c>
      <c r="D458" t="inlineStr">
        <is>
          <t>GÄVLEBORGS LÄN</t>
        </is>
      </c>
      <c r="E458" t="inlineStr">
        <is>
          <t>NORDANSTIG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3790-2026</t>
        </is>
      </c>
      <c r="B459" s="1" t="n">
        <v>46043</v>
      </c>
      <c r="C459" s="1" t="n">
        <v>46199</v>
      </c>
      <c r="D459" t="inlineStr">
        <is>
          <t>GÄVLEBORGS LÄN</t>
        </is>
      </c>
      <c r="E459" t="inlineStr">
        <is>
          <t>NORDANSTIG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22459-2023</t>
        </is>
      </c>
      <c r="B460" s="1" t="n">
        <v>45070</v>
      </c>
      <c r="C460" s="1" t="n">
        <v>46199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57013-2022</t>
        </is>
      </c>
      <c r="B461" s="1" t="n">
        <v>44894</v>
      </c>
      <c r="C461" s="1" t="n">
        <v>46199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SCA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4033-2026</t>
        </is>
      </c>
      <c r="B462" s="1" t="n">
        <v>46044</v>
      </c>
      <c r="C462" s="1" t="n">
        <v>46199</v>
      </c>
      <c r="D462" t="inlineStr">
        <is>
          <t>GÄVLEBORGS LÄN</t>
        </is>
      </c>
      <c r="E462" t="inlineStr">
        <is>
          <t>NORDANSTIG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4106-2026</t>
        </is>
      </c>
      <c r="B463" s="1" t="n">
        <v>46044</v>
      </c>
      <c r="C463" s="1" t="n">
        <v>46199</v>
      </c>
      <c r="D463" t="inlineStr">
        <is>
          <t>GÄVLEBORGS LÄN</t>
        </is>
      </c>
      <c r="E463" t="inlineStr">
        <is>
          <t>NORDANSTIG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55608-2023</t>
        </is>
      </c>
      <c r="B464" s="1" t="n">
        <v>45238</v>
      </c>
      <c r="C464" s="1" t="n">
        <v>46199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3745-2026</t>
        </is>
      </c>
      <c r="B465" s="1" t="n">
        <v>46043</v>
      </c>
      <c r="C465" s="1" t="n">
        <v>46199</v>
      </c>
      <c r="D465" t="inlineStr">
        <is>
          <t>GÄVLEBORGS LÄN</t>
        </is>
      </c>
      <c r="E465" t="inlineStr">
        <is>
          <t>NORDANSTIG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3736-2026</t>
        </is>
      </c>
      <c r="B466" s="1" t="n">
        <v>46043</v>
      </c>
      <c r="C466" s="1" t="n">
        <v>46199</v>
      </c>
      <c r="D466" t="inlineStr">
        <is>
          <t>GÄVLEBORGS LÄN</t>
        </is>
      </c>
      <c r="E466" t="inlineStr">
        <is>
          <t>NORDANSTIG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3848-2026</t>
        </is>
      </c>
      <c r="B467" s="1" t="n">
        <v>46043</v>
      </c>
      <c r="C467" s="1" t="n">
        <v>46199</v>
      </c>
      <c r="D467" t="inlineStr">
        <is>
          <t>GÄVLEBORGS LÄN</t>
        </is>
      </c>
      <c r="E467" t="inlineStr">
        <is>
          <t>NORDANSTIG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4128-2026</t>
        </is>
      </c>
      <c r="B468" s="1" t="n">
        <v>46044</v>
      </c>
      <c r="C468" s="1" t="n">
        <v>46199</v>
      </c>
      <c r="D468" t="inlineStr">
        <is>
          <t>GÄVLEBORGS LÄN</t>
        </is>
      </c>
      <c r="E468" t="inlineStr">
        <is>
          <t>NORDANSTIG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55186-2025</t>
        </is>
      </c>
      <c r="B469" s="1" t="n">
        <v>45968</v>
      </c>
      <c r="C469" s="1" t="n">
        <v>46199</v>
      </c>
      <c r="D469" t="inlineStr">
        <is>
          <t>GÄVLEBORGS LÄN</t>
        </is>
      </c>
      <c r="E469" t="inlineStr">
        <is>
          <t>NORDANSTIG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4777-2026</t>
        </is>
      </c>
      <c r="B470" s="1" t="n">
        <v>46048</v>
      </c>
      <c r="C470" s="1" t="n">
        <v>46199</v>
      </c>
      <c r="D470" t="inlineStr">
        <is>
          <t>GÄVLEBORGS LÄN</t>
        </is>
      </c>
      <c r="E470" t="inlineStr">
        <is>
          <t>NORDANSTIG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4794-2026</t>
        </is>
      </c>
      <c r="B471" s="1" t="n">
        <v>46048</v>
      </c>
      <c r="C471" s="1" t="n">
        <v>46199</v>
      </c>
      <c r="D471" t="inlineStr">
        <is>
          <t>GÄVLEBORGS LÄN</t>
        </is>
      </c>
      <c r="E471" t="inlineStr">
        <is>
          <t>NORDANSTIG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4779-2026</t>
        </is>
      </c>
      <c r="B472" s="1" t="n">
        <v>46048</v>
      </c>
      <c r="C472" s="1" t="n">
        <v>46199</v>
      </c>
      <c r="D472" t="inlineStr">
        <is>
          <t>GÄVLEBORGS LÄN</t>
        </is>
      </c>
      <c r="E472" t="inlineStr">
        <is>
          <t>NORDANSTIG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37728-2025</t>
        </is>
      </c>
      <c r="B473" s="1" t="n">
        <v>45880</v>
      </c>
      <c r="C473" s="1" t="n">
        <v>46199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55538-2024</t>
        </is>
      </c>
      <c r="B474" s="1" t="n">
        <v>45622</v>
      </c>
      <c r="C474" s="1" t="n">
        <v>46199</v>
      </c>
      <c r="D474" t="inlineStr">
        <is>
          <t>GÄVLEBORGS LÄN</t>
        </is>
      </c>
      <c r="E474" t="inlineStr">
        <is>
          <t>NORDANSTIG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56351-2024</t>
        </is>
      </c>
      <c r="B475" s="1" t="n">
        <v>45624</v>
      </c>
      <c r="C475" s="1" t="n">
        <v>46199</v>
      </c>
      <c r="D475" t="inlineStr">
        <is>
          <t>GÄVLEBORGS LÄN</t>
        </is>
      </c>
      <c r="E475" t="inlineStr">
        <is>
          <t>NORDANSTIG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55513-2025</t>
        </is>
      </c>
      <c r="B476" s="1" t="n">
        <v>45971</v>
      </c>
      <c r="C476" s="1" t="n">
        <v>46199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37848-2025</t>
        </is>
      </c>
      <c r="B477" s="1" t="n">
        <v>45881</v>
      </c>
      <c r="C477" s="1" t="n">
        <v>46199</v>
      </c>
      <c r="D477" t="inlineStr">
        <is>
          <t>GÄVLEBORGS LÄN</t>
        </is>
      </c>
      <c r="E477" t="inlineStr">
        <is>
          <t>NORDANSTIG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38104-2025</t>
        </is>
      </c>
      <c r="B478" s="1" t="n">
        <v>45882</v>
      </c>
      <c r="C478" s="1" t="n">
        <v>46199</v>
      </c>
      <c r="D478" t="inlineStr">
        <is>
          <t>GÄVLEBORGS LÄN</t>
        </is>
      </c>
      <c r="E478" t="inlineStr">
        <is>
          <t>NORDANSTIG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38091-2025</t>
        </is>
      </c>
      <c r="B479" s="1" t="n">
        <v>45882</v>
      </c>
      <c r="C479" s="1" t="n">
        <v>46199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4370-2026</t>
        </is>
      </c>
      <c r="B480" s="1" t="n">
        <v>46045</v>
      </c>
      <c r="C480" s="1" t="n">
        <v>46199</v>
      </c>
      <c r="D480" t="inlineStr">
        <is>
          <t>GÄVLEBORGS LÄN</t>
        </is>
      </c>
      <c r="E480" t="inlineStr">
        <is>
          <t>NORDANSTIG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55460-2025</t>
        </is>
      </c>
      <c r="B481" s="1" t="n">
        <v>45971</v>
      </c>
      <c r="C481" s="1" t="n">
        <v>46199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55590-2025</t>
        </is>
      </c>
      <c r="B482" s="1" t="n">
        <v>45971</v>
      </c>
      <c r="C482" s="1" t="n">
        <v>46199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4399-2026</t>
        </is>
      </c>
      <c r="B483" s="1" t="n">
        <v>46045</v>
      </c>
      <c r="C483" s="1" t="n">
        <v>46199</v>
      </c>
      <c r="D483" t="inlineStr">
        <is>
          <t>GÄVLEBORGS LÄN</t>
        </is>
      </c>
      <c r="E483" t="inlineStr">
        <is>
          <t>NORDANSTIG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4695-2026</t>
        </is>
      </c>
      <c r="B484" s="1" t="n">
        <v>46048</v>
      </c>
      <c r="C484" s="1" t="n">
        <v>46199</v>
      </c>
      <c r="D484" t="inlineStr">
        <is>
          <t>GÄVLEBORGS LÄN</t>
        </is>
      </c>
      <c r="E484" t="inlineStr">
        <is>
          <t>NORDANSTIG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8968-2026</t>
        </is>
      </c>
      <c r="B485" s="1" t="n">
        <v>46069</v>
      </c>
      <c r="C485" s="1" t="n">
        <v>46199</v>
      </c>
      <c r="D485" t="inlineStr">
        <is>
          <t>GÄVLEBORGS LÄN</t>
        </is>
      </c>
      <c r="E485" t="inlineStr">
        <is>
          <t>NORDANSTIG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4384-2026</t>
        </is>
      </c>
      <c r="B486" s="1" t="n">
        <v>46045</v>
      </c>
      <c r="C486" s="1" t="n">
        <v>46199</v>
      </c>
      <c r="D486" t="inlineStr">
        <is>
          <t>GÄVLEBORGS LÄN</t>
        </is>
      </c>
      <c r="E486" t="inlineStr">
        <is>
          <t>NORDANSTIG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5422-2026</t>
        </is>
      </c>
      <c r="B487" s="1" t="n">
        <v>46050</v>
      </c>
      <c r="C487" s="1" t="n">
        <v>46199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5459-2026</t>
        </is>
      </c>
      <c r="B488" s="1" t="n">
        <v>46050</v>
      </c>
      <c r="C488" s="1" t="n">
        <v>46199</v>
      </c>
      <c r="D488" t="inlineStr">
        <is>
          <t>GÄVLEBORGS LÄN</t>
        </is>
      </c>
      <c r="E488" t="inlineStr">
        <is>
          <t>NORDANSTIG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5315-2026</t>
        </is>
      </c>
      <c r="B489" s="1" t="n">
        <v>46050</v>
      </c>
      <c r="C489" s="1" t="n">
        <v>46199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5456-2026</t>
        </is>
      </c>
      <c r="B490" s="1" t="n">
        <v>46050</v>
      </c>
      <c r="C490" s="1" t="n">
        <v>46199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5947-2026</t>
        </is>
      </c>
      <c r="B491" s="1" t="n">
        <v>46052</v>
      </c>
      <c r="C491" s="1" t="n">
        <v>46199</v>
      </c>
      <c r="D491" t="inlineStr">
        <is>
          <t>GÄVLEBORGS LÄN</t>
        </is>
      </c>
      <c r="E491" t="inlineStr">
        <is>
          <t>NORDANSTIG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55453-2025</t>
        </is>
      </c>
      <c r="B492" s="1" t="n">
        <v>45971</v>
      </c>
      <c r="C492" s="1" t="n">
        <v>46199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5606-2026</t>
        </is>
      </c>
      <c r="B493" s="1" t="n">
        <v>46051</v>
      </c>
      <c r="C493" s="1" t="n">
        <v>46199</v>
      </c>
      <c r="D493" t="inlineStr">
        <is>
          <t>GÄVLEBORGS LÄN</t>
        </is>
      </c>
      <c r="E493" t="inlineStr">
        <is>
          <t>NORDANSTIG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5598-2026</t>
        </is>
      </c>
      <c r="B494" s="1" t="n">
        <v>46051</v>
      </c>
      <c r="C494" s="1" t="n">
        <v>46199</v>
      </c>
      <c r="D494" t="inlineStr">
        <is>
          <t>GÄVLEBORGS LÄN</t>
        </is>
      </c>
      <c r="E494" t="inlineStr">
        <is>
          <t>NORDANSTIG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5600-2026</t>
        </is>
      </c>
      <c r="B495" s="1" t="n">
        <v>46051</v>
      </c>
      <c r="C495" s="1" t="n">
        <v>46199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5603-2026</t>
        </is>
      </c>
      <c r="B496" s="1" t="n">
        <v>46051</v>
      </c>
      <c r="C496" s="1" t="n">
        <v>46199</v>
      </c>
      <c r="D496" t="inlineStr">
        <is>
          <t>GÄVLEBORGS LÄN</t>
        </is>
      </c>
      <c r="E496" t="inlineStr">
        <is>
          <t>NORDANSTIG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5594-2026</t>
        </is>
      </c>
      <c r="B497" s="1" t="n">
        <v>46051</v>
      </c>
      <c r="C497" s="1" t="n">
        <v>46199</v>
      </c>
      <c r="D497" t="inlineStr">
        <is>
          <t>GÄVLEBORGS LÄN</t>
        </is>
      </c>
      <c r="E497" t="inlineStr">
        <is>
          <t>NORDANSTIG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5608-2026</t>
        </is>
      </c>
      <c r="B498" s="1" t="n">
        <v>46051</v>
      </c>
      <c r="C498" s="1" t="n">
        <v>46199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56039-2025</t>
        </is>
      </c>
      <c r="B499" s="1" t="n">
        <v>45973</v>
      </c>
      <c r="C499" s="1" t="n">
        <v>46199</v>
      </c>
      <c r="D499" t="inlineStr">
        <is>
          <t>GÄVLEBORGS LÄN</t>
        </is>
      </c>
      <c r="E499" t="inlineStr">
        <is>
          <t>NORDANSTIG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55964-2025</t>
        </is>
      </c>
      <c r="B500" s="1" t="n">
        <v>45973</v>
      </c>
      <c r="C500" s="1" t="n">
        <v>46199</v>
      </c>
      <c r="D500" t="inlineStr">
        <is>
          <t>GÄVLEBORGS LÄN</t>
        </is>
      </c>
      <c r="E500" t="inlineStr">
        <is>
          <t>NORDANSTIG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5746-2026</t>
        </is>
      </c>
      <c r="B501" s="1" t="n">
        <v>46051</v>
      </c>
      <c r="C501" s="1" t="n">
        <v>46199</v>
      </c>
      <c r="D501" t="inlineStr">
        <is>
          <t>GÄVLEBORGS LÄN</t>
        </is>
      </c>
      <c r="E501" t="inlineStr">
        <is>
          <t>NORDANSTIG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56056-2025</t>
        </is>
      </c>
      <c r="B502" s="1" t="n">
        <v>45973</v>
      </c>
      <c r="C502" s="1" t="n">
        <v>46199</v>
      </c>
      <c r="D502" t="inlineStr">
        <is>
          <t>GÄVLEBORGS LÄN</t>
        </is>
      </c>
      <c r="E502" t="inlineStr">
        <is>
          <t>NORDANSTIG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5745-2026</t>
        </is>
      </c>
      <c r="B503" s="1" t="n">
        <v>46051</v>
      </c>
      <c r="C503" s="1" t="n">
        <v>46199</v>
      </c>
      <c r="D503" t="inlineStr">
        <is>
          <t>GÄVLEBORGS LÄN</t>
        </is>
      </c>
      <c r="E503" t="inlineStr">
        <is>
          <t>NORDANSTIG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56357-2025</t>
        </is>
      </c>
      <c r="B504" s="1" t="n">
        <v>45974</v>
      </c>
      <c r="C504" s="1" t="n">
        <v>46199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56031-2025</t>
        </is>
      </c>
      <c r="B505" s="1" t="n">
        <v>45973</v>
      </c>
      <c r="C505" s="1" t="n">
        <v>46199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55955-2025</t>
        </is>
      </c>
      <c r="B506" s="1" t="n">
        <v>45973</v>
      </c>
      <c r="C506" s="1" t="n">
        <v>46199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51930-2023</t>
        </is>
      </c>
      <c r="B507" s="1" t="n">
        <v>45223</v>
      </c>
      <c r="C507" s="1" t="n">
        <v>46199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6641-2026</t>
        </is>
      </c>
      <c r="B508" s="1" t="n">
        <v>46056</v>
      </c>
      <c r="C508" s="1" t="n">
        <v>46199</v>
      </c>
      <c r="D508" t="inlineStr">
        <is>
          <t>GÄVLEBORGS LÄN</t>
        </is>
      </c>
      <c r="E508" t="inlineStr">
        <is>
          <t>NORDANSTIG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6117-2026</t>
        </is>
      </c>
      <c r="B509" s="1" t="n">
        <v>46053</v>
      </c>
      <c r="C509" s="1" t="n">
        <v>46199</v>
      </c>
      <c r="D509" t="inlineStr">
        <is>
          <t>GÄVLEBORGS LÄN</t>
        </is>
      </c>
      <c r="E509" t="inlineStr">
        <is>
          <t>NORDANSTIG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6116-2026</t>
        </is>
      </c>
      <c r="B510" s="1" t="n">
        <v>46053</v>
      </c>
      <c r="C510" s="1" t="n">
        <v>46199</v>
      </c>
      <c r="D510" t="inlineStr">
        <is>
          <t>GÄVLEBORGS LÄN</t>
        </is>
      </c>
      <c r="E510" t="inlineStr">
        <is>
          <t>NORDANSTIG</t>
        </is>
      </c>
      <c r="G510" t="n">
        <v>45.3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6647-2026</t>
        </is>
      </c>
      <c r="B511" s="1" t="n">
        <v>46056</v>
      </c>
      <c r="C511" s="1" t="n">
        <v>46199</v>
      </c>
      <c r="D511" t="inlineStr">
        <is>
          <t>GÄVLEBORGS LÄN</t>
        </is>
      </c>
      <c r="E511" t="inlineStr">
        <is>
          <t>NORDANSTIG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6388-2026</t>
        </is>
      </c>
      <c r="B512" s="1" t="n">
        <v>46055</v>
      </c>
      <c r="C512" s="1" t="n">
        <v>46199</v>
      </c>
      <c r="D512" t="inlineStr">
        <is>
          <t>GÄVLEBORGS LÄN</t>
        </is>
      </c>
      <c r="E512" t="inlineStr">
        <is>
          <t>NORDANSTIG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6344-2026</t>
        </is>
      </c>
      <c r="B513" s="1" t="n">
        <v>46055</v>
      </c>
      <c r="C513" s="1" t="n">
        <v>46199</v>
      </c>
      <c r="D513" t="inlineStr">
        <is>
          <t>GÄVLEBORGS LÄN</t>
        </is>
      </c>
      <c r="E513" t="inlineStr">
        <is>
          <t>NORDANSTIG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6279-2026</t>
        </is>
      </c>
      <c r="B514" s="1" t="n">
        <v>46055</v>
      </c>
      <c r="C514" s="1" t="n">
        <v>46199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6287-2026</t>
        </is>
      </c>
      <c r="B515" s="1" t="n">
        <v>46055</v>
      </c>
      <c r="C515" s="1" t="n">
        <v>46199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38589-2025</t>
        </is>
      </c>
      <c r="B516" s="1" t="n">
        <v>45884</v>
      </c>
      <c r="C516" s="1" t="n">
        <v>46199</v>
      </c>
      <c r="D516" t="inlineStr">
        <is>
          <t>GÄVLEBORGS LÄN</t>
        </is>
      </c>
      <c r="E516" t="inlineStr">
        <is>
          <t>NORDANSTIG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56191-2025</t>
        </is>
      </c>
      <c r="B517" s="1" t="n">
        <v>45974</v>
      </c>
      <c r="C517" s="1" t="n">
        <v>46199</v>
      </c>
      <c r="D517" t="inlineStr">
        <is>
          <t>GÄVLEBORGS LÄN</t>
        </is>
      </c>
      <c r="E517" t="inlineStr">
        <is>
          <t>NORDANSTIG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32652-2023</t>
        </is>
      </c>
      <c r="B518" s="1" t="n">
        <v>45121</v>
      </c>
      <c r="C518" s="1" t="n">
        <v>46199</v>
      </c>
      <c r="D518" t="inlineStr">
        <is>
          <t>GÄVLEBORGS LÄN</t>
        </is>
      </c>
      <c r="E518" t="inlineStr">
        <is>
          <t>NORDANSTIG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6854-2026</t>
        </is>
      </c>
      <c r="B519" s="1" t="n">
        <v>46057</v>
      </c>
      <c r="C519" s="1" t="n">
        <v>46199</v>
      </c>
      <c r="D519" t="inlineStr">
        <is>
          <t>GÄVLEBORGS LÄN</t>
        </is>
      </c>
      <c r="E519" t="inlineStr">
        <is>
          <t>NORDANSTIG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6859-2026</t>
        </is>
      </c>
      <c r="B520" s="1" t="n">
        <v>46057</v>
      </c>
      <c r="C520" s="1" t="n">
        <v>46199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62619-2023</t>
        </is>
      </c>
      <c r="B521" s="1" t="n">
        <v>45271</v>
      </c>
      <c r="C521" s="1" t="n">
        <v>46199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6779-2026</t>
        </is>
      </c>
      <c r="B522" s="1" t="n">
        <v>46057</v>
      </c>
      <c r="C522" s="1" t="n">
        <v>46199</v>
      </c>
      <c r="D522" t="inlineStr">
        <is>
          <t>GÄVLEBORGS LÄN</t>
        </is>
      </c>
      <c r="E522" t="inlineStr">
        <is>
          <t>NORDANSTIG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6840-2026</t>
        </is>
      </c>
      <c r="B523" s="1" t="n">
        <v>46057</v>
      </c>
      <c r="C523" s="1" t="n">
        <v>46199</v>
      </c>
      <c r="D523" t="inlineStr">
        <is>
          <t>GÄVLEBORGS LÄN</t>
        </is>
      </c>
      <c r="E523" t="inlineStr">
        <is>
          <t>NORDANSTIG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7831-2026</t>
        </is>
      </c>
      <c r="B524" s="1" t="n">
        <v>46062</v>
      </c>
      <c r="C524" s="1" t="n">
        <v>46199</v>
      </c>
      <c r="D524" t="inlineStr">
        <is>
          <t>GÄVLEBORGS LÄN</t>
        </is>
      </c>
      <c r="E524" t="inlineStr">
        <is>
          <t>NORDANSTIG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7783-2026</t>
        </is>
      </c>
      <c r="B525" s="1" t="n">
        <v>46062</v>
      </c>
      <c r="C525" s="1" t="n">
        <v>46199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472-2024</t>
        </is>
      </c>
      <c r="B526" s="1" t="n">
        <v>45297</v>
      </c>
      <c r="C526" s="1" t="n">
        <v>46199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11113-2026</t>
        </is>
      </c>
      <c r="B527" s="1" t="n">
        <v>46079</v>
      </c>
      <c r="C527" s="1" t="n">
        <v>46199</v>
      </c>
      <c r="D527" t="inlineStr">
        <is>
          <t>GÄVLEBORGS LÄN</t>
        </is>
      </c>
      <c r="E527" t="inlineStr">
        <is>
          <t>NORDANSTIG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7685-2026</t>
        </is>
      </c>
      <c r="B528" s="1" t="n">
        <v>46062</v>
      </c>
      <c r="C528" s="1" t="n">
        <v>46199</v>
      </c>
      <c r="D528" t="inlineStr">
        <is>
          <t>GÄVLEBORGS LÄN</t>
        </is>
      </c>
      <c r="E528" t="inlineStr">
        <is>
          <t>NORDANSTIG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7640-2026</t>
        </is>
      </c>
      <c r="B529" s="1" t="n">
        <v>46062</v>
      </c>
      <c r="C529" s="1" t="n">
        <v>46199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7863-2026</t>
        </is>
      </c>
      <c r="B530" s="1" t="n">
        <v>46062</v>
      </c>
      <c r="C530" s="1" t="n">
        <v>46199</v>
      </c>
      <c r="D530" t="inlineStr">
        <is>
          <t>GÄVLEBORGS LÄN</t>
        </is>
      </c>
      <c r="E530" t="inlineStr">
        <is>
          <t>NORDANSTIG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38185-2025</t>
        </is>
      </c>
      <c r="B531" s="1" t="n">
        <v>45882</v>
      </c>
      <c r="C531" s="1" t="n">
        <v>46199</v>
      </c>
      <c r="D531" t="inlineStr">
        <is>
          <t>GÄVLEBORGS LÄN</t>
        </is>
      </c>
      <c r="E531" t="inlineStr">
        <is>
          <t>NORDANSTIG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7691-2026</t>
        </is>
      </c>
      <c r="B532" s="1" t="n">
        <v>46062</v>
      </c>
      <c r="C532" s="1" t="n">
        <v>46199</v>
      </c>
      <c r="D532" t="inlineStr">
        <is>
          <t>GÄVLEBORGS LÄN</t>
        </is>
      </c>
      <c r="E532" t="inlineStr">
        <is>
          <t>NORDANSTIG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46376-2024</t>
        </is>
      </c>
      <c r="B533" s="1" t="n">
        <v>45582</v>
      </c>
      <c r="C533" s="1" t="n">
        <v>46199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45549-2024</t>
        </is>
      </c>
      <c r="B534" s="1" t="n">
        <v>45579</v>
      </c>
      <c r="C534" s="1" t="n">
        <v>46199</v>
      </c>
      <c r="D534" t="inlineStr">
        <is>
          <t>GÄVLEBORGS LÄN</t>
        </is>
      </c>
      <c r="E534" t="inlineStr">
        <is>
          <t>NORDANSTIG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7496-2026</t>
        </is>
      </c>
      <c r="B535" s="1" t="n">
        <v>46059</v>
      </c>
      <c r="C535" s="1" t="n">
        <v>46199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7772-2026</t>
        </is>
      </c>
      <c r="B536" s="1" t="n">
        <v>46062</v>
      </c>
      <c r="C536" s="1" t="n">
        <v>46199</v>
      </c>
      <c r="D536" t="inlineStr">
        <is>
          <t>GÄVLEBORGS LÄN</t>
        </is>
      </c>
      <c r="E536" t="inlineStr">
        <is>
          <t>NORDANSTIG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8201-2026</t>
        </is>
      </c>
      <c r="B537" s="1" t="n">
        <v>46064</v>
      </c>
      <c r="C537" s="1" t="n">
        <v>46199</v>
      </c>
      <c r="D537" t="inlineStr">
        <is>
          <t>GÄVLEBORGS LÄN</t>
        </is>
      </c>
      <c r="E537" t="inlineStr">
        <is>
          <t>NORDANSTIG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7944-2026</t>
        </is>
      </c>
      <c r="B538" s="1" t="n">
        <v>46063</v>
      </c>
      <c r="C538" s="1" t="n">
        <v>46199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8288-2026</t>
        </is>
      </c>
      <c r="B539" s="1" t="n">
        <v>46064</v>
      </c>
      <c r="C539" s="1" t="n">
        <v>46199</v>
      </c>
      <c r="D539" t="inlineStr">
        <is>
          <t>GÄVLEBORGS LÄN</t>
        </is>
      </c>
      <c r="E539" t="inlineStr">
        <is>
          <t>NORDANSTIG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8318-2026</t>
        </is>
      </c>
      <c r="B540" s="1" t="n">
        <v>46064</v>
      </c>
      <c r="C540" s="1" t="n">
        <v>46199</v>
      </c>
      <c r="D540" t="inlineStr">
        <is>
          <t>GÄVLEBORGS LÄN</t>
        </is>
      </c>
      <c r="E540" t="inlineStr">
        <is>
          <t>NORDANSTIG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18680-2025</t>
        </is>
      </c>
      <c r="B541" s="1" t="n">
        <v>45763</v>
      </c>
      <c r="C541" s="1" t="n">
        <v>46199</v>
      </c>
      <c r="D541" t="inlineStr">
        <is>
          <t>GÄVLEBORGS LÄN</t>
        </is>
      </c>
      <c r="E541" t="inlineStr">
        <is>
          <t>NORDANSTIG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5479-2023</t>
        </is>
      </c>
      <c r="B542" s="1" t="n">
        <v>44960</v>
      </c>
      <c r="C542" s="1" t="n">
        <v>46199</v>
      </c>
      <c r="D542" t="inlineStr">
        <is>
          <t>GÄVLEBORGS LÄN</t>
        </is>
      </c>
      <c r="E542" t="inlineStr">
        <is>
          <t>NORDANSTIG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59297-2024</t>
        </is>
      </c>
      <c r="B543" s="1" t="n">
        <v>45637</v>
      </c>
      <c r="C543" s="1" t="n">
        <v>46199</v>
      </c>
      <c r="D543" t="inlineStr">
        <is>
          <t>GÄVLEBORGS LÄN</t>
        </is>
      </c>
      <c r="E543" t="inlineStr">
        <is>
          <t>NORDANSTIG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8281-2026</t>
        </is>
      </c>
      <c r="B544" s="1" t="n">
        <v>46064</v>
      </c>
      <c r="C544" s="1" t="n">
        <v>46199</v>
      </c>
      <c r="D544" t="inlineStr">
        <is>
          <t>GÄVLEBORGS LÄN</t>
        </is>
      </c>
      <c r="E544" t="inlineStr">
        <is>
          <t>NORDANSTIG</t>
        </is>
      </c>
      <c r="G544" t="n">
        <v>38.1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8182-2026</t>
        </is>
      </c>
      <c r="B545" s="1" t="n">
        <v>46064</v>
      </c>
      <c r="C545" s="1" t="n">
        <v>46199</v>
      </c>
      <c r="D545" t="inlineStr">
        <is>
          <t>GÄVLEBORGS LÄN</t>
        </is>
      </c>
      <c r="E545" t="inlineStr">
        <is>
          <t>NORDANSTIG</t>
        </is>
      </c>
      <c r="G545" t="n">
        <v>19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15494-2023</t>
        </is>
      </c>
      <c r="B546" s="1" t="n">
        <v>45020</v>
      </c>
      <c r="C546" s="1" t="n">
        <v>46199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15496-2023</t>
        </is>
      </c>
      <c r="B547" s="1" t="n">
        <v>45020</v>
      </c>
      <c r="C547" s="1" t="n">
        <v>46199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43075-2024</t>
        </is>
      </c>
      <c r="B548" s="1" t="n">
        <v>45567</v>
      </c>
      <c r="C548" s="1" t="n">
        <v>46199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7928-2026</t>
        </is>
      </c>
      <c r="B549" s="1" t="n">
        <v>46063</v>
      </c>
      <c r="C549" s="1" t="n">
        <v>46199</v>
      </c>
      <c r="D549" t="inlineStr">
        <is>
          <t>GÄVLEBORGS LÄN</t>
        </is>
      </c>
      <c r="E549" t="inlineStr">
        <is>
          <t>NORDANSTIG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4001-2023</t>
        </is>
      </c>
      <c r="B550" s="1" t="n">
        <v>44952</v>
      </c>
      <c r="C550" s="1" t="n">
        <v>46199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4024-2023</t>
        </is>
      </c>
      <c r="B551" s="1" t="n">
        <v>44952</v>
      </c>
      <c r="C551" s="1" t="n">
        <v>46199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8837-2026</t>
        </is>
      </c>
      <c r="B552" s="1" t="n">
        <v>46066</v>
      </c>
      <c r="C552" s="1" t="n">
        <v>46199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Naturvårdsverket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25946-2023</t>
        </is>
      </c>
      <c r="B553" s="1" t="n">
        <v>45090</v>
      </c>
      <c r="C553" s="1" t="n">
        <v>46199</v>
      </c>
      <c r="D553" t="inlineStr">
        <is>
          <t>GÄVLEBORGS LÄN</t>
        </is>
      </c>
      <c r="E553" t="inlineStr">
        <is>
          <t>NORDANSTIG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8711-2026</t>
        </is>
      </c>
      <c r="B554" s="1" t="n">
        <v>46066</v>
      </c>
      <c r="C554" s="1" t="n">
        <v>46199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48607-2023</t>
        </is>
      </c>
      <c r="B555" s="1" t="n">
        <v>45208</v>
      </c>
      <c r="C555" s="1" t="n">
        <v>46199</v>
      </c>
      <c r="D555" t="inlineStr">
        <is>
          <t>GÄVLEBORGS LÄN</t>
        </is>
      </c>
      <c r="E555" t="inlineStr">
        <is>
          <t>NORDANSTIG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38246-2025</t>
        </is>
      </c>
      <c r="B556" s="1" t="n">
        <v>45883</v>
      </c>
      <c r="C556" s="1" t="n">
        <v>46199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8407-2026</t>
        </is>
      </c>
      <c r="B557" s="1" t="n">
        <v>46065</v>
      </c>
      <c r="C557" s="1" t="n">
        <v>46199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21157-2022</t>
        </is>
      </c>
      <c r="B558" s="1" t="n">
        <v>44704</v>
      </c>
      <c r="C558" s="1" t="n">
        <v>46199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8646-2026</t>
        </is>
      </c>
      <c r="B559" s="1" t="n">
        <v>46066</v>
      </c>
      <c r="C559" s="1" t="n">
        <v>46199</v>
      </c>
      <c r="D559" t="inlineStr">
        <is>
          <t>GÄVLEBORGS LÄN</t>
        </is>
      </c>
      <c r="E559" t="inlineStr">
        <is>
          <t>NORDANSTIG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34557-2023</t>
        </is>
      </c>
      <c r="B560" s="1" t="n">
        <v>45140</v>
      </c>
      <c r="C560" s="1" t="n">
        <v>46199</v>
      </c>
      <c r="D560" t="inlineStr">
        <is>
          <t>GÄVLEBORGS LÄN</t>
        </is>
      </c>
      <c r="E560" t="inlineStr">
        <is>
          <t>NORDANSTIG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8541-2026</t>
        </is>
      </c>
      <c r="B561" s="1" t="n">
        <v>46065</v>
      </c>
      <c r="C561" s="1" t="n">
        <v>46199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9032-2026</t>
        </is>
      </c>
      <c r="B562" s="1" t="n">
        <v>46069</v>
      </c>
      <c r="C562" s="1" t="n">
        <v>46199</v>
      </c>
      <c r="D562" t="inlineStr">
        <is>
          <t>GÄVLEBORGS LÄN</t>
        </is>
      </c>
      <c r="E562" t="inlineStr">
        <is>
          <t>NORDANSTIG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41825-2025</t>
        </is>
      </c>
      <c r="B563" s="1" t="n">
        <v>45902</v>
      </c>
      <c r="C563" s="1" t="n">
        <v>46199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9122-2026</t>
        </is>
      </c>
      <c r="B564" s="1" t="n">
        <v>46069</v>
      </c>
      <c r="C564" s="1" t="n">
        <v>46199</v>
      </c>
      <c r="D564" t="inlineStr">
        <is>
          <t>GÄVLEBORGS LÄN</t>
        </is>
      </c>
      <c r="E564" t="inlineStr">
        <is>
          <t>NORDANSTIG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9340-2026</t>
        </is>
      </c>
      <c r="B565" s="1" t="n">
        <v>46070</v>
      </c>
      <c r="C565" s="1" t="n">
        <v>46199</v>
      </c>
      <c r="D565" t="inlineStr">
        <is>
          <t>GÄVLEBORGS LÄN</t>
        </is>
      </c>
      <c r="E565" t="inlineStr">
        <is>
          <t>NORDANSTIG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21187-2022</t>
        </is>
      </c>
      <c r="B566" s="1" t="n">
        <v>44704</v>
      </c>
      <c r="C566" s="1" t="n">
        <v>46199</v>
      </c>
      <c r="D566" t="inlineStr">
        <is>
          <t>GÄVLEBORGS LÄN</t>
        </is>
      </c>
      <c r="E566" t="inlineStr">
        <is>
          <t>NORDANSTIG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9204-2026</t>
        </is>
      </c>
      <c r="B567" s="1" t="n">
        <v>46070</v>
      </c>
      <c r="C567" s="1" t="n">
        <v>46199</v>
      </c>
      <c r="D567" t="inlineStr">
        <is>
          <t>GÄVLEBORGS LÄN</t>
        </is>
      </c>
      <c r="E567" t="inlineStr">
        <is>
          <t>NORDANSTIG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9361-2026</t>
        </is>
      </c>
      <c r="B568" s="1" t="n">
        <v>46070</v>
      </c>
      <c r="C568" s="1" t="n">
        <v>46199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15464-2023</t>
        </is>
      </c>
      <c r="B569" s="1" t="n">
        <v>45020</v>
      </c>
      <c r="C569" s="1" t="n">
        <v>46199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8998-2026</t>
        </is>
      </c>
      <c r="B570" s="1" t="n">
        <v>46069</v>
      </c>
      <c r="C570" s="1" t="n">
        <v>46199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9516-2026</t>
        </is>
      </c>
      <c r="B571" s="1" t="n">
        <v>46071</v>
      </c>
      <c r="C571" s="1" t="n">
        <v>46199</v>
      </c>
      <c r="D571" t="inlineStr">
        <is>
          <t>GÄVLEBORGS LÄN</t>
        </is>
      </c>
      <c r="E571" t="inlineStr">
        <is>
          <t>NORDANSTIG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9591-2026</t>
        </is>
      </c>
      <c r="B572" s="1" t="n">
        <v>46071</v>
      </c>
      <c r="C572" s="1" t="n">
        <v>46199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59930-2024</t>
        </is>
      </c>
      <c r="B573" s="1" t="n">
        <v>45642</v>
      </c>
      <c r="C573" s="1" t="n">
        <v>46199</v>
      </c>
      <c r="D573" t="inlineStr">
        <is>
          <t>GÄVLEBORGS LÄN</t>
        </is>
      </c>
      <c r="E573" t="inlineStr">
        <is>
          <t>NORDANSTIG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58112-2024</t>
        </is>
      </c>
      <c r="B574" s="1" t="n">
        <v>45632</v>
      </c>
      <c r="C574" s="1" t="n">
        <v>46199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9491-2026</t>
        </is>
      </c>
      <c r="B575" s="1" t="n">
        <v>46071</v>
      </c>
      <c r="C575" s="1" t="n">
        <v>46199</v>
      </c>
      <c r="D575" t="inlineStr">
        <is>
          <t>GÄVLEBORGS LÄN</t>
        </is>
      </c>
      <c r="E575" t="inlineStr">
        <is>
          <t>NORDANSTIG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9496-2026</t>
        </is>
      </c>
      <c r="B576" s="1" t="n">
        <v>46071</v>
      </c>
      <c r="C576" s="1" t="n">
        <v>46199</v>
      </c>
      <c r="D576" t="inlineStr">
        <is>
          <t>GÄVLEBORGS LÄN</t>
        </is>
      </c>
      <c r="E576" t="inlineStr">
        <is>
          <t>NORDANSTIG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9500-2026</t>
        </is>
      </c>
      <c r="B577" s="1" t="n">
        <v>46071</v>
      </c>
      <c r="C577" s="1" t="n">
        <v>46199</v>
      </c>
      <c r="D577" t="inlineStr">
        <is>
          <t>GÄVLEBORGS LÄN</t>
        </is>
      </c>
      <c r="E577" t="inlineStr">
        <is>
          <t>NORDANSTIG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21153-2023</t>
        </is>
      </c>
      <c r="B578" s="1" t="n">
        <v>45062</v>
      </c>
      <c r="C578" s="1" t="n">
        <v>46199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9590-2026</t>
        </is>
      </c>
      <c r="B579" s="1" t="n">
        <v>46071</v>
      </c>
      <c r="C579" s="1" t="n">
        <v>46199</v>
      </c>
      <c r="D579" t="inlineStr">
        <is>
          <t>GÄVLEBORGS LÄN</t>
        </is>
      </c>
      <c r="E579" t="inlineStr">
        <is>
          <t>NORDANSTIG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9685-2026</t>
        </is>
      </c>
      <c r="B580" s="1" t="n">
        <v>46072</v>
      </c>
      <c r="C580" s="1" t="n">
        <v>46199</v>
      </c>
      <c r="D580" t="inlineStr">
        <is>
          <t>GÄVLEBORGS LÄN</t>
        </is>
      </c>
      <c r="E580" t="inlineStr">
        <is>
          <t>NORDANSTIG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879-2026</t>
        </is>
      </c>
      <c r="B581" s="1" t="n">
        <v>46030</v>
      </c>
      <c r="C581" s="1" t="n">
        <v>46199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9425-2026</t>
        </is>
      </c>
      <c r="B582" s="1" t="n">
        <v>46071</v>
      </c>
      <c r="C582" s="1" t="n">
        <v>46199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1034-2026</t>
        </is>
      </c>
      <c r="B583" s="1" t="n">
        <v>46030</v>
      </c>
      <c r="C583" s="1" t="n">
        <v>46199</v>
      </c>
      <c r="D583" t="inlineStr">
        <is>
          <t>GÄVLEBORGS LÄN</t>
        </is>
      </c>
      <c r="E583" t="inlineStr">
        <is>
          <t>NORDANSTIG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9650-2026</t>
        </is>
      </c>
      <c r="B584" s="1" t="n">
        <v>46072</v>
      </c>
      <c r="C584" s="1" t="n">
        <v>46199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9780-2026</t>
        </is>
      </c>
      <c r="B585" s="1" t="n">
        <v>46072</v>
      </c>
      <c r="C585" s="1" t="n">
        <v>46199</v>
      </c>
      <c r="D585" t="inlineStr">
        <is>
          <t>GÄVLEBORGS LÄN</t>
        </is>
      </c>
      <c r="E585" t="inlineStr">
        <is>
          <t>NORDANSTIG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10193-2026</t>
        </is>
      </c>
      <c r="B586" s="1" t="n">
        <v>46076</v>
      </c>
      <c r="C586" s="1" t="n">
        <v>46199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6093-2023</t>
        </is>
      </c>
      <c r="B587" s="1" t="n">
        <v>44964</v>
      </c>
      <c r="C587" s="1" t="n">
        <v>46199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21085-2024</t>
        </is>
      </c>
      <c r="B588" s="1" t="n">
        <v>45439</v>
      </c>
      <c r="C588" s="1" t="n">
        <v>46199</v>
      </c>
      <c r="D588" t="inlineStr">
        <is>
          <t>GÄVLEBORGS LÄN</t>
        </is>
      </c>
      <c r="E588" t="inlineStr">
        <is>
          <t>NORDANSTIG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39207-2023</t>
        </is>
      </c>
      <c r="B589" s="1" t="n">
        <v>45166</v>
      </c>
      <c r="C589" s="1" t="n">
        <v>46199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10199-2026</t>
        </is>
      </c>
      <c r="B590" s="1" t="n">
        <v>46076</v>
      </c>
      <c r="C590" s="1" t="n">
        <v>46199</v>
      </c>
      <c r="D590" t="inlineStr">
        <is>
          <t>GÄVLEBORGS LÄN</t>
        </is>
      </c>
      <c r="E590" t="inlineStr">
        <is>
          <t>NORDANSTIG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9969-2026</t>
        </is>
      </c>
      <c r="B591" s="1" t="n">
        <v>46073</v>
      </c>
      <c r="C591" s="1" t="n">
        <v>46199</v>
      </c>
      <c r="D591" t="inlineStr">
        <is>
          <t>GÄVLEBORGS LÄN</t>
        </is>
      </c>
      <c r="E591" t="inlineStr">
        <is>
          <t>NORDANSTIG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52788-2024</t>
        </is>
      </c>
      <c r="B592" s="1" t="n">
        <v>45610</v>
      </c>
      <c r="C592" s="1" t="n">
        <v>46199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19568-2024</t>
        </is>
      </c>
      <c r="B593" s="1" t="n">
        <v>45429</v>
      </c>
      <c r="C593" s="1" t="n">
        <v>46199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10310-2026</t>
        </is>
      </c>
      <c r="B594" s="1" t="n">
        <v>46076</v>
      </c>
      <c r="C594" s="1" t="n">
        <v>46199</v>
      </c>
      <c r="D594" t="inlineStr">
        <is>
          <t>GÄVLEBORGS LÄN</t>
        </is>
      </c>
      <c r="E594" t="inlineStr">
        <is>
          <t>NORDANSTIG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9971-2026</t>
        </is>
      </c>
      <c r="B595" s="1" t="n">
        <v>46073</v>
      </c>
      <c r="C595" s="1" t="n">
        <v>46199</v>
      </c>
      <c r="D595" t="inlineStr">
        <is>
          <t>GÄVLEBORGS LÄN</t>
        </is>
      </c>
      <c r="E595" t="inlineStr">
        <is>
          <t>NORDANSTIG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10910-2026</t>
        </is>
      </c>
      <c r="B596" s="1" t="n">
        <v>46079</v>
      </c>
      <c r="C596" s="1" t="n">
        <v>46199</v>
      </c>
      <c r="D596" t="inlineStr">
        <is>
          <t>GÄVLEBORGS LÄN</t>
        </is>
      </c>
      <c r="E596" t="inlineStr">
        <is>
          <t>NORDANSTIG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10655-2026</t>
        </is>
      </c>
      <c r="B597" s="1" t="n">
        <v>46078</v>
      </c>
      <c r="C597" s="1" t="n">
        <v>46199</v>
      </c>
      <c r="D597" t="inlineStr">
        <is>
          <t>GÄVLEBORGS LÄN</t>
        </is>
      </c>
      <c r="E597" t="inlineStr">
        <is>
          <t>NORDANSTIG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11087-2026</t>
        </is>
      </c>
      <c r="B598" s="1" t="n">
        <v>46079</v>
      </c>
      <c r="C598" s="1" t="n">
        <v>46199</v>
      </c>
      <c r="D598" t="inlineStr">
        <is>
          <t>GÄVLEBORGS LÄN</t>
        </is>
      </c>
      <c r="E598" t="inlineStr">
        <is>
          <t>NORDANSTIG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10993-2026</t>
        </is>
      </c>
      <c r="B599" s="1" t="n">
        <v>46079</v>
      </c>
      <c r="C599" s="1" t="n">
        <v>46199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9883-2026</t>
        </is>
      </c>
      <c r="B600" s="1" t="n">
        <v>46073</v>
      </c>
      <c r="C600" s="1" t="n">
        <v>46199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10984-2026</t>
        </is>
      </c>
      <c r="B601" s="1" t="n">
        <v>46079</v>
      </c>
      <c r="C601" s="1" t="n">
        <v>46199</v>
      </c>
      <c r="D601" t="inlineStr">
        <is>
          <t>GÄVLEBORGS LÄN</t>
        </is>
      </c>
      <c r="E601" t="inlineStr">
        <is>
          <t>NORDANSTIG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10928-2026</t>
        </is>
      </c>
      <c r="B602" s="1" t="n">
        <v>46079</v>
      </c>
      <c r="C602" s="1" t="n">
        <v>46199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61422-2024</t>
        </is>
      </c>
      <c r="B603" s="1" t="n">
        <v>45646</v>
      </c>
      <c r="C603" s="1" t="n">
        <v>46199</v>
      </c>
      <c r="D603" t="inlineStr">
        <is>
          <t>GÄVLEBORGS LÄN</t>
        </is>
      </c>
      <c r="E603" t="inlineStr">
        <is>
          <t>NORDANSTIG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3638-2026</t>
        </is>
      </c>
      <c r="B604" s="1" t="n">
        <v>46043</v>
      </c>
      <c r="C604" s="1" t="n">
        <v>46199</v>
      </c>
      <c r="D604" t="inlineStr">
        <is>
          <t>GÄVLEBORGS LÄN</t>
        </is>
      </c>
      <c r="E604" t="inlineStr">
        <is>
          <t>NORDANSTIG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11307-2026</t>
        </is>
      </c>
      <c r="B605" s="1" t="n">
        <v>46080</v>
      </c>
      <c r="C605" s="1" t="n">
        <v>46199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3640-2026</t>
        </is>
      </c>
      <c r="B606" s="1" t="n">
        <v>46043</v>
      </c>
      <c r="C606" s="1" t="n">
        <v>46199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34913-2023</t>
        </is>
      </c>
      <c r="B607" s="1" t="n">
        <v>45142</v>
      </c>
      <c r="C607" s="1" t="n">
        <v>46199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34918-2023</t>
        </is>
      </c>
      <c r="B608" s="1" t="n">
        <v>45142</v>
      </c>
      <c r="C608" s="1" t="n">
        <v>46199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54156-2024</t>
        </is>
      </c>
      <c r="B609" s="1" t="n">
        <v>45616</v>
      </c>
      <c r="C609" s="1" t="n">
        <v>46199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54385-2024</t>
        </is>
      </c>
      <c r="B610" s="1" t="n">
        <v>45617</v>
      </c>
      <c r="C610" s="1" t="n">
        <v>46199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11614-2026</t>
        </is>
      </c>
      <c r="B611" s="1" t="n">
        <v>46084</v>
      </c>
      <c r="C611" s="1" t="n">
        <v>46199</v>
      </c>
      <c r="D611" t="inlineStr">
        <is>
          <t>GÄVLEBORGS LÄN</t>
        </is>
      </c>
      <c r="E611" t="inlineStr">
        <is>
          <t>NORDANSTIG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11952-2026</t>
        </is>
      </c>
      <c r="B612" s="1" t="n">
        <v>46085</v>
      </c>
      <c r="C612" s="1" t="n">
        <v>46199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12398-2023</t>
        </is>
      </c>
      <c r="B613" s="1" t="n">
        <v>44999</v>
      </c>
      <c r="C613" s="1" t="n">
        <v>46199</v>
      </c>
      <c r="D613" t="inlineStr">
        <is>
          <t>GÄVLEBORGS LÄN</t>
        </is>
      </c>
      <c r="E613" t="inlineStr">
        <is>
          <t>NORDANSTIG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11578-2026</t>
        </is>
      </c>
      <c r="B614" s="1" t="n">
        <v>46084</v>
      </c>
      <c r="C614" s="1" t="n">
        <v>46199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11688-2026</t>
        </is>
      </c>
      <c r="B615" s="1" t="n">
        <v>46084</v>
      </c>
      <c r="C615" s="1" t="n">
        <v>46199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11592-2026</t>
        </is>
      </c>
      <c r="B616" s="1" t="n">
        <v>46084</v>
      </c>
      <c r="C616" s="1" t="n">
        <v>46199</v>
      </c>
      <c r="D616" t="inlineStr">
        <is>
          <t>GÄVLEBORGS LÄN</t>
        </is>
      </c>
      <c r="E616" t="inlineStr">
        <is>
          <t>NORDANSTIG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11627-2026</t>
        </is>
      </c>
      <c r="B617" s="1" t="n">
        <v>46084</v>
      </c>
      <c r="C617" s="1" t="n">
        <v>46199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11713-2026</t>
        </is>
      </c>
      <c r="B618" s="1" t="n">
        <v>46084</v>
      </c>
      <c r="C618" s="1" t="n">
        <v>46199</v>
      </c>
      <c r="D618" t="inlineStr">
        <is>
          <t>GÄVLEBORGS LÄN</t>
        </is>
      </c>
      <c r="E618" t="inlineStr">
        <is>
          <t>NORDANSTIG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11581-2026</t>
        </is>
      </c>
      <c r="B619" s="1" t="n">
        <v>46084</v>
      </c>
      <c r="C619" s="1" t="n">
        <v>46199</v>
      </c>
      <c r="D619" t="inlineStr">
        <is>
          <t>GÄVLEBORGS LÄN</t>
        </is>
      </c>
      <c r="E619" t="inlineStr">
        <is>
          <t>NORDANSTIG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11586-2026</t>
        </is>
      </c>
      <c r="B620" s="1" t="n">
        <v>46084</v>
      </c>
      <c r="C620" s="1" t="n">
        <v>46199</v>
      </c>
      <c r="D620" t="inlineStr">
        <is>
          <t>GÄVLEBORGS LÄN</t>
        </is>
      </c>
      <c r="E620" t="inlineStr">
        <is>
          <t>NORDANSTIG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26728-2022</t>
        </is>
      </c>
      <c r="B621" s="1" t="n">
        <v>44739</v>
      </c>
      <c r="C621" s="1" t="n">
        <v>46199</v>
      </c>
      <c r="D621" t="inlineStr">
        <is>
          <t>GÄVLEBORGS LÄN</t>
        </is>
      </c>
      <c r="E621" t="inlineStr">
        <is>
          <t>NORDANSTIG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12334-2026</t>
        </is>
      </c>
      <c r="B622" s="1" t="n">
        <v>46087</v>
      </c>
      <c r="C622" s="1" t="n">
        <v>46199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12328-2026</t>
        </is>
      </c>
      <c r="B623" s="1" t="n">
        <v>46087</v>
      </c>
      <c r="C623" s="1" t="n">
        <v>46199</v>
      </c>
      <c r="D623" t="inlineStr">
        <is>
          <t>GÄVLEBORGS LÄN</t>
        </is>
      </c>
      <c r="E623" t="inlineStr">
        <is>
          <t>NORDANSTIG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3773-2026</t>
        </is>
      </c>
      <c r="B624" s="1" t="n">
        <v>46043</v>
      </c>
      <c r="C624" s="1" t="n">
        <v>46199</v>
      </c>
      <c r="D624" t="inlineStr">
        <is>
          <t>GÄVLEBORGS LÄN</t>
        </is>
      </c>
      <c r="E624" t="inlineStr">
        <is>
          <t>NORDANSTIG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58872-2024</t>
        </is>
      </c>
      <c r="B625" s="1" t="n">
        <v>45636</v>
      </c>
      <c r="C625" s="1" t="n">
        <v>46199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3748-2026</t>
        </is>
      </c>
      <c r="B626" s="1" t="n">
        <v>46043</v>
      </c>
      <c r="C626" s="1" t="n">
        <v>46199</v>
      </c>
      <c r="D626" t="inlineStr">
        <is>
          <t>GÄVLEBORGS LÄN</t>
        </is>
      </c>
      <c r="E626" t="inlineStr">
        <is>
          <t>NORDANSTIG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12085-2026</t>
        </is>
      </c>
      <c r="B627" s="1" t="n">
        <v>46086</v>
      </c>
      <c r="C627" s="1" t="n">
        <v>46199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34783-2022</t>
        </is>
      </c>
      <c r="B628" s="1" t="n">
        <v>44795</v>
      </c>
      <c r="C628" s="1" t="n">
        <v>46199</v>
      </c>
      <c r="D628" t="inlineStr">
        <is>
          <t>GÄVLEBORGS LÄN</t>
        </is>
      </c>
      <c r="E628" t="inlineStr">
        <is>
          <t>NORDANSTIG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1230-2026</t>
        </is>
      </c>
      <c r="B629" s="1" t="n">
        <v>46031</v>
      </c>
      <c r="C629" s="1" t="n">
        <v>46199</v>
      </c>
      <c r="D629" t="inlineStr">
        <is>
          <t>GÄVLEBORGS LÄN</t>
        </is>
      </c>
      <c r="E629" t="inlineStr">
        <is>
          <t>NORDANSTIG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12552-2026</t>
        </is>
      </c>
      <c r="B630" s="1" t="n">
        <v>46090</v>
      </c>
      <c r="C630" s="1" t="n">
        <v>46199</v>
      </c>
      <c r="D630" t="inlineStr">
        <is>
          <t>GÄVLEBORGS LÄN</t>
        </is>
      </c>
      <c r="E630" t="inlineStr">
        <is>
          <t>NORDANSTIG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38241-2024</t>
        </is>
      </c>
      <c r="B631" s="1" t="n">
        <v>45545</v>
      </c>
      <c r="C631" s="1" t="n">
        <v>46199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12458-2026</t>
        </is>
      </c>
      <c r="B632" s="1" t="n">
        <v>46090</v>
      </c>
      <c r="C632" s="1" t="n">
        <v>46199</v>
      </c>
      <c r="D632" t="inlineStr">
        <is>
          <t>GÄVLEBORGS LÄN</t>
        </is>
      </c>
      <c r="E632" t="inlineStr">
        <is>
          <t>NORDANSTIG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17052-2023</t>
        </is>
      </c>
      <c r="B633" s="1" t="n">
        <v>45034</v>
      </c>
      <c r="C633" s="1" t="n">
        <v>46199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12956-2026</t>
        </is>
      </c>
      <c r="B634" s="1" t="n">
        <v>46092</v>
      </c>
      <c r="C634" s="1" t="n">
        <v>46199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13218-2026</t>
        </is>
      </c>
      <c r="B635" s="1" t="n">
        <v>46093</v>
      </c>
      <c r="C635" s="1" t="n">
        <v>46199</v>
      </c>
      <c r="D635" t="inlineStr">
        <is>
          <t>GÄVLEBORGS LÄN</t>
        </is>
      </c>
      <c r="E635" t="inlineStr">
        <is>
          <t>NORDANSTIG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13647-2026</t>
        </is>
      </c>
      <c r="B636" s="1" t="n">
        <v>46097</v>
      </c>
      <c r="C636" s="1" t="n">
        <v>46199</v>
      </c>
      <c r="D636" t="inlineStr">
        <is>
          <t>GÄVLEBORGS LÄN</t>
        </is>
      </c>
      <c r="E636" t="inlineStr">
        <is>
          <t>NORDANSTIG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14244-2026</t>
        </is>
      </c>
      <c r="B637" s="1" t="n">
        <v>46099</v>
      </c>
      <c r="C637" s="1" t="n">
        <v>46199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38048-2024</t>
        </is>
      </c>
      <c r="B638" s="1" t="n">
        <v>45544</v>
      </c>
      <c r="C638" s="1" t="n">
        <v>46199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18279-2023</t>
        </is>
      </c>
      <c r="B639" s="1" t="n">
        <v>45041</v>
      </c>
      <c r="C639" s="1" t="n">
        <v>46199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13969-2026</t>
        </is>
      </c>
      <c r="B640" s="1" t="n">
        <v>46098</v>
      </c>
      <c r="C640" s="1" t="n">
        <v>46199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13978-2026</t>
        </is>
      </c>
      <c r="B641" s="1" t="n">
        <v>46098</v>
      </c>
      <c r="C641" s="1" t="n">
        <v>46199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13982-2026</t>
        </is>
      </c>
      <c r="B642" s="1" t="n">
        <v>46098</v>
      </c>
      <c r="C642" s="1" t="n">
        <v>46199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14267-2026</t>
        </is>
      </c>
      <c r="B643" s="1" t="n">
        <v>46099</v>
      </c>
      <c r="C643" s="1" t="n">
        <v>46199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13823-2026</t>
        </is>
      </c>
      <c r="B644" s="1" t="n">
        <v>46098</v>
      </c>
      <c r="C644" s="1" t="n">
        <v>46199</v>
      </c>
      <c r="D644" t="inlineStr">
        <is>
          <t>GÄVLEBORGS LÄN</t>
        </is>
      </c>
      <c r="E644" t="inlineStr">
        <is>
          <t>NORDANSTIG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13822-2026</t>
        </is>
      </c>
      <c r="B645" s="1" t="n">
        <v>46098</v>
      </c>
      <c r="C645" s="1" t="n">
        <v>46199</v>
      </c>
      <c r="D645" t="inlineStr">
        <is>
          <t>GÄVLEBORGS LÄN</t>
        </is>
      </c>
      <c r="E645" t="inlineStr">
        <is>
          <t>NORDANSTIG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58912-2024</t>
        </is>
      </c>
      <c r="B646" s="1" t="n">
        <v>45636</v>
      </c>
      <c r="C646" s="1" t="n">
        <v>46199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10484-2023</t>
        </is>
      </c>
      <c r="B647" s="1" t="n">
        <v>44987</v>
      </c>
      <c r="C647" s="1" t="n">
        <v>46199</v>
      </c>
      <c r="D647" t="inlineStr">
        <is>
          <t>GÄVLEBORGS LÄN</t>
        </is>
      </c>
      <c r="E647" t="inlineStr">
        <is>
          <t>NORDANSTIG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35115-2022</t>
        </is>
      </c>
      <c r="B648" s="1" t="n">
        <v>44797</v>
      </c>
      <c r="C648" s="1" t="n">
        <v>46199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56494-2024</t>
        </is>
      </c>
      <c r="B649" s="1" t="n">
        <v>45625</v>
      </c>
      <c r="C649" s="1" t="n">
        <v>46199</v>
      </c>
      <c r="D649" t="inlineStr">
        <is>
          <t>GÄVLEBORGS LÄN</t>
        </is>
      </c>
      <c r="E649" t="inlineStr">
        <is>
          <t>NORDANSTIG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18020-2026</t>
        </is>
      </c>
      <c r="B650" s="1" t="n">
        <v>46125</v>
      </c>
      <c r="C650" s="1" t="n">
        <v>46199</v>
      </c>
      <c r="D650" t="inlineStr">
        <is>
          <t>GÄVLEBORGS LÄN</t>
        </is>
      </c>
      <c r="E650" t="inlineStr">
        <is>
          <t>NORDANSTIG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15009-2026</t>
        </is>
      </c>
      <c r="B651" s="1" t="n">
        <v>46104</v>
      </c>
      <c r="C651" s="1" t="n">
        <v>46199</v>
      </c>
      <c r="D651" t="inlineStr">
        <is>
          <t>GÄVLEBORGS LÄN</t>
        </is>
      </c>
      <c r="E651" t="inlineStr">
        <is>
          <t>NORDANSTIG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15010-2026</t>
        </is>
      </c>
      <c r="B652" s="1" t="n">
        <v>46104</v>
      </c>
      <c r="C652" s="1" t="n">
        <v>46199</v>
      </c>
      <c r="D652" t="inlineStr">
        <is>
          <t>GÄVLEBORGS LÄN</t>
        </is>
      </c>
      <c r="E652" t="inlineStr">
        <is>
          <t>NORDANSTIG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9884-2023</t>
        </is>
      </c>
      <c r="B653" s="1" t="n">
        <v>44985</v>
      </c>
      <c r="C653" s="1" t="n">
        <v>46199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46199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42118-2022</t>
        </is>
      </c>
      <c r="B655" s="1" t="n">
        <v>44830</v>
      </c>
      <c r="C655" s="1" t="n">
        <v>46199</v>
      </c>
      <c r="D655" t="inlineStr">
        <is>
          <t>GÄVLEBORGS LÄN</t>
        </is>
      </c>
      <c r="E655" t="inlineStr">
        <is>
          <t>NORDANSTIG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15746-2026</t>
        </is>
      </c>
      <c r="B656" s="1" t="n">
        <v>46107</v>
      </c>
      <c r="C656" s="1" t="n">
        <v>46199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30078-2024</t>
        </is>
      </c>
      <c r="B657" s="1" t="n">
        <v>45489</v>
      </c>
      <c r="C657" s="1" t="n">
        <v>46199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33535-2022</t>
        </is>
      </c>
      <c r="B658" s="1" t="n">
        <v>44789</v>
      </c>
      <c r="C658" s="1" t="n">
        <v>46199</v>
      </c>
      <c r="D658" t="inlineStr">
        <is>
          <t>GÄVLEBORGS LÄN</t>
        </is>
      </c>
      <c r="E658" t="inlineStr">
        <is>
          <t>NORDANSTIG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16184-2026</t>
        </is>
      </c>
      <c r="B659" s="1" t="n">
        <v>46111</v>
      </c>
      <c r="C659" s="1" t="n">
        <v>46199</v>
      </c>
      <c r="D659" t="inlineStr">
        <is>
          <t>GÄVLEBORGS LÄN</t>
        </is>
      </c>
      <c r="E659" t="inlineStr">
        <is>
          <t>NORDANSTIG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54519-2024</t>
        </is>
      </c>
      <c r="B660" s="1" t="n">
        <v>45617</v>
      </c>
      <c r="C660" s="1" t="n">
        <v>46199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16291-2026</t>
        </is>
      </c>
      <c r="B661" s="1" t="n">
        <v>46111</v>
      </c>
      <c r="C661" s="1" t="n">
        <v>46199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Kommuner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63145-2023</t>
        </is>
      </c>
      <c r="B662" s="1" t="n">
        <v>45273</v>
      </c>
      <c r="C662" s="1" t="n">
        <v>46199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16294-2026</t>
        </is>
      </c>
      <c r="B663" s="1" t="n">
        <v>46111</v>
      </c>
      <c r="C663" s="1" t="n">
        <v>46199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Kommuner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16293-2026</t>
        </is>
      </c>
      <c r="B664" s="1" t="n">
        <v>46111</v>
      </c>
      <c r="C664" s="1" t="n">
        <v>46199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16310-2026</t>
        </is>
      </c>
      <c r="B665" s="1" t="n">
        <v>46111</v>
      </c>
      <c r="C665" s="1" t="n">
        <v>46199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16436-2026</t>
        </is>
      </c>
      <c r="B666" s="1" t="n">
        <v>46111</v>
      </c>
      <c r="C666" s="1" t="n">
        <v>46199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16449-2026</t>
        </is>
      </c>
      <c r="B667" s="1" t="n">
        <v>46112</v>
      </c>
      <c r="C667" s="1" t="n">
        <v>46199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40733-2023</t>
        </is>
      </c>
      <c r="B668" s="1" t="n">
        <v>45170</v>
      </c>
      <c r="C668" s="1" t="n">
        <v>46199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16528-2026</t>
        </is>
      </c>
      <c r="B669" s="1" t="n">
        <v>46112</v>
      </c>
      <c r="C669" s="1" t="n">
        <v>46199</v>
      </c>
      <c r="D669" t="inlineStr">
        <is>
          <t>GÄVLEBORGS LÄN</t>
        </is>
      </c>
      <c r="E669" t="inlineStr">
        <is>
          <t>NORDANSTIG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17853-2025</t>
        </is>
      </c>
      <c r="B670" s="1" t="n">
        <v>45758</v>
      </c>
      <c r="C670" s="1" t="n">
        <v>46199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16674-2026</t>
        </is>
      </c>
      <c r="B671" s="1" t="n">
        <v>46112</v>
      </c>
      <c r="C671" s="1" t="n">
        <v>46199</v>
      </c>
      <c r="D671" t="inlineStr">
        <is>
          <t>GÄVLEBORGS LÄN</t>
        </is>
      </c>
      <c r="E671" t="inlineStr">
        <is>
          <t>NORDANSTIG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16703-2026</t>
        </is>
      </c>
      <c r="B672" s="1" t="n">
        <v>46113</v>
      </c>
      <c r="C672" s="1" t="n">
        <v>46199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16756-2026</t>
        </is>
      </c>
      <c r="B673" s="1" t="n">
        <v>46113</v>
      </c>
      <c r="C673" s="1" t="n">
        <v>46199</v>
      </c>
      <c r="D673" t="inlineStr">
        <is>
          <t>GÄVLEBORGS LÄN</t>
        </is>
      </c>
      <c r="E673" t="inlineStr">
        <is>
          <t>NORDANSTIG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16665-2026</t>
        </is>
      </c>
      <c r="B674" s="1" t="n">
        <v>46112</v>
      </c>
      <c r="C674" s="1" t="n">
        <v>46199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34502-2024</t>
        </is>
      </c>
      <c r="B675" s="1" t="n">
        <v>45525</v>
      </c>
      <c r="C675" s="1" t="n">
        <v>46199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16687-2026</t>
        </is>
      </c>
      <c r="B676" s="1" t="n">
        <v>46112</v>
      </c>
      <c r="C676" s="1" t="n">
        <v>46199</v>
      </c>
      <c r="D676" t="inlineStr">
        <is>
          <t>GÄVLEBORGS LÄN</t>
        </is>
      </c>
      <c r="E676" t="inlineStr">
        <is>
          <t>NORDANSTIG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22733-2026</t>
        </is>
      </c>
      <c r="B677" s="1" t="n">
        <v>46157</v>
      </c>
      <c r="C677" s="1" t="n">
        <v>46199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41957-2023</t>
        </is>
      </c>
      <c r="B678" s="1" t="n">
        <v>45177</v>
      </c>
      <c r="C678" s="1" t="n">
        <v>46199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56281-2024</t>
        </is>
      </c>
      <c r="B679" s="1" t="n">
        <v>45624</v>
      </c>
      <c r="C679" s="1" t="n">
        <v>46199</v>
      </c>
      <c r="D679" t="inlineStr">
        <is>
          <t>GÄVLEBORGS LÄN</t>
        </is>
      </c>
      <c r="E679" t="inlineStr">
        <is>
          <t>NORDANSTIG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17303-2026</t>
        </is>
      </c>
      <c r="B680" s="1" t="n">
        <v>46119</v>
      </c>
      <c r="C680" s="1" t="n">
        <v>46199</v>
      </c>
      <c r="D680" t="inlineStr">
        <is>
          <t>GÄVLEBORGS LÄN</t>
        </is>
      </c>
      <c r="E680" t="inlineStr">
        <is>
          <t>NORDANSTIG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23002-2026</t>
        </is>
      </c>
      <c r="B681" s="1" t="n">
        <v>46160</v>
      </c>
      <c r="C681" s="1" t="n">
        <v>46199</v>
      </c>
      <c r="D681" t="inlineStr">
        <is>
          <t>GÄVLEBORGS LÄN</t>
        </is>
      </c>
      <c r="E681" t="inlineStr">
        <is>
          <t>NORDANSTIG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22868-2023</t>
        </is>
      </c>
      <c r="B682" s="1" t="n">
        <v>45072</v>
      </c>
      <c r="C682" s="1" t="n">
        <v>46199</v>
      </c>
      <c r="D682" t="inlineStr">
        <is>
          <t>GÄVLEBORGS LÄN</t>
        </is>
      </c>
      <c r="E682" t="inlineStr">
        <is>
          <t>NORDANSTIG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21999-2023</t>
        </is>
      </c>
      <c r="B683" s="1" t="n">
        <v>45068</v>
      </c>
      <c r="C683" s="1" t="n">
        <v>46199</v>
      </c>
      <c r="D683" t="inlineStr">
        <is>
          <t>GÄVLEBORGS LÄN</t>
        </is>
      </c>
      <c r="E683" t="inlineStr">
        <is>
          <t>NORDANSTIG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17201-2026</t>
        </is>
      </c>
      <c r="B684" s="1" t="n">
        <v>46118</v>
      </c>
      <c r="C684" s="1" t="n">
        <v>46199</v>
      </c>
      <c r="D684" t="inlineStr">
        <is>
          <t>GÄVLEBORGS LÄN</t>
        </is>
      </c>
      <c r="E684" t="inlineStr">
        <is>
          <t>NORDANSTIG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17286-2026</t>
        </is>
      </c>
      <c r="B685" s="1" t="n">
        <v>46119</v>
      </c>
      <c r="C685" s="1" t="n">
        <v>46199</v>
      </c>
      <c r="D685" t="inlineStr">
        <is>
          <t>GÄVLEBORGS LÄN</t>
        </is>
      </c>
      <c r="E685" t="inlineStr">
        <is>
          <t>NORDANSTIG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17281-2026</t>
        </is>
      </c>
      <c r="B686" s="1" t="n">
        <v>46119</v>
      </c>
      <c r="C686" s="1" t="n">
        <v>46199</v>
      </c>
      <c r="D686" t="inlineStr">
        <is>
          <t>GÄVLEBORGS LÄN</t>
        </is>
      </c>
      <c r="E686" t="inlineStr">
        <is>
          <t>NORDANSTIG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17494-2026</t>
        </is>
      </c>
      <c r="B687" s="1" t="n">
        <v>46120</v>
      </c>
      <c r="C687" s="1" t="n">
        <v>46199</v>
      </c>
      <c r="D687" t="inlineStr">
        <is>
          <t>GÄVLEBORGS LÄN</t>
        </is>
      </c>
      <c r="E687" t="inlineStr">
        <is>
          <t>NORDANSTIG</t>
        </is>
      </c>
      <c r="G687" t="n">
        <v>16.3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17500-2026</t>
        </is>
      </c>
      <c r="B688" s="1" t="n">
        <v>46120</v>
      </c>
      <c r="C688" s="1" t="n">
        <v>46199</v>
      </c>
      <c r="D688" t="inlineStr">
        <is>
          <t>GÄVLEBORGS LÄN</t>
        </is>
      </c>
      <c r="E688" t="inlineStr">
        <is>
          <t>NORDANSTIG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17492-2026</t>
        </is>
      </c>
      <c r="B689" s="1" t="n">
        <v>46120</v>
      </c>
      <c r="C689" s="1" t="n">
        <v>46199</v>
      </c>
      <c r="D689" t="inlineStr">
        <is>
          <t>GÄVLEBORGS LÄN</t>
        </is>
      </c>
      <c r="E689" t="inlineStr">
        <is>
          <t>NORDANSTIG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17498-2026</t>
        </is>
      </c>
      <c r="B690" s="1" t="n">
        <v>46120</v>
      </c>
      <c r="C690" s="1" t="n">
        <v>46199</v>
      </c>
      <c r="D690" t="inlineStr">
        <is>
          <t>GÄVLEBORGS LÄN</t>
        </is>
      </c>
      <c r="E690" t="inlineStr">
        <is>
          <t>NORDANSTIG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17487-2026</t>
        </is>
      </c>
      <c r="B691" s="1" t="n">
        <v>46120</v>
      </c>
      <c r="C691" s="1" t="n">
        <v>46199</v>
      </c>
      <c r="D691" t="inlineStr">
        <is>
          <t>GÄVLEBORGS LÄN</t>
        </is>
      </c>
      <c r="E691" t="inlineStr">
        <is>
          <t>NORDANSTIG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23506-2026</t>
        </is>
      </c>
      <c r="B692" s="1" t="n">
        <v>46163</v>
      </c>
      <c r="C692" s="1" t="n">
        <v>46199</v>
      </c>
      <c r="D692" t="inlineStr">
        <is>
          <t>GÄVLEBORGS LÄN</t>
        </is>
      </c>
      <c r="E692" t="inlineStr">
        <is>
          <t>NORDANSTIG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53988-2023</t>
        </is>
      </c>
      <c r="B693" s="1" t="n">
        <v>45231</v>
      </c>
      <c r="C693" s="1" t="n">
        <v>46199</v>
      </c>
      <c r="D693" t="inlineStr">
        <is>
          <t>GÄVLEBORGS LÄN</t>
        </is>
      </c>
      <c r="E693" t="inlineStr">
        <is>
          <t>NORDANSTIG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17490-2026</t>
        </is>
      </c>
      <c r="B694" s="1" t="n">
        <v>46120</v>
      </c>
      <c r="C694" s="1" t="n">
        <v>46199</v>
      </c>
      <c r="D694" t="inlineStr">
        <is>
          <t>GÄVLEBORGS LÄN</t>
        </is>
      </c>
      <c r="E694" t="inlineStr">
        <is>
          <t>NORDANSTIG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5660-2023</t>
        </is>
      </c>
      <c r="B695" s="1" t="n">
        <v>44960</v>
      </c>
      <c r="C695" s="1" t="n">
        <v>46199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17489-2026</t>
        </is>
      </c>
      <c r="B696" s="1" t="n">
        <v>46120</v>
      </c>
      <c r="C696" s="1" t="n">
        <v>46199</v>
      </c>
      <c r="D696" t="inlineStr">
        <is>
          <t>GÄVLEBORGS LÄN</t>
        </is>
      </c>
      <c r="E696" t="inlineStr">
        <is>
          <t>NORDANSTIG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1483-2022</t>
        </is>
      </c>
      <c r="B697" s="1" t="n">
        <v>44573</v>
      </c>
      <c r="C697" s="1" t="n">
        <v>46199</v>
      </c>
      <c r="D697" t="inlineStr">
        <is>
          <t>GÄVLEBORGS LÄN</t>
        </is>
      </c>
      <c r="E697" t="inlineStr">
        <is>
          <t>NORDANSTIG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18029-2026</t>
        </is>
      </c>
      <c r="B698" s="1" t="n">
        <v>46125</v>
      </c>
      <c r="C698" s="1" t="n">
        <v>46199</v>
      </c>
      <c r="D698" t="inlineStr">
        <is>
          <t>GÄVLEBORGS LÄN</t>
        </is>
      </c>
      <c r="E698" t="inlineStr">
        <is>
          <t>NORDANSTIG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18933-2023</t>
        </is>
      </c>
      <c r="B699" s="1" t="n">
        <v>45044</v>
      </c>
      <c r="C699" s="1" t="n">
        <v>46199</v>
      </c>
      <c r="D699" t="inlineStr">
        <is>
          <t>GÄVLEBORGS LÄN</t>
        </is>
      </c>
      <c r="E699" t="inlineStr">
        <is>
          <t>NORDANSTIG</t>
        </is>
      </c>
      <c r="G699" t="n">
        <v>26.6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17872-2026</t>
        </is>
      </c>
      <c r="B700" s="1" t="n">
        <v>46122</v>
      </c>
      <c r="C700" s="1" t="n">
        <v>46199</v>
      </c>
      <c r="D700" t="inlineStr">
        <is>
          <t>GÄVLEBORGS LÄN</t>
        </is>
      </c>
      <c r="E700" t="inlineStr">
        <is>
          <t>NORDANSTIG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18030-2026</t>
        </is>
      </c>
      <c r="B701" s="1" t="n">
        <v>46125</v>
      </c>
      <c r="C701" s="1" t="n">
        <v>46199</v>
      </c>
      <c r="D701" t="inlineStr">
        <is>
          <t>GÄVLEBORGS LÄN</t>
        </is>
      </c>
      <c r="E701" t="inlineStr">
        <is>
          <t>NORDANSTIG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18041-2026</t>
        </is>
      </c>
      <c r="B702" s="1" t="n">
        <v>46125</v>
      </c>
      <c r="C702" s="1" t="n">
        <v>46199</v>
      </c>
      <c r="D702" t="inlineStr">
        <is>
          <t>GÄVLEBORGS LÄN</t>
        </is>
      </c>
      <c r="E702" t="inlineStr">
        <is>
          <t>NORDANSTIG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23900-2026</t>
        </is>
      </c>
      <c r="B703" s="1" t="n">
        <v>46167</v>
      </c>
      <c r="C703" s="1" t="n">
        <v>46199</v>
      </c>
      <c r="D703" t="inlineStr">
        <is>
          <t>GÄVLEBORGS LÄN</t>
        </is>
      </c>
      <c r="E703" t="inlineStr">
        <is>
          <t>NORDANSTIG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23764-2026</t>
        </is>
      </c>
      <c r="B704" s="1" t="n">
        <v>46164</v>
      </c>
      <c r="C704" s="1" t="n">
        <v>46199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23654-2026</t>
        </is>
      </c>
      <c r="B705" s="1" t="n">
        <v>46164</v>
      </c>
      <c r="C705" s="1" t="n">
        <v>46199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35931-2023</t>
        </is>
      </c>
      <c r="B706" s="1" t="n">
        <v>45148</v>
      </c>
      <c r="C706" s="1" t="n">
        <v>46199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23867-2026</t>
        </is>
      </c>
      <c r="B707" s="1" t="n">
        <v>46167</v>
      </c>
      <c r="C707" s="1" t="n">
        <v>46199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18153-2026</t>
        </is>
      </c>
      <c r="B708" s="1" t="n">
        <v>46125</v>
      </c>
      <c r="C708" s="1" t="n">
        <v>46199</v>
      </c>
      <c r="D708" t="inlineStr">
        <is>
          <t>GÄVLEBORGS LÄN</t>
        </is>
      </c>
      <c r="E708" t="inlineStr">
        <is>
          <t>NORDANSTIG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17840-2023</t>
        </is>
      </c>
      <c r="B709" s="1" t="n">
        <v>45037</v>
      </c>
      <c r="C709" s="1" t="n">
        <v>46199</v>
      </c>
      <c r="D709" t="inlineStr">
        <is>
          <t>GÄVLEBORGS LÄN</t>
        </is>
      </c>
      <c r="E709" t="inlineStr">
        <is>
          <t>NORDANSTIG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37739-2024</t>
        </is>
      </c>
      <c r="B710" s="1" t="n">
        <v>45541</v>
      </c>
      <c r="C710" s="1" t="n">
        <v>46199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61419-2024</t>
        </is>
      </c>
      <c r="B711" s="1" t="n">
        <v>45646</v>
      </c>
      <c r="C711" s="1" t="n">
        <v>46199</v>
      </c>
      <c r="D711" t="inlineStr">
        <is>
          <t>GÄVLEBORGS LÄN</t>
        </is>
      </c>
      <c r="E711" t="inlineStr">
        <is>
          <t>NORDANSTIG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7796-2026</t>
        </is>
      </c>
      <c r="B712" s="1" t="n">
        <v>46062</v>
      </c>
      <c r="C712" s="1" t="n">
        <v>46199</v>
      </c>
      <c r="D712" t="inlineStr">
        <is>
          <t>GÄVLEBORGS LÄN</t>
        </is>
      </c>
      <c r="E712" t="inlineStr">
        <is>
          <t>NORDANSTIG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18236-2026</t>
        </is>
      </c>
      <c r="B713" s="1" t="n">
        <v>46126</v>
      </c>
      <c r="C713" s="1" t="n">
        <v>46199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18385-2026</t>
        </is>
      </c>
      <c r="B714" s="1" t="n">
        <v>46126</v>
      </c>
      <c r="C714" s="1" t="n">
        <v>46199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58184-2022</t>
        </is>
      </c>
      <c r="B715" s="1" t="n">
        <v>44900</v>
      </c>
      <c r="C715" s="1" t="n">
        <v>46199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52206-2022</t>
        </is>
      </c>
      <c r="B716" s="1" t="n">
        <v>44869</v>
      </c>
      <c r="C716" s="1" t="n">
        <v>46199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469-2024</t>
        </is>
      </c>
      <c r="B717" s="1" t="n">
        <v>45297</v>
      </c>
      <c r="C717" s="1" t="n">
        <v>46199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24265-2026</t>
        </is>
      </c>
      <c r="B718" s="1" t="n">
        <v>46169</v>
      </c>
      <c r="C718" s="1" t="n">
        <v>46199</v>
      </c>
      <c r="D718" t="inlineStr">
        <is>
          <t>GÄVLEBORGS LÄN</t>
        </is>
      </c>
      <c r="E718" t="inlineStr">
        <is>
          <t>NORDANSTIG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40477-2024</t>
        </is>
      </c>
      <c r="B719" s="1" t="n">
        <v>45555</v>
      </c>
      <c r="C719" s="1" t="n">
        <v>46199</v>
      </c>
      <c r="D719" t="inlineStr">
        <is>
          <t>GÄVLEBORGS LÄN</t>
        </is>
      </c>
      <c r="E719" t="inlineStr">
        <is>
          <t>NORDANSTIG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44339-2024</t>
        </is>
      </c>
      <c r="B720" s="1" t="n">
        <v>45573</v>
      </c>
      <c r="C720" s="1" t="n">
        <v>46199</v>
      </c>
      <c r="D720" t="inlineStr">
        <is>
          <t>GÄVLEBORGS LÄN</t>
        </is>
      </c>
      <c r="E720" t="inlineStr">
        <is>
          <t>NORDANSTIG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18282-2026</t>
        </is>
      </c>
      <c r="B721" s="1" t="n">
        <v>46126</v>
      </c>
      <c r="C721" s="1" t="n">
        <v>46199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43.6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14501-2026</t>
        </is>
      </c>
      <c r="B722" s="1" t="n">
        <v>46100</v>
      </c>
      <c r="C722" s="1" t="n">
        <v>46199</v>
      </c>
      <c r="D722" t="inlineStr">
        <is>
          <t>GÄVLEBORGS LÄN</t>
        </is>
      </c>
      <c r="E722" t="inlineStr">
        <is>
          <t>NORDANSTIG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6099-2023</t>
        </is>
      </c>
      <c r="B723" s="1" t="n">
        <v>44964</v>
      </c>
      <c r="C723" s="1" t="n">
        <v>46199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24612-2026</t>
        </is>
      </c>
      <c r="B724" s="1" t="n">
        <v>46171</v>
      </c>
      <c r="C724" s="1" t="n">
        <v>46199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32635-2022</t>
        </is>
      </c>
      <c r="B725" s="1" t="n">
        <v>44783</v>
      </c>
      <c r="C725" s="1" t="n">
        <v>46199</v>
      </c>
      <c r="D725" t="inlineStr">
        <is>
          <t>GÄVLEBORGS LÄN</t>
        </is>
      </c>
      <c r="E725" t="inlineStr">
        <is>
          <t>NORDANSTIG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24646-2026</t>
        </is>
      </c>
      <c r="B726" s="1" t="n">
        <v>46171</v>
      </c>
      <c r="C726" s="1" t="n">
        <v>46199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28680-2023</t>
        </is>
      </c>
      <c r="B727" s="1" t="n">
        <v>45103</v>
      </c>
      <c r="C727" s="1" t="n">
        <v>46199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43883-2021</t>
        </is>
      </c>
      <c r="B728" s="1" t="n">
        <v>44434</v>
      </c>
      <c r="C728" s="1" t="n">
        <v>46199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16440-2026</t>
        </is>
      </c>
      <c r="B729" s="1" t="n">
        <v>46111</v>
      </c>
      <c r="C729" s="1" t="n">
        <v>46199</v>
      </c>
      <c r="D729" t="inlineStr">
        <is>
          <t>GÄVLEBORGS LÄN</t>
        </is>
      </c>
      <c r="E729" t="inlineStr">
        <is>
          <t>NORDANSTIG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24500-2026</t>
        </is>
      </c>
      <c r="B730" s="1" t="n">
        <v>46170</v>
      </c>
      <c r="C730" s="1" t="n">
        <v>46199</v>
      </c>
      <c r="D730" t="inlineStr">
        <is>
          <t>GÄVLEBORGS LÄN</t>
        </is>
      </c>
      <c r="E730" t="inlineStr">
        <is>
          <t>NORDANSTIG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60869-2024</t>
        </is>
      </c>
      <c r="B731" s="1" t="n">
        <v>45644</v>
      </c>
      <c r="C731" s="1" t="n">
        <v>46199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24623-2026</t>
        </is>
      </c>
      <c r="B732" s="1" t="n">
        <v>46171</v>
      </c>
      <c r="C732" s="1" t="n">
        <v>46199</v>
      </c>
      <c r="D732" t="inlineStr">
        <is>
          <t>GÄVLEBORGS LÄN</t>
        </is>
      </c>
      <c r="E732" t="inlineStr">
        <is>
          <t>NORDANSTIG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64835-2021</t>
        </is>
      </c>
      <c r="B733" s="1" t="n">
        <v>44512</v>
      </c>
      <c r="C733" s="1" t="n">
        <v>46199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16654-2026</t>
        </is>
      </c>
      <c r="B734" s="1" t="n">
        <v>46112</v>
      </c>
      <c r="C734" s="1" t="n">
        <v>46199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16434-2026</t>
        </is>
      </c>
      <c r="B735" s="1" t="n">
        <v>46111</v>
      </c>
      <c r="C735" s="1" t="n">
        <v>46199</v>
      </c>
      <c r="D735" t="inlineStr">
        <is>
          <t>GÄVLEBORGS LÄN</t>
        </is>
      </c>
      <c r="E735" t="inlineStr">
        <is>
          <t>NORDANSTIG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14866-2024</t>
        </is>
      </c>
      <c r="B736" s="1" t="n">
        <v>45397</v>
      </c>
      <c r="C736" s="1" t="n">
        <v>46199</v>
      </c>
      <c r="D736" t="inlineStr">
        <is>
          <t>GÄVLEBORGS LÄN</t>
        </is>
      </c>
      <c r="E736" t="inlineStr">
        <is>
          <t>NORDANSTIG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65039-2023</t>
        </is>
      </c>
      <c r="B737" s="1" t="n">
        <v>45287</v>
      </c>
      <c r="C737" s="1" t="n">
        <v>46199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25200-2022</t>
        </is>
      </c>
      <c r="B738" s="1" t="n">
        <v>44729</v>
      </c>
      <c r="C738" s="1" t="n">
        <v>46199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4021-2023</t>
        </is>
      </c>
      <c r="B739" s="1" t="n">
        <v>44952</v>
      </c>
      <c r="C739" s="1" t="n">
        <v>46199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55694-2024</t>
        </is>
      </c>
      <c r="B740" s="1" t="n">
        <v>45622</v>
      </c>
      <c r="C740" s="1" t="n">
        <v>46199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18531-2026</t>
        </is>
      </c>
      <c r="B741" s="1" t="n">
        <v>46127</v>
      </c>
      <c r="C741" s="1" t="n">
        <v>46199</v>
      </c>
      <c r="D741" t="inlineStr">
        <is>
          <t>GÄVLEBORGS LÄN</t>
        </is>
      </c>
      <c r="E741" t="inlineStr">
        <is>
          <t>NORDANSTIG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23770-2024</t>
        </is>
      </c>
      <c r="B742" s="1" t="n">
        <v>45455</v>
      </c>
      <c r="C742" s="1" t="n">
        <v>46199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24518-2026</t>
        </is>
      </c>
      <c r="B743" s="1" t="n">
        <v>46170</v>
      </c>
      <c r="C743" s="1" t="n">
        <v>46199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24106-2023</t>
        </is>
      </c>
      <c r="B744" s="1" t="n">
        <v>45079</v>
      </c>
      <c r="C744" s="1" t="n">
        <v>46199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19682-2026</t>
        </is>
      </c>
      <c r="B745" s="1" t="n">
        <v>46134</v>
      </c>
      <c r="C745" s="1" t="n">
        <v>46199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62816-2023</t>
        </is>
      </c>
      <c r="B746" s="1" t="n">
        <v>45271</v>
      </c>
      <c r="C746" s="1" t="n">
        <v>46199</v>
      </c>
      <c r="D746" t="inlineStr">
        <is>
          <t>GÄVLEBORGS LÄN</t>
        </is>
      </c>
      <c r="E746" t="inlineStr">
        <is>
          <t>NORDANSTIG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19679-2026</t>
        </is>
      </c>
      <c r="B747" s="1" t="n">
        <v>46134</v>
      </c>
      <c r="C747" s="1" t="n">
        <v>46199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1802-2023</t>
        </is>
      </c>
      <c r="B748" s="1" t="n">
        <v>44938</v>
      </c>
      <c r="C748" s="1" t="n">
        <v>46199</v>
      </c>
      <c r="D748" t="inlineStr">
        <is>
          <t>GÄVLEBORGS LÄN</t>
        </is>
      </c>
      <c r="E748" t="inlineStr">
        <is>
          <t>NORDANSTIG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19367-2026</t>
        </is>
      </c>
      <c r="B749" s="1" t="n">
        <v>46133</v>
      </c>
      <c r="C749" s="1" t="n">
        <v>46199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25166-2026</t>
        </is>
      </c>
      <c r="B750" s="1" t="n">
        <v>46175</v>
      </c>
      <c r="C750" s="1" t="n">
        <v>46199</v>
      </c>
      <c r="D750" t="inlineStr">
        <is>
          <t>GÄVLEBORGS LÄN</t>
        </is>
      </c>
      <c r="E750" t="inlineStr">
        <is>
          <t>NORDANSTIG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12095-2023</t>
        </is>
      </c>
      <c r="B751" s="1" t="n">
        <v>44998</v>
      </c>
      <c r="C751" s="1" t="n">
        <v>46199</v>
      </c>
      <c r="D751" t="inlineStr">
        <is>
          <t>GÄVLEBORGS LÄN</t>
        </is>
      </c>
      <c r="E751" t="inlineStr">
        <is>
          <t>NORDANSTIG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65208-2023</t>
        </is>
      </c>
      <c r="B752" s="1" t="n">
        <v>45289</v>
      </c>
      <c r="C752" s="1" t="n">
        <v>46199</v>
      </c>
      <c r="D752" t="inlineStr">
        <is>
          <t>GÄVLEBORGS LÄN</t>
        </is>
      </c>
      <c r="E752" t="inlineStr">
        <is>
          <t>NORDANSTIG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25406-2026</t>
        </is>
      </c>
      <c r="B753" s="1" t="n">
        <v>46176</v>
      </c>
      <c r="C753" s="1" t="n">
        <v>46199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51380-2024</t>
        </is>
      </c>
      <c r="B754" s="1" t="n">
        <v>45604</v>
      </c>
      <c r="C754" s="1" t="n">
        <v>46199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25089-2026</t>
        </is>
      </c>
      <c r="B755" s="1" t="n">
        <v>46175</v>
      </c>
      <c r="C755" s="1" t="n">
        <v>46199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19906-2026</t>
        </is>
      </c>
      <c r="B756" s="1" t="n">
        <v>46136</v>
      </c>
      <c r="C756" s="1" t="n">
        <v>46199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25704-2026</t>
        </is>
      </c>
      <c r="B757" s="1" t="n">
        <v>46178</v>
      </c>
      <c r="C757" s="1" t="n">
        <v>46199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62089-2021</t>
        </is>
      </c>
      <c r="B758" s="1" t="n">
        <v>44502</v>
      </c>
      <c r="C758" s="1" t="n">
        <v>46199</v>
      </c>
      <c r="D758" t="inlineStr">
        <is>
          <t>GÄVLEBORGS LÄN</t>
        </is>
      </c>
      <c r="E758" t="inlineStr">
        <is>
          <t>NORDANSTIG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20747-2023</t>
        </is>
      </c>
      <c r="B759" s="1" t="n">
        <v>45058</v>
      </c>
      <c r="C759" s="1" t="n">
        <v>46199</v>
      </c>
      <c r="D759" t="inlineStr">
        <is>
          <t>GÄVLEBORGS LÄN</t>
        </is>
      </c>
      <c r="E759" t="inlineStr">
        <is>
          <t>NORDANSTIG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9119-2026</t>
        </is>
      </c>
      <c r="B760" s="1" t="n">
        <v>46069</v>
      </c>
      <c r="C760" s="1" t="n">
        <v>46199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18288-2023</t>
        </is>
      </c>
      <c r="B761" s="1" t="n">
        <v>45041</v>
      </c>
      <c r="C761" s="1" t="n">
        <v>46199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11087-2022</t>
        </is>
      </c>
      <c r="B762" s="1" t="n">
        <v>44628</v>
      </c>
      <c r="C762" s="1" t="n">
        <v>46199</v>
      </c>
      <c r="D762" t="inlineStr">
        <is>
          <t>GÄVLEBORGS LÄN</t>
        </is>
      </c>
      <c r="E762" t="inlineStr">
        <is>
          <t>NORDANSTIG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50657-2024</t>
        </is>
      </c>
      <c r="B763" s="1" t="n">
        <v>45601</v>
      </c>
      <c r="C763" s="1" t="n">
        <v>46199</v>
      </c>
      <c r="D763" t="inlineStr">
        <is>
          <t>GÄVLEBORGS LÄN</t>
        </is>
      </c>
      <c r="E763" t="inlineStr">
        <is>
          <t>NORDANSTIG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1532-2024</t>
        </is>
      </c>
      <c r="B764" s="1" t="n">
        <v>45306</v>
      </c>
      <c r="C764" s="1" t="n">
        <v>46199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25633-2026</t>
        </is>
      </c>
      <c r="B765" s="1" t="n">
        <v>46177</v>
      </c>
      <c r="C765" s="1" t="n">
        <v>46199</v>
      </c>
      <c r="D765" t="inlineStr">
        <is>
          <t>GÄVLEBORGS LÄN</t>
        </is>
      </c>
      <c r="E765" t="inlineStr">
        <is>
          <t>NORDANSTIG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34842-2023</t>
        </is>
      </c>
      <c r="B766" s="1" t="n">
        <v>45141</v>
      </c>
      <c r="C766" s="1" t="n">
        <v>46199</v>
      </c>
      <c r="D766" t="inlineStr">
        <is>
          <t>GÄVLEBORGS LÄN</t>
        </is>
      </c>
      <c r="E766" t="inlineStr">
        <is>
          <t>NORDANSTIG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6923-2024</t>
        </is>
      </c>
      <c r="B767" s="1" t="n">
        <v>45343</v>
      </c>
      <c r="C767" s="1" t="n">
        <v>46199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6583-2022</t>
        </is>
      </c>
      <c r="B768" s="1" t="n">
        <v>44601</v>
      </c>
      <c r="C768" s="1" t="n">
        <v>46199</v>
      </c>
      <c r="D768" t="inlineStr">
        <is>
          <t>GÄVLEBORGS LÄN</t>
        </is>
      </c>
      <c r="E768" t="inlineStr">
        <is>
          <t>NORDANSTIG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19896-2025</t>
        </is>
      </c>
      <c r="B769" s="1" t="n">
        <v>45771</v>
      </c>
      <c r="C769" s="1" t="n">
        <v>46199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20019-2026</t>
        </is>
      </c>
      <c r="B770" s="1" t="n">
        <v>46136</v>
      </c>
      <c r="C770" s="1" t="n">
        <v>46199</v>
      </c>
      <c r="D770" t="inlineStr">
        <is>
          <t>GÄVLEBORGS LÄN</t>
        </is>
      </c>
      <c r="E770" t="inlineStr">
        <is>
          <t>NORDANSTIG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32471-2023</t>
        </is>
      </c>
      <c r="B771" s="1" t="n">
        <v>45120</v>
      </c>
      <c r="C771" s="1" t="n">
        <v>46199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25402-2024</t>
        </is>
      </c>
      <c r="B772" s="1" t="n">
        <v>45463</v>
      </c>
      <c r="C772" s="1" t="n">
        <v>46199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19898-2026</t>
        </is>
      </c>
      <c r="B773" s="1" t="n">
        <v>46135</v>
      </c>
      <c r="C773" s="1" t="n">
        <v>46199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34370-2024</t>
        </is>
      </c>
      <c r="B774" s="1" t="n">
        <v>45525</v>
      </c>
      <c r="C774" s="1" t="n">
        <v>46199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42796-2024</t>
        </is>
      </c>
      <c r="B775" s="1" t="n">
        <v>45566</v>
      </c>
      <c r="C775" s="1" t="n">
        <v>46199</v>
      </c>
      <c r="D775" t="inlineStr">
        <is>
          <t>GÄVLEBORGS LÄN</t>
        </is>
      </c>
      <c r="E775" t="inlineStr">
        <is>
          <t>NORDANSTIG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49455-2024</t>
        </is>
      </c>
      <c r="B776" s="1" t="n">
        <v>45596</v>
      </c>
      <c r="C776" s="1" t="n">
        <v>46199</v>
      </c>
      <c r="D776" t="inlineStr">
        <is>
          <t>GÄVLEBORGS LÄN</t>
        </is>
      </c>
      <c r="E776" t="inlineStr">
        <is>
          <t>NORDANSTIG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19970-2026</t>
        </is>
      </c>
      <c r="B777" s="1" t="n">
        <v>46136</v>
      </c>
      <c r="C777" s="1" t="n">
        <v>46199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6581-2022</t>
        </is>
      </c>
      <c r="B778" s="1" t="n">
        <v>44601</v>
      </c>
      <c r="C778" s="1" t="n">
        <v>46199</v>
      </c>
      <c r="D778" t="inlineStr">
        <is>
          <t>GÄVLEBORGS LÄN</t>
        </is>
      </c>
      <c r="E778" t="inlineStr">
        <is>
          <t>NORDANSTIG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20133-2026</t>
        </is>
      </c>
      <c r="B779" s="1" t="n">
        <v>46136</v>
      </c>
      <c r="C779" s="1" t="n">
        <v>46199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54713-2024</t>
        </is>
      </c>
      <c r="B780" s="1" t="n">
        <v>45618</v>
      </c>
      <c r="C780" s="1" t="n">
        <v>46199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62646-2023</t>
        </is>
      </c>
      <c r="B781" s="1" t="n">
        <v>45271</v>
      </c>
      <c r="C781" s="1" t="n">
        <v>46199</v>
      </c>
      <c r="D781" t="inlineStr">
        <is>
          <t>GÄVLEBORGS LÄN</t>
        </is>
      </c>
      <c r="E781" t="inlineStr">
        <is>
          <t>NORDANSTIG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60193-2024</t>
        </is>
      </c>
      <c r="B782" s="1" t="n">
        <v>45642</v>
      </c>
      <c r="C782" s="1" t="n">
        <v>46199</v>
      </c>
      <c r="D782" t="inlineStr">
        <is>
          <t>GÄVLEBORGS LÄN</t>
        </is>
      </c>
      <c r="E782" t="inlineStr">
        <is>
          <t>NORDANSTIG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16659-2026</t>
        </is>
      </c>
      <c r="B783" s="1" t="n">
        <v>46112</v>
      </c>
      <c r="C783" s="1" t="n">
        <v>46199</v>
      </c>
      <c r="D783" t="inlineStr">
        <is>
          <t>GÄVLEBORGS LÄN</t>
        </is>
      </c>
      <c r="E783" t="inlineStr">
        <is>
          <t>NORDANSTIG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46199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7149-2022</t>
        </is>
      </c>
      <c r="B785" s="1" t="n">
        <v>44603</v>
      </c>
      <c r="C785" s="1" t="n">
        <v>46199</v>
      </c>
      <c r="D785" t="inlineStr">
        <is>
          <t>GÄVLEBORGS LÄN</t>
        </is>
      </c>
      <c r="E785" t="inlineStr">
        <is>
          <t>NORDANSTIG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5726-2026</t>
        </is>
      </c>
      <c r="B786" s="1" t="n">
        <v>46051</v>
      </c>
      <c r="C786" s="1" t="n">
        <v>46199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25586-2026</t>
        </is>
      </c>
      <c r="B787" s="1" t="n">
        <v>46177</v>
      </c>
      <c r="C787" s="1" t="n">
        <v>46199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SCA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9382-2022</t>
        </is>
      </c>
      <c r="B788" s="1" t="n">
        <v>44616</v>
      </c>
      <c r="C788" s="1" t="n">
        <v>46199</v>
      </c>
      <c r="D788" t="inlineStr">
        <is>
          <t>GÄVLEBORGS LÄN</t>
        </is>
      </c>
      <c r="E788" t="inlineStr">
        <is>
          <t>NORDANSTIG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23895-2026</t>
        </is>
      </c>
      <c r="B789" s="1" t="n">
        <v>46167</v>
      </c>
      <c r="C789" s="1" t="n">
        <v>46199</v>
      </c>
      <c r="D789" t="inlineStr">
        <is>
          <t>GÄVLEBORGS LÄN</t>
        </is>
      </c>
      <c r="E789" t="inlineStr">
        <is>
          <t>NORDANSTIG</t>
        </is>
      </c>
      <c r="G789" t="n">
        <v>18.1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36186-2023</t>
        </is>
      </c>
      <c r="B790" s="1" t="n">
        <v>45149</v>
      </c>
      <c r="C790" s="1" t="n">
        <v>46199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20532-2026</t>
        </is>
      </c>
      <c r="B791" s="1" t="n">
        <v>46140</v>
      </c>
      <c r="C791" s="1" t="n">
        <v>46199</v>
      </c>
      <c r="D791" t="inlineStr">
        <is>
          <t>GÄVLEBORGS LÄN</t>
        </is>
      </c>
      <c r="E791" t="inlineStr">
        <is>
          <t>NORDANSTIG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2880-2026</t>
        </is>
      </c>
      <c r="B792" s="1" t="n">
        <v>46038</v>
      </c>
      <c r="C792" s="1" t="n">
        <v>46199</v>
      </c>
      <c r="D792" t="inlineStr">
        <is>
          <t>GÄVLEBORGS LÄN</t>
        </is>
      </c>
      <c r="E792" t="inlineStr">
        <is>
          <t>NORDANSTIG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40738-2023</t>
        </is>
      </c>
      <c r="B793" s="1" t="n">
        <v>45170</v>
      </c>
      <c r="C793" s="1" t="n">
        <v>46199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62465-2021</t>
        </is>
      </c>
      <c r="B794" s="1" t="n">
        <v>44503</v>
      </c>
      <c r="C794" s="1" t="n">
        <v>46199</v>
      </c>
      <c r="D794" t="inlineStr">
        <is>
          <t>GÄVLEBORGS LÄN</t>
        </is>
      </c>
      <c r="E794" t="inlineStr">
        <is>
          <t>NORDANSTIG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21473-2023</t>
        </is>
      </c>
      <c r="B795" s="1" t="n">
        <v>45063</v>
      </c>
      <c r="C795" s="1" t="n">
        <v>46199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4584-2026</t>
        </is>
      </c>
      <c r="B796" s="1" t="n">
        <v>46048</v>
      </c>
      <c r="C796" s="1" t="n">
        <v>46199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54705-2024</t>
        </is>
      </c>
      <c r="B797" s="1" t="n">
        <v>45618</v>
      </c>
      <c r="C797" s="1" t="n">
        <v>46199</v>
      </c>
      <c r="D797" t="inlineStr">
        <is>
          <t>GÄVLEBORGS LÄN</t>
        </is>
      </c>
      <c r="E797" t="inlineStr">
        <is>
          <t>NORDANSTIG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36028-2024</t>
        </is>
      </c>
      <c r="B798" s="1" t="n">
        <v>45533</v>
      </c>
      <c r="C798" s="1" t="n">
        <v>46199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38332-2024</t>
        </is>
      </c>
      <c r="B799" s="1" t="n">
        <v>45545</v>
      </c>
      <c r="C799" s="1" t="n">
        <v>46199</v>
      </c>
      <c r="D799" t="inlineStr">
        <is>
          <t>GÄVLEBORGS LÄN</t>
        </is>
      </c>
      <c r="E799" t="inlineStr">
        <is>
          <t>NORDANSTIG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38346-2024</t>
        </is>
      </c>
      <c r="B800" s="1" t="n">
        <v>45545</v>
      </c>
      <c r="C800" s="1" t="n">
        <v>46199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18322-2024</t>
        </is>
      </c>
      <c r="B801" s="1" t="n">
        <v>45422</v>
      </c>
      <c r="C801" s="1" t="n">
        <v>46199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48636-2024</t>
        </is>
      </c>
      <c r="B802" s="1" t="n">
        <v>45593</v>
      </c>
      <c r="C802" s="1" t="n">
        <v>46199</v>
      </c>
      <c r="D802" t="inlineStr">
        <is>
          <t>GÄVLEBORGS LÄN</t>
        </is>
      </c>
      <c r="E802" t="inlineStr">
        <is>
          <t>NORDANSTIG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20524-2026</t>
        </is>
      </c>
      <c r="B803" s="1" t="n">
        <v>46140</v>
      </c>
      <c r="C803" s="1" t="n">
        <v>46199</v>
      </c>
      <c r="D803" t="inlineStr">
        <is>
          <t>GÄVLEBORGS LÄN</t>
        </is>
      </c>
      <c r="E803" t="inlineStr">
        <is>
          <t>NORDANSTIG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37031-2024</t>
        </is>
      </c>
      <c r="B804" s="1" t="n">
        <v>45539</v>
      </c>
      <c r="C804" s="1" t="n">
        <v>46199</v>
      </c>
      <c r="D804" t="inlineStr">
        <is>
          <t>GÄVLEBORGS LÄN</t>
        </is>
      </c>
      <c r="E804" t="inlineStr">
        <is>
          <t>NORDANSTIG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20482-2026</t>
        </is>
      </c>
      <c r="B805" s="1" t="n">
        <v>46140</v>
      </c>
      <c r="C805" s="1" t="n">
        <v>46199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44500-2024</t>
        </is>
      </c>
      <c r="B806" s="1" t="n">
        <v>45574</v>
      </c>
      <c r="C806" s="1" t="n">
        <v>46199</v>
      </c>
      <c r="D806" t="inlineStr">
        <is>
          <t>GÄVLEBORGS LÄN</t>
        </is>
      </c>
      <c r="E806" t="inlineStr">
        <is>
          <t>NORDANSTIG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54685-2024</t>
        </is>
      </c>
      <c r="B807" s="1" t="n">
        <v>45618</v>
      </c>
      <c r="C807" s="1" t="n">
        <v>46199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58165-2023</t>
        </is>
      </c>
      <c r="B808" s="1" t="n">
        <v>45250</v>
      </c>
      <c r="C808" s="1" t="n">
        <v>46199</v>
      </c>
      <c r="D808" t="inlineStr">
        <is>
          <t>GÄVLEBORGS LÄN</t>
        </is>
      </c>
      <c r="E808" t="inlineStr">
        <is>
          <t>NORDANSTIG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25931-2026</t>
        </is>
      </c>
      <c r="B809" s="1" t="n">
        <v>46179</v>
      </c>
      <c r="C809" s="1" t="n">
        <v>46199</v>
      </c>
      <c r="D809" t="inlineStr">
        <is>
          <t>GÄVLEBORGS LÄN</t>
        </is>
      </c>
      <c r="E809" t="inlineStr">
        <is>
          <t>NORDANSTIG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44009-2023</t>
        </is>
      </c>
      <c r="B810" s="1" t="n">
        <v>45188</v>
      </c>
      <c r="C810" s="1" t="n">
        <v>46199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20288-2026</t>
        </is>
      </c>
      <c r="B811" s="1" t="n">
        <v>46139</v>
      </c>
      <c r="C811" s="1" t="n">
        <v>46199</v>
      </c>
      <c r="D811" t="inlineStr">
        <is>
          <t>GÄVLEBORGS LÄN</t>
        </is>
      </c>
      <c r="E811" t="inlineStr">
        <is>
          <t>NORDANSTIG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73389-2021</t>
        </is>
      </c>
      <c r="B812" s="1" t="n">
        <v>44551</v>
      </c>
      <c r="C812" s="1" t="n">
        <v>46199</v>
      </c>
      <c r="D812" t="inlineStr">
        <is>
          <t>GÄVLEBORGS LÄN</t>
        </is>
      </c>
      <c r="E812" t="inlineStr">
        <is>
          <t>NORDANSTIG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12858-2025</t>
        </is>
      </c>
      <c r="B813" s="1" t="n">
        <v>45733</v>
      </c>
      <c r="C813" s="1" t="n">
        <v>46199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5892-2022</t>
        </is>
      </c>
      <c r="B814" s="1" t="n">
        <v>44596</v>
      </c>
      <c r="C814" s="1" t="n">
        <v>46199</v>
      </c>
      <c r="D814" t="inlineStr">
        <is>
          <t>GÄVLEBORGS LÄN</t>
        </is>
      </c>
      <c r="E814" t="inlineStr">
        <is>
          <t>NORDANSTIG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10042-2025</t>
        </is>
      </c>
      <c r="B815" s="1" t="n">
        <v>45719</v>
      </c>
      <c r="C815" s="1" t="n">
        <v>46199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57863-2024</t>
        </is>
      </c>
      <c r="B816" s="1" t="n">
        <v>45631</v>
      </c>
      <c r="C816" s="1" t="n">
        <v>46199</v>
      </c>
      <c r="D816" t="inlineStr">
        <is>
          <t>GÄVLEBORGS LÄN</t>
        </is>
      </c>
      <c r="E816" t="inlineStr">
        <is>
          <t>NORDANSTIG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57866-2024</t>
        </is>
      </c>
      <c r="B817" s="1" t="n">
        <v>45631</v>
      </c>
      <c r="C817" s="1" t="n">
        <v>46199</v>
      </c>
      <c r="D817" t="inlineStr">
        <is>
          <t>GÄVLEBORGS LÄN</t>
        </is>
      </c>
      <c r="E817" t="inlineStr">
        <is>
          <t>NORDANSTIG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52695-2024</t>
        </is>
      </c>
      <c r="B818" s="1" t="n">
        <v>45610</v>
      </c>
      <c r="C818" s="1" t="n">
        <v>46199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41616-2023</t>
        </is>
      </c>
      <c r="B819" s="1" t="n">
        <v>45175</v>
      </c>
      <c r="C819" s="1" t="n">
        <v>46199</v>
      </c>
      <c r="D819" t="inlineStr">
        <is>
          <t>GÄVLEBORGS LÄN</t>
        </is>
      </c>
      <c r="E819" t="inlineStr">
        <is>
          <t>NORDANSTIG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41074-2023</t>
        </is>
      </c>
      <c r="B820" s="1" t="n">
        <v>45173</v>
      </c>
      <c r="C820" s="1" t="n">
        <v>46199</v>
      </c>
      <c r="D820" t="inlineStr">
        <is>
          <t>GÄVLEBORGS LÄN</t>
        </is>
      </c>
      <c r="E820" t="inlineStr">
        <is>
          <t>NORDANSTIG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40613-2023</t>
        </is>
      </c>
      <c r="B821" s="1" t="n">
        <v>45170</v>
      </c>
      <c r="C821" s="1" t="n">
        <v>46199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56733-2024</t>
        </is>
      </c>
      <c r="B822" s="1" t="n">
        <v>45628</v>
      </c>
      <c r="C822" s="1" t="n">
        <v>46199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13270-2022</t>
        </is>
      </c>
      <c r="B823" s="1" t="n">
        <v>44644</v>
      </c>
      <c r="C823" s="1" t="n">
        <v>46199</v>
      </c>
      <c r="D823" t="inlineStr">
        <is>
          <t>GÄVLEBORGS LÄN</t>
        </is>
      </c>
      <c r="E823" t="inlineStr">
        <is>
          <t>NORDANSTIG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57977-2024</t>
        </is>
      </c>
      <c r="B824" s="1" t="n">
        <v>45631</v>
      </c>
      <c r="C824" s="1" t="n">
        <v>46199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63786-2025</t>
        </is>
      </c>
      <c r="B825" s="1" t="n">
        <v>46019</v>
      </c>
      <c r="C825" s="1" t="n">
        <v>46199</v>
      </c>
      <c r="D825" t="inlineStr">
        <is>
          <t>GÄVLEBORGS LÄN</t>
        </is>
      </c>
      <c r="E825" t="inlineStr">
        <is>
          <t>NORDANSTIG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40261-2023</t>
        </is>
      </c>
      <c r="B826" s="1" t="n">
        <v>45169</v>
      </c>
      <c r="C826" s="1" t="n">
        <v>46199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2141-2024</t>
        </is>
      </c>
      <c r="B827" s="1" t="n">
        <v>45309</v>
      </c>
      <c r="C827" s="1" t="n">
        <v>46199</v>
      </c>
      <c r="D827" t="inlineStr">
        <is>
          <t>GÄVLEBORGS LÄN</t>
        </is>
      </c>
      <c r="E827" t="inlineStr">
        <is>
          <t>NORDANSTIG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60285-2024</t>
        </is>
      </c>
      <c r="B828" s="1" t="n">
        <v>45642</v>
      </c>
      <c r="C828" s="1" t="n">
        <v>46199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54077-2025</t>
        </is>
      </c>
      <c r="B829" s="1" t="n">
        <v>45964</v>
      </c>
      <c r="C829" s="1" t="n">
        <v>46199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SCA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7012-2025</t>
        </is>
      </c>
      <c r="B830" s="1" t="n">
        <v>45701</v>
      </c>
      <c r="C830" s="1" t="n">
        <v>46199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55477-2024</t>
        </is>
      </c>
      <c r="B831" s="1" t="n">
        <v>45622</v>
      </c>
      <c r="C831" s="1" t="n">
        <v>46199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4445-2025</t>
        </is>
      </c>
      <c r="B832" s="1" t="n">
        <v>45686</v>
      </c>
      <c r="C832" s="1" t="n">
        <v>46199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31002-2024</t>
        </is>
      </c>
      <c r="B833" s="1" t="n">
        <v>45499</v>
      </c>
      <c r="C833" s="1" t="n">
        <v>46199</v>
      </c>
      <c r="D833" t="inlineStr">
        <is>
          <t>GÄVLEBORGS LÄN</t>
        </is>
      </c>
      <c r="E833" t="inlineStr">
        <is>
          <t>NORDANSTIG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60675-2024</t>
        </is>
      </c>
      <c r="B834" s="1" t="n">
        <v>45644</v>
      </c>
      <c r="C834" s="1" t="n">
        <v>46199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31724-2024</t>
        </is>
      </c>
      <c r="B835" s="1" t="n">
        <v>45509</v>
      </c>
      <c r="C835" s="1" t="n">
        <v>46199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1057-2026</t>
        </is>
      </c>
      <c r="B836" s="1" t="n">
        <v>46030</v>
      </c>
      <c r="C836" s="1" t="n">
        <v>46199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55498-2024</t>
        </is>
      </c>
      <c r="B837" s="1" t="n">
        <v>45622</v>
      </c>
      <c r="C837" s="1" t="n">
        <v>46199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7503-2022</t>
        </is>
      </c>
      <c r="B838" s="1" t="n">
        <v>44607</v>
      </c>
      <c r="C838" s="1" t="n">
        <v>46199</v>
      </c>
      <c r="D838" t="inlineStr">
        <is>
          <t>GÄVLEBORGS LÄN</t>
        </is>
      </c>
      <c r="E838" t="inlineStr">
        <is>
          <t>NORDANSTIG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64033-2025</t>
        </is>
      </c>
      <c r="B839" s="1" t="n">
        <v>46021</v>
      </c>
      <c r="C839" s="1" t="n">
        <v>46199</v>
      </c>
      <c r="D839" t="inlineStr">
        <is>
          <t>GÄVLEBORGS LÄN</t>
        </is>
      </c>
      <c r="E839" t="inlineStr">
        <is>
          <t>NORDANSTIG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4786-2026</t>
        </is>
      </c>
      <c r="B840" s="1" t="n">
        <v>46048</v>
      </c>
      <c r="C840" s="1" t="n">
        <v>46199</v>
      </c>
      <c r="D840" t="inlineStr">
        <is>
          <t>GÄVLEBORGS LÄN</t>
        </is>
      </c>
      <c r="E840" t="inlineStr">
        <is>
          <t>NORDANSTIG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26126-2026</t>
        </is>
      </c>
      <c r="B841" s="1" t="n">
        <v>46181</v>
      </c>
      <c r="C841" s="1" t="n">
        <v>46199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6129-2026</t>
        </is>
      </c>
      <c r="B842" s="1" t="n">
        <v>46054</v>
      </c>
      <c r="C842" s="1" t="n">
        <v>46199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47876-2023</t>
        </is>
      </c>
      <c r="B843" s="1" t="n">
        <v>45204</v>
      </c>
      <c r="C843" s="1" t="n">
        <v>46199</v>
      </c>
      <c r="D843" t="inlineStr">
        <is>
          <t>GÄVLEBORGS LÄN</t>
        </is>
      </c>
      <c r="E843" t="inlineStr">
        <is>
          <t>NORDANSTIG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38298-2024</t>
        </is>
      </c>
      <c r="B844" s="1" t="n">
        <v>45545</v>
      </c>
      <c r="C844" s="1" t="n">
        <v>46199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51091-2024</t>
        </is>
      </c>
      <c r="B845" s="1" t="n">
        <v>45603</v>
      </c>
      <c r="C845" s="1" t="n">
        <v>46199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33478-2023</t>
        </is>
      </c>
      <c r="B846" s="1" t="n">
        <v>45131</v>
      </c>
      <c r="C846" s="1" t="n">
        <v>46199</v>
      </c>
      <c r="D846" t="inlineStr">
        <is>
          <t>GÄVLEBORGS LÄN</t>
        </is>
      </c>
      <c r="E846" t="inlineStr">
        <is>
          <t>NORDANSTIG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1469-2026</t>
        </is>
      </c>
      <c r="B847" s="1" t="n">
        <v>46033</v>
      </c>
      <c r="C847" s="1" t="n">
        <v>46199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53691-2024</t>
        </is>
      </c>
      <c r="B848" s="1" t="n">
        <v>45615</v>
      </c>
      <c r="C848" s="1" t="n">
        <v>46199</v>
      </c>
      <c r="D848" t="inlineStr">
        <is>
          <t>GÄVLEBORGS LÄN</t>
        </is>
      </c>
      <c r="E848" t="inlineStr">
        <is>
          <t>NORDANSTIG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48832-2022</t>
        </is>
      </c>
      <c r="B849" s="1" t="n">
        <v>44859</v>
      </c>
      <c r="C849" s="1" t="n">
        <v>46199</v>
      </c>
      <c r="D849" t="inlineStr">
        <is>
          <t>GÄVLEBORGS LÄN</t>
        </is>
      </c>
      <c r="E849" t="inlineStr">
        <is>
          <t>NORDANSTIG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1860-2025</t>
        </is>
      </c>
      <c r="B850" s="1" t="n">
        <v>45671</v>
      </c>
      <c r="C850" s="1" t="n">
        <v>46199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5963-2025</t>
        </is>
      </c>
      <c r="B851" s="1" t="n">
        <v>45695</v>
      </c>
      <c r="C851" s="1" t="n">
        <v>46199</v>
      </c>
      <c r="D851" t="inlineStr">
        <is>
          <t>GÄVLEBORGS LÄN</t>
        </is>
      </c>
      <c r="E851" t="inlineStr">
        <is>
          <t>NORDANSTIG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19982-2026</t>
        </is>
      </c>
      <c r="B852" s="1" t="n">
        <v>46136</v>
      </c>
      <c r="C852" s="1" t="n">
        <v>46199</v>
      </c>
      <c r="D852" t="inlineStr">
        <is>
          <t>GÄVLEBORGS LÄN</t>
        </is>
      </c>
      <c r="E852" t="inlineStr">
        <is>
          <t>NORDANSTIG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227-2026</t>
        </is>
      </c>
      <c r="B853" s="1" t="n">
        <v>46026</v>
      </c>
      <c r="C853" s="1" t="n">
        <v>46199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282-2025</t>
        </is>
      </c>
      <c r="B854" s="1" t="n">
        <v>45660</v>
      </c>
      <c r="C854" s="1" t="n">
        <v>46199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26238-2026</t>
        </is>
      </c>
      <c r="B855" s="1" t="n">
        <v>46182</v>
      </c>
      <c r="C855" s="1" t="n">
        <v>46199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58891-2024</t>
        </is>
      </c>
      <c r="B856" s="1" t="n">
        <v>45636</v>
      </c>
      <c r="C856" s="1" t="n">
        <v>46199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46299-2023</t>
        </is>
      </c>
      <c r="B857" s="1" t="n">
        <v>45197</v>
      </c>
      <c r="C857" s="1" t="n">
        <v>46199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72820-2021</t>
        </is>
      </c>
      <c r="B858" s="1" t="n">
        <v>44547</v>
      </c>
      <c r="C858" s="1" t="n">
        <v>46199</v>
      </c>
      <c r="D858" t="inlineStr">
        <is>
          <t>GÄVLEBORGS LÄN</t>
        </is>
      </c>
      <c r="E858" t="inlineStr">
        <is>
          <t>NORDANSTIG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44075-2025</t>
        </is>
      </c>
      <c r="B859" s="1" t="n">
        <v>45915</v>
      </c>
      <c r="C859" s="1" t="n">
        <v>46199</v>
      </c>
      <c r="D859" t="inlineStr">
        <is>
          <t>GÄVLEBORGS LÄN</t>
        </is>
      </c>
      <c r="E859" t="inlineStr">
        <is>
          <t>NORDANSTIG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26023-2026</t>
        </is>
      </c>
      <c r="B860" s="1" t="n">
        <v>46181</v>
      </c>
      <c r="C860" s="1" t="n">
        <v>46199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59851-2024</t>
        </is>
      </c>
      <c r="B861" s="1" t="n">
        <v>45639</v>
      </c>
      <c r="C861" s="1" t="n">
        <v>46199</v>
      </c>
      <c r="D861" t="inlineStr">
        <is>
          <t>GÄVLEBORGS LÄN</t>
        </is>
      </c>
      <c r="E861" t="inlineStr">
        <is>
          <t>NORDANSTIG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5143-2025</t>
        </is>
      </c>
      <c r="B862" s="1" t="n">
        <v>45691</v>
      </c>
      <c r="C862" s="1" t="n">
        <v>46199</v>
      </c>
      <c r="D862" t="inlineStr">
        <is>
          <t>GÄVLEBORGS LÄN</t>
        </is>
      </c>
      <c r="E862" t="inlineStr">
        <is>
          <t>NORDANSTIG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3764-2026</t>
        </is>
      </c>
      <c r="B863" s="1" t="n">
        <v>46043</v>
      </c>
      <c r="C863" s="1" t="n">
        <v>46199</v>
      </c>
      <c r="D863" t="inlineStr">
        <is>
          <t>GÄVLEBORGS LÄN</t>
        </is>
      </c>
      <c r="E863" t="inlineStr">
        <is>
          <t>NORDANSTIG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4559-2025</t>
        </is>
      </c>
      <c r="B864" s="1" t="n">
        <v>45687</v>
      </c>
      <c r="C864" s="1" t="n">
        <v>46199</v>
      </c>
      <c r="D864" t="inlineStr">
        <is>
          <t>GÄVLEBORGS LÄN</t>
        </is>
      </c>
      <c r="E864" t="inlineStr">
        <is>
          <t>NORDANSTIG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3730-2026</t>
        </is>
      </c>
      <c r="B865" s="1" t="n">
        <v>46043</v>
      </c>
      <c r="C865" s="1" t="n">
        <v>46199</v>
      </c>
      <c r="D865" t="inlineStr">
        <is>
          <t>GÄVLEBORGS LÄN</t>
        </is>
      </c>
      <c r="E865" t="inlineStr">
        <is>
          <t>NORDANSTIG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51740-2023</t>
        </is>
      </c>
      <c r="B866" s="1" t="n">
        <v>45222</v>
      </c>
      <c r="C866" s="1" t="n">
        <v>46199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51438-2023</t>
        </is>
      </c>
      <c r="B867" s="1" t="n">
        <v>45219</v>
      </c>
      <c r="C867" s="1" t="n">
        <v>46199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SCA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29401-2025</t>
        </is>
      </c>
      <c r="B868" s="1" t="n">
        <v>45824</v>
      </c>
      <c r="C868" s="1" t="n">
        <v>46199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64034-2025</t>
        </is>
      </c>
      <c r="B869" s="1" t="n">
        <v>46021</v>
      </c>
      <c r="C869" s="1" t="n">
        <v>46199</v>
      </c>
      <c r="D869" t="inlineStr">
        <is>
          <t>GÄVLEBORGS LÄN</t>
        </is>
      </c>
      <c r="E869" t="inlineStr">
        <is>
          <t>NORDANSTIG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55494-2024</t>
        </is>
      </c>
      <c r="B870" s="1" t="n">
        <v>45622</v>
      </c>
      <c r="C870" s="1" t="n">
        <v>46199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55531-2024</t>
        </is>
      </c>
      <c r="B871" s="1" t="n">
        <v>45622</v>
      </c>
      <c r="C871" s="1" t="n">
        <v>46199</v>
      </c>
      <c r="D871" t="inlineStr">
        <is>
          <t>GÄVLEBORGS LÄN</t>
        </is>
      </c>
      <c r="E871" t="inlineStr">
        <is>
          <t>NORDANSTIG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9976-2026</t>
        </is>
      </c>
      <c r="B872" s="1" t="n">
        <v>46073</v>
      </c>
      <c r="C872" s="1" t="n">
        <v>46199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26044-2026</t>
        </is>
      </c>
      <c r="B873" s="1" t="n">
        <v>46181</v>
      </c>
      <c r="C873" s="1" t="n">
        <v>46199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26634-2026</t>
        </is>
      </c>
      <c r="B874" s="1" t="n">
        <v>46184</v>
      </c>
      <c r="C874" s="1" t="n">
        <v>46199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4630-2026</t>
        </is>
      </c>
      <c r="B875" s="1" t="n">
        <v>46048</v>
      </c>
      <c r="C875" s="1" t="n">
        <v>46199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20512-2022</t>
        </is>
      </c>
      <c r="B876" s="1" t="n">
        <v>44699</v>
      </c>
      <c r="C876" s="1" t="n">
        <v>46199</v>
      </c>
      <c r="D876" t="inlineStr">
        <is>
          <t>GÄVLEBORGS LÄN</t>
        </is>
      </c>
      <c r="E876" t="inlineStr">
        <is>
          <t>NORDANSTIG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17482-2022</t>
        </is>
      </c>
      <c r="B877" s="1" t="n">
        <v>44679</v>
      </c>
      <c r="C877" s="1" t="n">
        <v>46199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16640-2025</t>
        </is>
      </c>
      <c r="B878" s="1" t="n">
        <v>45754</v>
      </c>
      <c r="C878" s="1" t="n">
        <v>46199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13826-2026</t>
        </is>
      </c>
      <c r="B879" s="1" t="n">
        <v>46098</v>
      </c>
      <c r="C879" s="1" t="n">
        <v>46199</v>
      </c>
      <c r="D879" t="inlineStr">
        <is>
          <t>GÄVLEBORGS LÄN</t>
        </is>
      </c>
      <c r="E879" t="inlineStr">
        <is>
          <t>NORDANSTIG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17271-2022</t>
        </is>
      </c>
      <c r="B880" s="1" t="n">
        <v>44678</v>
      </c>
      <c r="C880" s="1" t="n">
        <v>46199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36025-2023</t>
        </is>
      </c>
      <c r="B881" s="1" t="n">
        <v>45149</v>
      </c>
      <c r="C881" s="1" t="n">
        <v>46199</v>
      </c>
      <c r="D881" t="inlineStr">
        <is>
          <t>GÄVLEBORGS LÄN</t>
        </is>
      </c>
      <c r="E881" t="inlineStr">
        <is>
          <t>NORDANSTIG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9373-2026</t>
        </is>
      </c>
      <c r="B882" s="1" t="n">
        <v>46070</v>
      </c>
      <c r="C882" s="1" t="n">
        <v>46199</v>
      </c>
      <c r="D882" t="inlineStr">
        <is>
          <t>GÄVLEBORGS LÄN</t>
        </is>
      </c>
      <c r="E882" t="inlineStr">
        <is>
          <t>NORDANSTIG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26684-2026</t>
        </is>
      </c>
      <c r="B883" s="1" t="n">
        <v>46184</v>
      </c>
      <c r="C883" s="1" t="n">
        <v>46199</v>
      </c>
      <c r="D883" t="inlineStr">
        <is>
          <t>GÄVLEBORGS LÄN</t>
        </is>
      </c>
      <c r="E883" t="inlineStr">
        <is>
          <t>NORDANSTIG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26700-2026</t>
        </is>
      </c>
      <c r="B884" s="1" t="n">
        <v>46184</v>
      </c>
      <c r="C884" s="1" t="n">
        <v>46199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33377-2022</t>
        </is>
      </c>
      <c r="B885" s="1" t="n">
        <v>44788</v>
      </c>
      <c r="C885" s="1" t="n">
        <v>46199</v>
      </c>
      <c r="D885" t="inlineStr">
        <is>
          <t>GÄVLEBORGS LÄN</t>
        </is>
      </c>
      <c r="E885" t="inlineStr">
        <is>
          <t>NORDANSTIG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6409-2026</t>
        </is>
      </c>
      <c r="B886" s="1" t="n">
        <v>46055</v>
      </c>
      <c r="C886" s="1" t="n">
        <v>46199</v>
      </c>
      <c r="D886" t="inlineStr">
        <is>
          <t>GÄVLEBORGS LÄN</t>
        </is>
      </c>
      <c r="E886" t="inlineStr">
        <is>
          <t>NORDANSTIG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50413-2023</t>
        </is>
      </c>
      <c r="B887" s="1" t="n">
        <v>45216</v>
      </c>
      <c r="C887" s="1" t="n">
        <v>46199</v>
      </c>
      <c r="D887" t="inlineStr">
        <is>
          <t>GÄVLEBORGS LÄN</t>
        </is>
      </c>
      <c r="E887" t="inlineStr">
        <is>
          <t>NORDANSTIG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18529-2022</t>
        </is>
      </c>
      <c r="B888" s="1" t="n">
        <v>44686</v>
      </c>
      <c r="C888" s="1" t="n">
        <v>46199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26486-2026</t>
        </is>
      </c>
      <c r="B889" s="1" t="n">
        <v>46183</v>
      </c>
      <c r="C889" s="1" t="n">
        <v>46199</v>
      </c>
      <c r="D889" t="inlineStr">
        <is>
          <t>GÄVLEBORGS LÄN</t>
        </is>
      </c>
      <c r="E889" t="inlineStr">
        <is>
          <t>NORDANSTIG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59930-2024</t>
        </is>
      </c>
      <c r="B890" s="1" t="n">
        <v>45642</v>
      </c>
      <c r="C890" s="1" t="n">
        <v>46199</v>
      </c>
      <c r="D890" t="inlineStr">
        <is>
          <t>GÄVLEBORGS LÄN</t>
        </is>
      </c>
      <c r="E890" t="inlineStr">
        <is>
          <t>NORDANSTIG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9031-2026</t>
        </is>
      </c>
      <c r="B891" s="1" t="n">
        <v>46069</v>
      </c>
      <c r="C891" s="1" t="n">
        <v>46199</v>
      </c>
      <c r="D891" t="inlineStr">
        <is>
          <t>GÄVLEBORGS LÄN</t>
        </is>
      </c>
      <c r="E891" t="inlineStr">
        <is>
          <t>NORDANSTIG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22784-2025</t>
        </is>
      </c>
      <c r="B892" s="1" t="n">
        <v>45789</v>
      </c>
      <c r="C892" s="1" t="n">
        <v>46199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32149-2024</t>
        </is>
      </c>
      <c r="B893" s="1" t="n">
        <v>45511</v>
      </c>
      <c r="C893" s="1" t="n">
        <v>46199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1173-2026</t>
        </is>
      </c>
      <c r="B894" s="1" t="n">
        <v>46031</v>
      </c>
      <c r="C894" s="1" t="n">
        <v>46199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51681-2025</t>
        </is>
      </c>
      <c r="B895" s="1" t="n">
        <v>45951</v>
      </c>
      <c r="C895" s="1" t="n">
        <v>46199</v>
      </c>
      <c r="D895" t="inlineStr">
        <is>
          <t>GÄVLEBORGS LÄN</t>
        </is>
      </c>
      <c r="E895" t="inlineStr">
        <is>
          <t>NORDANSTIG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30630-2022</t>
        </is>
      </c>
      <c r="B896" s="1" t="n">
        <v>44763</v>
      </c>
      <c r="C896" s="1" t="n">
        <v>46199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28711-2022</t>
        </is>
      </c>
      <c r="B897" s="1" t="n">
        <v>44748</v>
      </c>
      <c r="C897" s="1" t="n">
        <v>46199</v>
      </c>
      <c r="D897" t="inlineStr">
        <is>
          <t>GÄVLEBORGS LÄN</t>
        </is>
      </c>
      <c r="E897" t="inlineStr">
        <is>
          <t>NORDANSTIG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14402-2025</t>
        </is>
      </c>
      <c r="B898" s="1" t="n">
        <v>45741</v>
      </c>
      <c r="C898" s="1" t="n">
        <v>46199</v>
      </c>
      <c r="D898" t="inlineStr">
        <is>
          <t>GÄVLEBORGS LÄN</t>
        </is>
      </c>
      <c r="E898" t="inlineStr">
        <is>
          <t>NORDANSTIG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37640-2025</t>
        </is>
      </c>
      <c r="B899" s="1" t="n">
        <v>45880</v>
      </c>
      <c r="C899" s="1" t="n">
        <v>46199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3492-2026</t>
        </is>
      </c>
      <c r="B900" s="1" t="n">
        <v>46042</v>
      </c>
      <c r="C900" s="1" t="n">
        <v>46199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11582-2026</t>
        </is>
      </c>
      <c r="B901" s="1" t="n">
        <v>46084</v>
      </c>
      <c r="C901" s="1" t="n">
        <v>46199</v>
      </c>
      <c r="D901" t="inlineStr">
        <is>
          <t>GÄVLEBORGS LÄN</t>
        </is>
      </c>
      <c r="E901" t="inlineStr">
        <is>
          <t>NORDANSTIG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36960-2023</t>
        </is>
      </c>
      <c r="B902" s="1" t="n">
        <v>45154</v>
      </c>
      <c r="C902" s="1" t="n">
        <v>46199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30940-2022</t>
        </is>
      </c>
      <c r="B903" s="1" t="n">
        <v>44768</v>
      </c>
      <c r="C903" s="1" t="n">
        <v>46199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26696-2026</t>
        </is>
      </c>
      <c r="B904" s="1" t="n">
        <v>46184</v>
      </c>
      <c r="C904" s="1" t="n">
        <v>46199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55002-2023</t>
        </is>
      </c>
      <c r="B905" s="1" t="n">
        <v>45236</v>
      </c>
      <c r="C905" s="1" t="n">
        <v>46199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SCA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38514-2025</t>
        </is>
      </c>
      <c r="B906" s="1" t="n">
        <v>45884</v>
      </c>
      <c r="C906" s="1" t="n">
        <v>46199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21118-2026</t>
        </is>
      </c>
      <c r="B907" s="1" t="n">
        <v>46146</v>
      </c>
      <c r="C907" s="1" t="n">
        <v>46199</v>
      </c>
      <c r="D907" t="inlineStr">
        <is>
          <t>GÄVLEBORGS LÄN</t>
        </is>
      </c>
      <c r="E907" t="inlineStr">
        <is>
          <t>NORDANSTIG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60398-2023</t>
        </is>
      </c>
      <c r="B908" s="1" t="n">
        <v>45259</v>
      </c>
      <c r="C908" s="1" t="n">
        <v>46199</v>
      </c>
      <c r="D908" t="inlineStr">
        <is>
          <t>GÄVLEBORGS LÄN</t>
        </is>
      </c>
      <c r="E908" t="inlineStr">
        <is>
          <t>NORDANSTIG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26893-2026</t>
        </is>
      </c>
      <c r="B909" s="1" t="n">
        <v>46185</v>
      </c>
      <c r="C909" s="1" t="n">
        <v>46199</v>
      </c>
      <c r="D909" t="inlineStr">
        <is>
          <t>GÄVLEBORGS LÄN</t>
        </is>
      </c>
      <c r="E909" t="inlineStr">
        <is>
          <t>NORDANSTIG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6349-2026</t>
        </is>
      </c>
      <c r="B910" s="1" t="n">
        <v>46055</v>
      </c>
      <c r="C910" s="1" t="n">
        <v>46199</v>
      </c>
      <c r="D910" t="inlineStr">
        <is>
          <t>GÄVLEBORGS LÄN</t>
        </is>
      </c>
      <c r="E910" t="inlineStr">
        <is>
          <t>NORDANSTIG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17254-2026</t>
        </is>
      </c>
      <c r="B911" s="1" t="n">
        <v>46119</v>
      </c>
      <c r="C911" s="1" t="n">
        <v>46199</v>
      </c>
      <c r="D911" t="inlineStr">
        <is>
          <t>GÄVLEBORGS LÄN</t>
        </is>
      </c>
      <c r="E911" t="inlineStr">
        <is>
          <t>NORDANSTIG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924-2026</t>
        </is>
      </c>
      <c r="B912" s="1" t="n">
        <v>46030</v>
      </c>
      <c r="C912" s="1" t="n">
        <v>46199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2862-2026</t>
        </is>
      </c>
      <c r="B913" s="1" t="n">
        <v>46038</v>
      </c>
      <c r="C913" s="1" t="n">
        <v>46199</v>
      </c>
      <c r="D913" t="inlineStr">
        <is>
          <t>GÄVLEBORGS LÄN</t>
        </is>
      </c>
      <c r="E913" t="inlineStr">
        <is>
          <t>NORDANSTIG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27114-2026</t>
        </is>
      </c>
      <c r="B914" s="1" t="n">
        <v>46188</v>
      </c>
      <c r="C914" s="1" t="n">
        <v>46199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27129-2026</t>
        </is>
      </c>
      <c r="B915" s="1" t="n">
        <v>46188</v>
      </c>
      <c r="C915" s="1" t="n">
        <v>46199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21055-2026</t>
        </is>
      </c>
      <c r="B916" s="1" t="n">
        <v>46146</v>
      </c>
      <c r="C916" s="1" t="n">
        <v>46199</v>
      </c>
      <c r="D916" t="inlineStr">
        <is>
          <t>GÄVLEBORGS LÄN</t>
        </is>
      </c>
      <c r="E916" t="inlineStr">
        <is>
          <t>NORDANSTIG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27183-2026</t>
        </is>
      </c>
      <c r="B917" s="1" t="n">
        <v>46188</v>
      </c>
      <c r="C917" s="1" t="n">
        <v>46199</v>
      </c>
      <c r="D917" t="inlineStr">
        <is>
          <t>GÄVLEBORGS LÄN</t>
        </is>
      </c>
      <c r="E917" t="inlineStr">
        <is>
          <t>NORDANSTIG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7916-2022</t>
        </is>
      </c>
      <c r="B918" s="1" t="n">
        <v>44608</v>
      </c>
      <c r="C918" s="1" t="n">
        <v>46199</v>
      </c>
      <c r="D918" t="inlineStr">
        <is>
          <t>GÄVLEBORGS LÄN</t>
        </is>
      </c>
      <c r="E918" t="inlineStr">
        <is>
          <t>NORDANSTIG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1975-2026</t>
        </is>
      </c>
      <c r="B919" s="1" t="n">
        <v>46035</v>
      </c>
      <c r="C919" s="1" t="n">
        <v>46199</v>
      </c>
      <c r="D919" t="inlineStr">
        <is>
          <t>GÄVLEBORGS LÄN</t>
        </is>
      </c>
      <c r="E919" t="inlineStr">
        <is>
          <t>NORDANSTIG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21093-2026</t>
        </is>
      </c>
      <c r="B920" s="1" t="n">
        <v>46146</v>
      </c>
      <c r="C920" s="1" t="n">
        <v>46199</v>
      </c>
      <c r="D920" t="inlineStr">
        <is>
          <t>GÄVLEBORGS LÄN</t>
        </is>
      </c>
      <c r="E920" t="inlineStr">
        <is>
          <t>NORDANSTIG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23369-2022</t>
        </is>
      </c>
      <c r="B921" s="1" t="n">
        <v>44720</v>
      </c>
      <c r="C921" s="1" t="n">
        <v>46199</v>
      </c>
      <c r="D921" t="inlineStr">
        <is>
          <t>GÄVLEBORGS LÄN</t>
        </is>
      </c>
      <c r="E921" t="inlineStr">
        <is>
          <t>NORDANSTIG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40269-2023</t>
        </is>
      </c>
      <c r="B922" s="1" t="n">
        <v>45169</v>
      </c>
      <c r="C922" s="1" t="n">
        <v>46199</v>
      </c>
      <c r="D922" t="inlineStr">
        <is>
          <t>GÄVLEBORGS LÄN</t>
        </is>
      </c>
      <c r="E922" t="inlineStr">
        <is>
          <t>NORDANSTIG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12216-2025</t>
        </is>
      </c>
      <c r="B923" s="1" t="n">
        <v>45729</v>
      </c>
      <c r="C923" s="1" t="n">
        <v>46199</v>
      </c>
      <c r="D923" t="inlineStr">
        <is>
          <t>GÄVLEBORGS LÄN</t>
        </is>
      </c>
      <c r="E923" t="inlineStr">
        <is>
          <t>NORDANSTIG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27149-2026</t>
        </is>
      </c>
      <c r="B924" s="1" t="n">
        <v>46188</v>
      </c>
      <c r="C924" s="1" t="n">
        <v>46199</v>
      </c>
      <c r="D924" t="inlineStr">
        <is>
          <t>GÄVLEBORGS LÄN</t>
        </is>
      </c>
      <c r="E924" t="inlineStr">
        <is>
          <t>NORDANSTIG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21060-2026</t>
        </is>
      </c>
      <c r="B925" s="1" t="n">
        <v>46146</v>
      </c>
      <c r="C925" s="1" t="n">
        <v>46199</v>
      </c>
      <c r="D925" t="inlineStr">
        <is>
          <t>GÄVLEBORGS LÄN</t>
        </is>
      </c>
      <c r="E925" t="inlineStr">
        <is>
          <t>NORDANSTIG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26838-2026</t>
        </is>
      </c>
      <c r="B926" s="1" t="n">
        <v>46185</v>
      </c>
      <c r="C926" s="1" t="n">
        <v>46199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47762-2021</t>
        </is>
      </c>
      <c r="B927" s="1" t="n">
        <v>44448</v>
      </c>
      <c r="C927" s="1" t="n">
        <v>46199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16750-2026</t>
        </is>
      </c>
      <c r="B928" s="1" t="n">
        <v>46113</v>
      </c>
      <c r="C928" s="1" t="n">
        <v>46199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26842-2026</t>
        </is>
      </c>
      <c r="B929" s="1" t="n">
        <v>46185</v>
      </c>
      <c r="C929" s="1" t="n">
        <v>46199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50.7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27236-2026</t>
        </is>
      </c>
      <c r="B930" s="1" t="n">
        <v>46188</v>
      </c>
      <c r="C930" s="1" t="n">
        <v>46199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27150-2026</t>
        </is>
      </c>
      <c r="B931" s="1" t="n">
        <v>46188</v>
      </c>
      <c r="C931" s="1" t="n">
        <v>46199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41620-2023</t>
        </is>
      </c>
      <c r="B932" s="1" t="n">
        <v>45175</v>
      </c>
      <c r="C932" s="1" t="n">
        <v>46199</v>
      </c>
      <c r="D932" t="inlineStr">
        <is>
          <t>GÄVLEBORGS LÄN</t>
        </is>
      </c>
      <c r="E932" t="inlineStr">
        <is>
          <t>NORDANSTIG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20577-2025</t>
        </is>
      </c>
      <c r="B933" s="1" t="n">
        <v>45775</v>
      </c>
      <c r="C933" s="1" t="n">
        <v>46199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18445-2025</t>
        </is>
      </c>
      <c r="B934" s="1" t="n">
        <v>45762</v>
      </c>
      <c r="C934" s="1" t="n">
        <v>46199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44446-2023</t>
        </is>
      </c>
      <c r="B935" s="1" t="n">
        <v>45189</v>
      </c>
      <c r="C935" s="1" t="n">
        <v>46199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24178-2026</t>
        </is>
      </c>
      <c r="B936" s="1" t="n">
        <v>46168</v>
      </c>
      <c r="C936" s="1" t="n">
        <v>46199</v>
      </c>
      <c r="D936" t="inlineStr">
        <is>
          <t>GÄVLEBORGS LÄN</t>
        </is>
      </c>
      <c r="E936" t="inlineStr">
        <is>
          <t>NORDANSTIG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31899-2022</t>
        </is>
      </c>
      <c r="B937" s="1" t="n">
        <v>44777</v>
      </c>
      <c r="C937" s="1" t="n">
        <v>46199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37295-2022</t>
        </is>
      </c>
      <c r="B938" s="1" t="n">
        <v>44808</v>
      </c>
      <c r="C938" s="1" t="n">
        <v>46199</v>
      </c>
      <c r="D938" t="inlineStr">
        <is>
          <t>GÄVLEBORGS LÄN</t>
        </is>
      </c>
      <c r="E938" t="inlineStr">
        <is>
          <t>NORDANSTIG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23039-2026</t>
        </is>
      </c>
      <c r="B939" s="1" t="n">
        <v>46161</v>
      </c>
      <c r="C939" s="1" t="n">
        <v>46199</v>
      </c>
      <c r="D939" t="inlineStr">
        <is>
          <t>GÄVLEBORGS LÄN</t>
        </is>
      </c>
      <c r="E939" t="inlineStr">
        <is>
          <t>NORDANSTIG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2573-2024</t>
        </is>
      </c>
      <c r="B940" s="1" t="n">
        <v>45313</v>
      </c>
      <c r="C940" s="1" t="n">
        <v>46199</v>
      </c>
      <c r="D940" t="inlineStr">
        <is>
          <t>GÄVLEBORGS LÄN</t>
        </is>
      </c>
      <c r="E940" t="inlineStr">
        <is>
          <t>NORDANSTIG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5411-2022</t>
        </is>
      </c>
      <c r="B941" s="1" t="n">
        <v>44595</v>
      </c>
      <c r="C941" s="1" t="n">
        <v>46199</v>
      </c>
      <c r="D941" t="inlineStr">
        <is>
          <t>GÄVLEBORGS LÄN</t>
        </is>
      </c>
      <c r="E941" t="inlineStr">
        <is>
          <t>NORDANSTIG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10680-2026</t>
        </is>
      </c>
      <c r="B942" s="1" t="n">
        <v>46078</v>
      </c>
      <c r="C942" s="1" t="n">
        <v>46199</v>
      </c>
      <c r="D942" t="inlineStr">
        <is>
          <t>GÄVLEBORGS LÄN</t>
        </is>
      </c>
      <c r="E942" t="inlineStr">
        <is>
          <t>NORDANSTIG</t>
        </is>
      </c>
      <c r="G942" t="n">
        <v>10.9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37972-2022</t>
        </is>
      </c>
      <c r="B943" s="1" t="n">
        <v>44811</v>
      </c>
      <c r="C943" s="1" t="n">
        <v>46199</v>
      </c>
      <c r="D943" t="inlineStr">
        <is>
          <t>GÄVLEBORGS LÄN</t>
        </is>
      </c>
      <c r="E943" t="inlineStr">
        <is>
          <t>NORDANSTIG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37986-2022</t>
        </is>
      </c>
      <c r="B944" s="1" t="n">
        <v>44811</v>
      </c>
      <c r="C944" s="1" t="n">
        <v>46199</v>
      </c>
      <c r="D944" t="inlineStr">
        <is>
          <t>GÄVLEBORGS LÄN</t>
        </is>
      </c>
      <c r="E944" t="inlineStr">
        <is>
          <t>NORDANSTIG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21648-2026</t>
        </is>
      </c>
      <c r="B945" s="1" t="n">
        <v>46149</v>
      </c>
      <c r="C945" s="1" t="n">
        <v>46199</v>
      </c>
      <c r="D945" t="inlineStr">
        <is>
          <t>GÄVLEBORGS LÄN</t>
        </is>
      </c>
      <c r="E945" t="inlineStr">
        <is>
          <t>NORDANSTIG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35070-2022</t>
        </is>
      </c>
      <c r="B946" s="1" t="n">
        <v>44797</v>
      </c>
      <c r="C946" s="1" t="n">
        <v>46199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46111-2023</t>
        </is>
      </c>
      <c r="B947" s="1" t="n">
        <v>45196</v>
      </c>
      <c r="C947" s="1" t="n">
        <v>46199</v>
      </c>
      <c r="D947" t="inlineStr">
        <is>
          <t>GÄVLEBORGS LÄN</t>
        </is>
      </c>
      <c r="E947" t="inlineStr">
        <is>
          <t>NORDANSTIG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21661-2026</t>
        </is>
      </c>
      <c r="B948" s="1" t="n">
        <v>46149</v>
      </c>
      <c r="C948" s="1" t="n">
        <v>46199</v>
      </c>
      <c r="D948" t="inlineStr">
        <is>
          <t>GÄVLEBORGS LÄN</t>
        </is>
      </c>
      <c r="E948" t="inlineStr">
        <is>
          <t>NORDANSTIG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55026-2022</t>
        </is>
      </c>
      <c r="B949" s="1" t="n">
        <v>44886</v>
      </c>
      <c r="C949" s="1" t="n">
        <v>46199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55120-2022</t>
        </is>
      </c>
      <c r="B950" s="1" t="n">
        <v>44886</v>
      </c>
      <c r="C950" s="1" t="n">
        <v>46199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28312-2026</t>
        </is>
      </c>
      <c r="B951" s="1" t="n">
        <v>46196</v>
      </c>
      <c r="C951" s="1" t="n">
        <v>46199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6820-2023</t>
        </is>
      </c>
      <c r="B952" s="1" t="n">
        <v>44967</v>
      </c>
      <c r="C952" s="1" t="n">
        <v>46199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1829-2026</t>
        </is>
      </c>
      <c r="B953" s="1" t="n">
        <v>46035</v>
      </c>
      <c r="C953" s="1" t="n">
        <v>46199</v>
      </c>
      <c r="D953" t="inlineStr">
        <is>
          <t>GÄVLEBORGS LÄN</t>
        </is>
      </c>
      <c r="E953" t="inlineStr">
        <is>
          <t>NORDANSTIG</t>
        </is>
      </c>
      <c r="G953" t="n">
        <v>15.6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12143-2026</t>
        </is>
      </c>
      <c r="B954" s="1" t="n">
        <v>46086</v>
      </c>
      <c r="C954" s="1" t="n">
        <v>46199</v>
      </c>
      <c r="D954" t="inlineStr">
        <is>
          <t>GÄVLEBORGS LÄN</t>
        </is>
      </c>
      <c r="E954" t="inlineStr">
        <is>
          <t>NORDANSTIG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18691-2026</t>
        </is>
      </c>
      <c r="B955" s="1" t="n">
        <v>46128</v>
      </c>
      <c r="C955" s="1" t="n">
        <v>46199</v>
      </c>
      <c r="D955" t="inlineStr">
        <is>
          <t>GÄVLEBORGS LÄN</t>
        </is>
      </c>
      <c r="E955" t="inlineStr">
        <is>
          <t>NORDANSTIG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5981-2026</t>
        </is>
      </c>
      <c r="B956" s="1" t="n">
        <v>46052</v>
      </c>
      <c r="C956" s="1" t="n">
        <v>46199</v>
      </c>
      <c r="D956" t="inlineStr">
        <is>
          <t>GÄVLEBORGS LÄN</t>
        </is>
      </c>
      <c r="E956" t="inlineStr">
        <is>
          <t>NORDANSTIG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226-2026</t>
        </is>
      </c>
      <c r="B957" s="1" t="n">
        <v>46026</v>
      </c>
      <c r="C957" s="1" t="n">
        <v>46199</v>
      </c>
      <c r="D957" t="inlineStr">
        <is>
          <t>GÄVLEBORGS LÄN</t>
        </is>
      </c>
      <c r="E957" t="inlineStr">
        <is>
          <t>NORDANSTIG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32622-2022</t>
        </is>
      </c>
      <c r="B958" s="1" t="n">
        <v>44783</v>
      </c>
      <c r="C958" s="1" t="n">
        <v>46199</v>
      </c>
      <c r="D958" t="inlineStr">
        <is>
          <t>GÄVLEBORGS LÄN</t>
        </is>
      </c>
      <c r="E958" t="inlineStr">
        <is>
          <t>NORDANSTIG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27975-2026</t>
        </is>
      </c>
      <c r="B959" s="1" t="n">
        <v>46195</v>
      </c>
      <c r="C959" s="1" t="n">
        <v>46199</v>
      </c>
      <c r="D959" t="inlineStr">
        <is>
          <t>GÄVLEBORGS LÄN</t>
        </is>
      </c>
      <c r="E959" t="inlineStr">
        <is>
          <t>NORDANSTIG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28370-2026</t>
        </is>
      </c>
      <c r="B960" s="1" t="n">
        <v>46196</v>
      </c>
      <c r="C960" s="1" t="n">
        <v>46199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15226-2023</t>
        </is>
      </c>
      <c r="B961" s="1" t="n">
        <v>45019</v>
      </c>
      <c r="C961" s="1" t="n">
        <v>46199</v>
      </c>
      <c r="D961" t="inlineStr">
        <is>
          <t>GÄVLEBORGS LÄN</t>
        </is>
      </c>
      <c r="E961" t="inlineStr">
        <is>
          <t>NORDANSTIG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28226-2026</t>
        </is>
      </c>
      <c r="B962" s="1" t="n">
        <v>46196</v>
      </c>
      <c r="C962" s="1" t="n">
        <v>46199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7436-2024</t>
        </is>
      </c>
      <c r="B963" s="1" t="n">
        <v>45345</v>
      </c>
      <c r="C963" s="1" t="n">
        <v>46199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62.5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7460-2024</t>
        </is>
      </c>
      <c r="B964" s="1" t="n">
        <v>45345</v>
      </c>
      <c r="C964" s="1" t="n">
        <v>46199</v>
      </c>
      <c r="D964" t="inlineStr">
        <is>
          <t>GÄVLEBORGS LÄN</t>
        </is>
      </c>
      <c r="E964" t="inlineStr">
        <is>
          <t>NORDANSTIG</t>
        </is>
      </c>
      <c r="G964" t="n">
        <v>10.8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27981-2026</t>
        </is>
      </c>
      <c r="B965" s="1" t="n">
        <v>46195</v>
      </c>
      <c r="C965" s="1" t="n">
        <v>46199</v>
      </c>
      <c r="D965" t="inlineStr">
        <is>
          <t>GÄVLEBORGS LÄN</t>
        </is>
      </c>
      <c r="E965" t="inlineStr">
        <is>
          <t>NORDANSTIG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56586-2023</t>
        </is>
      </c>
      <c r="B966" s="1" t="n">
        <v>45243</v>
      </c>
      <c r="C966" s="1" t="n">
        <v>46199</v>
      </c>
      <c r="D966" t="inlineStr">
        <is>
          <t>GÄVLEBORGS LÄN</t>
        </is>
      </c>
      <c r="E966" t="inlineStr">
        <is>
          <t>NORDANSTIG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3401-2026</t>
        </is>
      </c>
      <c r="B967" s="1" t="n">
        <v>46042</v>
      </c>
      <c r="C967" s="1" t="n">
        <v>46199</v>
      </c>
      <c r="D967" t="inlineStr">
        <is>
          <t>GÄVLEBORGS LÄN</t>
        </is>
      </c>
      <c r="E967" t="inlineStr">
        <is>
          <t>NORDANSTIG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28391-2026</t>
        </is>
      </c>
      <c r="B968" s="1" t="n">
        <v>46196</v>
      </c>
      <c r="C968" s="1" t="n">
        <v>46199</v>
      </c>
      <c r="D968" t="inlineStr">
        <is>
          <t>GÄVLEBORGS LÄN</t>
        </is>
      </c>
      <c r="E968" t="inlineStr">
        <is>
          <t>NORDANSTIG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51250-2022</t>
        </is>
      </c>
      <c r="B969" s="1" t="n">
        <v>44868</v>
      </c>
      <c r="C969" s="1" t="n">
        <v>46199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17283-2026</t>
        </is>
      </c>
      <c r="B970" s="1" t="n">
        <v>46119</v>
      </c>
      <c r="C970" s="1" t="n">
        <v>46199</v>
      </c>
      <c r="D970" t="inlineStr">
        <is>
          <t>GÄVLEBORGS LÄN</t>
        </is>
      </c>
      <c r="E970" t="inlineStr">
        <is>
          <t>NORDANSTIG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15088-2024</t>
        </is>
      </c>
      <c r="B971" s="1" t="n">
        <v>45399</v>
      </c>
      <c r="C971" s="1" t="n">
        <v>46199</v>
      </c>
      <c r="D971" t="inlineStr">
        <is>
          <t>GÄVLEBORGS LÄN</t>
        </is>
      </c>
      <c r="E971" t="inlineStr">
        <is>
          <t>NORDANSTIG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51560-2023</t>
        </is>
      </c>
      <c r="B972" s="1" t="n">
        <v>45222</v>
      </c>
      <c r="C972" s="1" t="n">
        <v>46199</v>
      </c>
      <c r="D972" t="inlineStr">
        <is>
          <t>GÄVLEBORGS LÄN</t>
        </is>
      </c>
      <c r="E972" t="inlineStr">
        <is>
          <t>NORDANSTIG</t>
        </is>
      </c>
      <c r="G972" t="n">
        <v>26.9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27976-2026</t>
        </is>
      </c>
      <c r="B973" s="1" t="n">
        <v>46195</v>
      </c>
      <c r="C973" s="1" t="n">
        <v>46199</v>
      </c>
      <c r="D973" t="inlineStr">
        <is>
          <t>GÄVLEBORGS LÄN</t>
        </is>
      </c>
      <c r="E973" t="inlineStr">
        <is>
          <t>NORDANSTIG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19569-2024</t>
        </is>
      </c>
      <c r="B974" s="1" t="n">
        <v>45429</v>
      </c>
      <c r="C974" s="1" t="n">
        <v>46199</v>
      </c>
      <c r="D974" t="inlineStr">
        <is>
          <t>GÄVLEBORGS LÄN</t>
        </is>
      </c>
      <c r="E974" t="inlineStr">
        <is>
          <t>NORDANSTIG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35765-2024</t>
        </is>
      </c>
      <c r="B975" s="1" t="n">
        <v>45532</v>
      </c>
      <c r="C975" s="1" t="n">
        <v>46199</v>
      </c>
      <c r="D975" t="inlineStr">
        <is>
          <t>GÄVLEBORGS LÄN</t>
        </is>
      </c>
      <c r="E975" t="inlineStr">
        <is>
          <t>NORDANSTIG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22621-2026</t>
        </is>
      </c>
      <c r="B976" s="1" t="n">
        <v>46155</v>
      </c>
      <c r="C976" s="1" t="n">
        <v>46199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28777-2026</t>
        </is>
      </c>
      <c r="B977" s="1" t="n">
        <v>46198</v>
      </c>
      <c r="C977" s="1" t="n">
        <v>46199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25821-2026</t>
        </is>
      </c>
      <c r="B978" s="1" t="n">
        <v>46178</v>
      </c>
      <c r="C978" s="1" t="n">
        <v>46199</v>
      </c>
      <c r="D978" t="inlineStr">
        <is>
          <t>GÄVLEBORGS LÄN</t>
        </is>
      </c>
      <c r="E978" t="inlineStr">
        <is>
          <t>NORDANSTIG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18479-2024</t>
        </is>
      </c>
      <c r="B979" s="1" t="n">
        <v>45425</v>
      </c>
      <c r="C979" s="1" t="n">
        <v>46199</v>
      </c>
      <c r="D979" t="inlineStr">
        <is>
          <t>GÄVLEBORGS LÄN</t>
        </is>
      </c>
      <c r="E979" t="inlineStr">
        <is>
          <t>NORDANSTIG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59912-2024</t>
        </is>
      </c>
      <c r="B980" s="1" t="n">
        <v>45641</v>
      </c>
      <c r="C980" s="1" t="n">
        <v>46199</v>
      </c>
      <c r="D980" t="inlineStr">
        <is>
          <t>GÄVLEBORGS LÄN</t>
        </is>
      </c>
      <c r="E980" t="inlineStr">
        <is>
          <t>NORDANSTIG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14532-2026</t>
        </is>
      </c>
      <c r="B981" s="1" t="n">
        <v>46100</v>
      </c>
      <c r="C981" s="1" t="n">
        <v>46199</v>
      </c>
      <c r="D981" t="inlineStr">
        <is>
          <t>GÄVLEBORGS LÄN</t>
        </is>
      </c>
      <c r="E981" t="inlineStr">
        <is>
          <t>NORDANSTIG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6324-2023</t>
        </is>
      </c>
      <c r="B982" s="1" t="n">
        <v>44965</v>
      </c>
      <c r="C982" s="1" t="n">
        <v>46199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28739-2026</t>
        </is>
      </c>
      <c r="B983" s="1" t="n">
        <v>46198</v>
      </c>
      <c r="C983" s="1" t="n">
        <v>46199</v>
      </c>
      <c r="D983" t="inlineStr">
        <is>
          <t>GÄVLEBORGS LÄN</t>
        </is>
      </c>
      <c r="E983" t="inlineStr">
        <is>
          <t>NORDANSTIG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28724-2026</t>
        </is>
      </c>
      <c r="B984" s="1" t="n">
        <v>46198</v>
      </c>
      <c r="C984" s="1" t="n">
        <v>46199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22607-2026</t>
        </is>
      </c>
      <c r="B985" s="1" t="n">
        <v>46155</v>
      </c>
      <c r="C985" s="1" t="n">
        <v>46199</v>
      </c>
      <c r="D985" t="inlineStr">
        <is>
          <t>GÄVLEBORGS LÄN</t>
        </is>
      </c>
      <c r="E985" t="inlineStr">
        <is>
          <t>NORDANSTIG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14961-2025</t>
        </is>
      </c>
      <c r="B986" s="1" t="n">
        <v>45743</v>
      </c>
      <c r="C986" s="1" t="n">
        <v>46199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22500-2026</t>
        </is>
      </c>
      <c r="B987" s="1" t="n">
        <v>46155</v>
      </c>
      <c r="C987" s="1" t="n">
        <v>46199</v>
      </c>
      <c r="D987" t="inlineStr">
        <is>
          <t>GÄVLEBORGS LÄN</t>
        </is>
      </c>
      <c r="E987" t="inlineStr">
        <is>
          <t>NORDANSTIG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28734-2026</t>
        </is>
      </c>
      <c r="B988" s="1" t="n">
        <v>46198</v>
      </c>
      <c r="C988" s="1" t="n">
        <v>46199</v>
      </c>
      <c r="D988" t="inlineStr">
        <is>
          <t>GÄVLEBORGS LÄN</t>
        </is>
      </c>
      <c r="E988" t="inlineStr">
        <is>
          <t>NORDANSTIG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28529-2026</t>
        </is>
      </c>
      <c r="B989" s="1" t="n">
        <v>46197</v>
      </c>
      <c r="C989" s="1" t="n">
        <v>46199</v>
      </c>
      <c r="D989" t="inlineStr">
        <is>
          <t>GÄVLEBORGS LÄN</t>
        </is>
      </c>
      <c r="E989" t="inlineStr">
        <is>
          <t>NORDANSTIG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30130-2024</t>
        </is>
      </c>
      <c r="B990" s="1" t="n">
        <v>45489</v>
      </c>
      <c r="C990" s="1" t="n">
        <v>46199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40798-2022</t>
        </is>
      </c>
      <c r="B991" s="1" t="n">
        <v>44824</v>
      </c>
      <c r="C991" s="1" t="n">
        <v>46199</v>
      </c>
      <c r="D991" t="inlineStr">
        <is>
          <t>GÄVLEBORGS LÄN</t>
        </is>
      </c>
      <c r="E991" t="inlineStr">
        <is>
          <t>NORDANSTIG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37005-2022</t>
        </is>
      </c>
      <c r="B992" s="1" t="n">
        <v>44806</v>
      </c>
      <c r="C992" s="1" t="n">
        <v>46199</v>
      </c>
      <c r="D992" t="inlineStr">
        <is>
          <t>GÄVLEBORGS LÄN</t>
        </is>
      </c>
      <c r="E992" t="inlineStr">
        <is>
          <t>NORDANSTIG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14415-2022</t>
        </is>
      </c>
      <c r="B993" s="1" t="n">
        <v>44652</v>
      </c>
      <c r="C993" s="1" t="n">
        <v>46199</v>
      </c>
      <c r="D993" t="inlineStr">
        <is>
          <t>GÄVLEBORGS LÄN</t>
        </is>
      </c>
      <c r="E993" t="inlineStr">
        <is>
          <t>NORDANSTIG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43893-2023</t>
        </is>
      </c>
      <c r="B994" s="1" t="n">
        <v>45187</v>
      </c>
      <c r="C994" s="1" t="n">
        <v>46199</v>
      </c>
      <c r="D994" t="inlineStr">
        <is>
          <t>GÄVLEBORGS LÄN</t>
        </is>
      </c>
      <c r="E994" t="inlineStr">
        <is>
          <t>NORDANSTIG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5999-2024</t>
        </is>
      </c>
      <c r="B995" s="1" t="n">
        <v>45336</v>
      </c>
      <c r="C995" s="1" t="n">
        <v>46199</v>
      </c>
      <c r="D995" t="inlineStr">
        <is>
          <t>GÄVLEBORGS LÄN</t>
        </is>
      </c>
      <c r="E995" t="inlineStr">
        <is>
          <t>NORDANSTIG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43465-2024</t>
        </is>
      </c>
      <c r="B996" s="1" t="n">
        <v>45568</v>
      </c>
      <c r="C996" s="1" t="n">
        <v>46199</v>
      </c>
      <c r="D996" t="inlineStr">
        <is>
          <t>GÄVLEBORGS LÄN</t>
        </is>
      </c>
      <c r="E996" t="inlineStr">
        <is>
          <t>NORDANSTIG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57463-2023</t>
        </is>
      </c>
      <c r="B997" s="1" t="n">
        <v>45246</v>
      </c>
      <c r="C997" s="1" t="n">
        <v>46199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37217-2024</t>
        </is>
      </c>
      <c r="B998" s="1" t="n">
        <v>45539</v>
      </c>
      <c r="C998" s="1" t="n">
        <v>46199</v>
      </c>
      <c r="D998" t="inlineStr">
        <is>
          <t>GÄVLEBORGS LÄN</t>
        </is>
      </c>
      <c r="E998" t="inlineStr">
        <is>
          <t>NORDANSTIG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51988-2024</t>
        </is>
      </c>
      <c r="B999" s="1" t="n">
        <v>45607</v>
      </c>
      <c r="C999" s="1" t="n">
        <v>46199</v>
      </c>
      <c r="D999" t="inlineStr">
        <is>
          <t>GÄVLEBORGS LÄN</t>
        </is>
      </c>
      <c r="E999" t="inlineStr">
        <is>
          <t>NORDANSTIG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25665-2023</t>
        </is>
      </c>
      <c r="B1000" s="1" t="n">
        <v>45089</v>
      </c>
      <c r="C1000" s="1" t="n">
        <v>46199</v>
      </c>
      <c r="D1000" t="inlineStr">
        <is>
          <t>GÄVLEBORGS LÄN</t>
        </is>
      </c>
      <c r="E1000" t="inlineStr">
        <is>
          <t>NORDANSTIG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12764-2025</t>
        </is>
      </c>
      <c r="B1001" s="1" t="n">
        <v>45733</v>
      </c>
      <c r="C1001" s="1" t="n">
        <v>46199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37974-2024</t>
        </is>
      </c>
      <c r="B1002" s="1" t="n">
        <v>45544</v>
      </c>
      <c r="C1002" s="1" t="n">
        <v>46199</v>
      </c>
      <c r="D1002" t="inlineStr">
        <is>
          <t>GÄVLEBORGS LÄN</t>
        </is>
      </c>
      <c r="E1002" t="inlineStr">
        <is>
          <t>NORDANSTIG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52006-2024</t>
        </is>
      </c>
      <c r="B1003" s="1" t="n">
        <v>45607</v>
      </c>
      <c r="C1003" s="1" t="n">
        <v>46199</v>
      </c>
      <c r="D1003" t="inlineStr">
        <is>
          <t>GÄVLEBORGS LÄN</t>
        </is>
      </c>
      <c r="E1003" t="inlineStr">
        <is>
          <t>NORDANSTIG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18988-2022</t>
        </is>
      </c>
      <c r="B1004" s="1" t="n">
        <v>44690</v>
      </c>
      <c r="C1004" s="1" t="n">
        <v>46199</v>
      </c>
      <c r="D1004" t="inlineStr">
        <is>
          <t>GÄVLEBORGS LÄN</t>
        </is>
      </c>
      <c r="E1004" t="inlineStr">
        <is>
          <t>NORDANSTIG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12607-2024</t>
        </is>
      </c>
      <c r="B1005" s="1" t="n">
        <v>45382</v>
      </c>
      <c r="C1005" s="1" t="n">
        <v>46199</v>
      </c>
      <c r="D1005" t="inlineStr">
        <is>
          <t>GÄVLEBORGS LÄN</t>
        </is>
      </c>
      <c r="E1005" t="inlineStr">
        <is>
          <t>NORDANSTIG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18332-2024</t>
        </is>
      </c>
      <c r="B1006" s="1" t="n">
        <v>45422</v>
      </c>
      <c r="C1006" s="1" t="n">
        <v>46199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51387-2024</t>
        </is>
      </c>
      <c r="B1007" s="1" t="n">
        <v>45604</v>
      </c>
      <c r="C1007" s="1" t="n">
        <v>46199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38581-2024</t>
        </is>
      </c>
      <c r="B1008" s="1" t="n">
        <v>45546</v>
      </c>
      <c r="C1008" s="1" t="n">
        <v>46199</v>
      </c>
      <c r="D1008" t="inlineStr">
        <is>
          <t>GÄVLEBORGS LÄN</t>
        </is>
      </c>
      <c r="E1008" t="inlineStr">
        <is>
          <t>NORDANSTIG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38589-2024</t>
        </is>
      </c>
      <c r="B1009" s="1" t="n">
        <v>45546</v>
      </c>
      <c r="C1009" s="1" t="n">
        <v>46199</v>
      </c>
      <c r="D1009" t="inlineStr">
        <is>
          <t>GÄVLEBORGS LÄN</t>
        </is>
      </c>
      <c r="E1009" t="inlineStr">
        <is>
          <t>NORDANSTIG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40078-2024</t>
        </is>
      </c>
      <c r="B1010" s="1" t="n">
        <v>45554</v>
      </c>
      <c r="C1010" s="1" t="n">
        <v>46199</v>
      </c>
      <c r="D1010" t="inlineStr">
        <is>
          <t>GÄVLEBORGS LÄN</t>
        </is>
      </c>
      <c r="E1010" t="inlineStr">
        <is>
          <t>NORDANSTIG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55704-2024</t>
        </is>
      </c>
      <c r="B1011" s="1" t="n">
        <v>45622</v>
      </c>
      <c r="C1011" s="1" t="n">
        <v>46199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19566-2025</t>
        </is>
      </c>
      <c r="B1012" s="1" t="n">
        <v>45770</v>
      </c>
      <c r="C1012" s="1" t="n">
        <v>46199</v>
      </c>
      <c r="D1012" t="inlineStr">
        <is>
          <t>GÄVLEBORGS LÄN</t>
        </is>
      </c>
      <c r="E1012" t="inlineStr">
        <is>
          <t>NORDANSTIG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19569-2025</t>
        </is>
      </c>
      <c r="B1013" s="1" t="n">
        <v>45770</v>
      </c>
      <c r="C1013" s="1" t="n">
        <v>46199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58870-2023</t>
        </is>
      </c>
      <c r="B1014" s="1" t="n">
        <v>45252</v>
      </c>
      <c r="C1014" s="1" t="n">
        <v>46199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3404-2025</t>
        </is>
      </c>
      <c r="B1015" s="1" t="n">
        <v>45680</v>
      </c>
      <c r="C1015" s="1" t="n">
        <v>46199</v>
      </c>
      <c r="D1015" t="inlineStr">
        <is>
          <t>GÄVLEBORGS LÄN</t>
        </is>
      </c>
      <c r="E1015" t="inlineStr">
        <is>
          <t>NORDANSTIG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17843-2023</t>
        </is>
      </c>
      <c r="B1016" s="1" t="n">
        <v>45037</v>
      </c>
      <c r="C1016" s="1" t="n">
        <v>46199</v>
      </c>
      <c r="D1016" t="inlineStr">
        <is>
          <t>GÄVLEBORGS LÄN</t>
        </is>
      </c>
      <c r="E1016" t="inlineStr">
        <is>
          <t>NORDANSTIG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12815-2023</t>
        </is>
      </c>
      <c r="B1017" s="1" t="n">
        <v>45001</v>
      </c>
      <c r="C1017" s="1" t="n">
        <v>46199</v>
      </c>
      <c r="D1017" t="inlineStr">
        <is>
          <t>GÄVLEBORGS LÄN</t>
        </is>
      </c>
      <c r="E1017" t="inlineStr">
        <is>
          <t>NORDANSTIG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20044-2024</t>
        </is>
      </c>
      <c r="B1018" s="1" t="n">
        <v>45434</v>
      </c>
      <c r="C1018" s="1" t="n">
        <v>46199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11599-2024</t>
        </is>
      </c>
      <c r="B1019" s="1" t="n">
        <v>45373</v>
      </c>
      <c r="C1019" s="1" t="n">
        <v>46199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30842-2024</t>
        </is>
      </c>
      <c r="B1020" s="1" t="n">
        <v>45497</v>
      </c>
      <c r="C1020" s="1" t="n">
        <v>46199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11338-2023</t>
        </is>
      </c>
      <c r="B1021" s="1" t="n">
        <v>44993</v>
      </c>
      <c r="C1021" s="1" t="n">
        <v>46199</v>
      </c>
      <c r="D1021" t="inlineStr">
        <is>
          <t>GÄVLEBORGS LÄN</t>
        </is>
      </c>
      <c r="E1021" t="inlineStr">
        <is>
          <t>NORDANSTIG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39068-2023</t>
        </is>
      </c>
      <c r="B1022" s="1" t="n">
        <v>45163</v>
      </c>
      <c r="C1022" s="1" t="n">
        <v>46199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SCA</t>
        </is>
      </c>
      <c r="G1022" t="n">
        <v>11.8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19231-2024</t>
        </is>
      </c>
      <c r="B1023" s="1" t="n">
        <v>45428</v>
      </c>
      <c r="C1023" s="1" t="n">
        <v>46199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52746-2022</t>
        </is>
      </c>
      <c r="B1024" s="1" t="n">
        <v>44874</v>
      </c>
      <c r="C1024" s="1" t="n">
        <v>46199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SCA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54524-2024</t>
        </is>
      </c>
      <c r="B1025" s="1" t="n">
        <v>45617</v>
      </c>
      <c r="C1025" s="1" t="n">
        <v>46199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8898-2024</t>
        </is>
      </c>
      <c r="B1026" s="1" t="n">
        <v>45357</v>
      </c>
      <c r="C1026" s="1" t="n">
        <v>46199</v>
      </c>
      <c r="D1026" t="inlineStr">
        <is>
          <t>GÄVLEBORGS LÄN</t>
        </is>
      </c>
      <c r="E1026" t="inlineStr">
        <is>
          <t>NORDANSTIG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41318-2024</t>
        </is>
      </c>
      <c r="B1027" s="1" t="n">
        <v>45559</v>
      </c>
      <c r="C1027" s="1" t="n">
        <v>46199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15385-2023</t>
        </is>
      </c>
      <c r="B1028" s="1" t="n">
        <v>45019</v>
      </c>
      <c r="C1028" s="1" t="n">
        <v>46199</v>
      </c>
      <c r="D1028" t="inlineStr">
        <is>
          <t>GÄVLEBORGS LÄN</t>
        </is>
      </c>
      <c r="E1028" t="inlineStr">
        <is>
          <t>NORDANSTIG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46199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1564-2025</t>
        </is>
      </c>
      <c r="B1030" s="1" t="n">
        <v>45667</v>
      </c>
      <c r="C1030" s="1" t="n">
        <v>46199</v>
      </c>
      <c r="D1030" t="inlineStr">
        <is>
          <t>GÄVLEBORGS LÄN</t>
        </is>
      </c>
      <c r="E1030" t="inlineStr">
        <is>
          <t>NORDANSTIG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1576-2025</t>
        </is>
      </c>
      <c r="B1031" s="1" t="n">
        <v>45670</v>
      </c>
      <c r="C1031" s="1" t="n">
        <v>46199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1579-2025</t>
        </is>
      </c>
      <c r="B1032" s="1" t="n">
        <v>45670</v>
      </c>
      <c r="C1032" s="1" t="n">
        <v>46199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2705-2025</t>
        </is>
      </c>
      <c r="B1033" s="1" t="n">
        <v>45677</v>
      </c>
      <c r="C1033" s="1" t="n">
        <v>46199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55276-2024</t>
        </is>
      </c>
      <c r="B1034" s="1" t="n">
        <v>45621</v>
      </c>
      <c r="C1034" s="1" t="n">
        <v>46199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58749-2024</t>
        </is>
      </c>
      <c r="B1035" s="1" t="n">
        <v>45635</v>
      </c>
      <c r="C1035" s="1" t="n">
        <v>46199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25631-2023</t>
        </is>
      </c>
      <c r="B1036" s="1" t="n">
        <v>45089</v>
      </c>
      <c r="C1036" s="1" t="n">
        <v>46199</v>
      </c>
      <c r="D1036" t="inlineStr">
        <is>
          <t>GÄVLEBORGS LÄN</t>
        </is>
      </c>
      <c r="E1036" t="inlineStr">
        <is>
          <t>NORDANSTIG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51842-2024</t>
        </is>
      </c>
      <c r="B1037" s="1" t="n">
        <v>45607</v>
      </c>
      <c r="C1037" s="1" t="n">
        <v>46199</v>
      </c>
      <c r="D1037" t="inlineStr">
        <is>
          <t>GÄVLEBORGS LÄN</t>
        </is>
      </c>
      <c r="E1037" t="inlineStr">
        <is>
          <t>NORDANSTIG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54401-2024</t>
        </is>
      </c>
      <c r="B1038" s="1" t="n">
        <v>45617</v>
      </c>
      <c r="C1038" s="1" t="n">
        <v>46199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17641-2025</t>
        </is>
      </c>
      <c r="B1039" s="1" t="n">
        <v>45758</v>
      </c>
      <c r="C1039" s="1" t="n">
        <v>46199</v>
      </c>
      <c r="D1039" t="inlineStr">
        <is>
          <t>GÄVLEBORGS LÄN</t>
        </is>
      </c>
      <c r="E1039" t="inlineStr">
        <is>
          <t>NORDANSTIG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1392-2025</t>
        </is>
      </c>
      <c r="B1040" s="1" t="n">
        <v>45667</v>
      </c>
      <c r="C1040" s="1" t="n">
        <v>46199</v>
      </c>
      <c r="D1040" t="inlineStr">
        <is>
          <t>GÄVLEBORGS LÄN</t>
        </is>
      </c>
      <c r="E1040" t="inlineStr">
        <is>
          <t>NORDANSTIG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54200-2023</t>
        </is>
      </c>
      <c r="B1041" s="1" t="n">
        <v>45232</v>
      </c>
      <c r="C1041" s="1" t="n">
        <v>46199</v>
      </c>
      <c r="D1041" t="inlineStr">
        <is>
          <t>GÄVLEBORGS LÄN</t>
        </is>
      </c>
      <c r="E1041" t="inlineStr">
        <is>
          <t>NORDANSTIG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59043-2024</t>
        </is>
      </c>
      <c r="B1042" s="1" t="n">
        <v>45636</v>
      </c>
      <c r="C1042" s="1" t="n">
        <v>46199</v>
      </c>
      <c r="D1042" t="inlineStr">
        <is>
          <t>GÄVLEBORGS LÄN</t>
        </is>
      </c>
      <c r="E1042" t="inlineStr">
        <is>
          <t>NORDANSTIG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10069-2025</t>
        </is>
      </c>
      <c r="B1043" s="1" t="n">
        <v>45719</v>
      </c>
      <c r="C1043" s="1" t="n">
        <v>46199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40241-2023</t>
        </is>
      </c>
      <c r="B1044" s="1" t="n">
        <v>45169</v>
      </c>
      <c r="C1044" s="1" t="n">
        <v>46199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11394-2025</t>
        </is>
      </c>
      <c r="B1045" s="1" t="n">
        <v>45726</v>
      </c>
      <c r="C1045" s="1" t="n">
        <v>46199</v>
      </c>
      <c r="D1045" t="inlineStr">
        <is>
          <t>GÄVLEBORGS LÄN</t>
        </is>
      </c>
      <c r="E1045" t="inlineStr">
        <is>
          <t>NORDANSTIG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55523-2024</t>
        </is>
      </c>
      <c r="B1046" s="1" t="n">
        <v>45622</v>
      </c>
      <c r="C1046" s="1" t="n">
        <v>46199</v>
      </c>
      <c r="D1046" t="inlineStr">
        <is>
          <t>GÄVLEBORGS LÄN</t>
        </is>
      </c>
      <c r="E1046" t="inlineStr">
        <is>
          <t>NORDANSTIG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32350-2022</t>
        </is>
      </c>
      <c r="B1047" s="1" t="n">
        <v>44781</v>
      </c>
      <c r="C1047" s="1" t="n">
        <v>46199</v>
      </c>
      <c r="D1047" t="inlineStr">
        <is>
          <t>GÄVLEBORGS LÄN</t>
        </is>
      </c>
      <c r="E1047" t="inlineStr">
        <is>
          <t>NORDANSTIG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55948-2024</t>
        </is>
      </c>
      <c r="B1048" s="1" t="n">
        <v>45623</v>
      </c>
      <c r="C1048" s="1" t="n">
        <v>46199</v>
      </c>
      <c r="D1048" t="inlineStr">
        <is>
          <t>GÄVLEBORGS LÄN</t>
        </is>
      </c>
      <c r="E1048" t="inlineStr">
        <is>
          <t>NORDANSTIG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32827-2023</t>
        </is>
      </c>
      <c r="B1049" s="1" t="n">
        <v>45124</v>
      </c>
      <c r="C1049" s="1" t="n">
        <v>46199</v>
      </c>
      <c r="D1049" t="inlineStr">
        <is>
          <t>GÄVLEBORGS LÄN</t>
        </is>
      </c>
      <c r="E1049" t="inlineStr">
        <is>
          <t>NORDANSTIG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28697-2023</t>
        </is>
      </c>
      <c r="B1050" s="1" t="n">
        <v>45103</v>
      </c>
      <c r="C1050" s="1" t="n">
        <v>46199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1708-2023</t>
        </is>
      </c>
      <c r="B1051" s="1" t="n">
        <v>44938</v>
      </c>
      <c r="C1051" s="1" t="n">
        <v>46199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59799-2022</t>
        </is>
      </c>
      <c r="B1052" s="1" t="n">
        <v>44908</v>
      </c>
      <c r="C1052" s="1" t="n">
        <v>46199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36525-2024</t>
        </is>
      </c>
      <c r="B1053" s="1" t="n">
        <v>45537</v>
      </c>
      <c r="C1053" s="1" t="n">
        <v>46199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59422-2022</t>
        </is>
      </c>
      <c r="B1054" s="1" t="n">
        <v>44907</v>
      </c>
      <c r="C1054" s="1" t="n">
        <v>46199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22547-2022</t>
        </is>
      </c>
      <c r="B1055" s="1" t="n">
        <v>44713</v>
      </c>
      <c r="C1055" s="1" t="n">
        <v>46199</v>
      </c>
      <c r="D1055" t="inlineStr">
        <is>
          <t>GÄVLEBORGS LÄN</t>
        </is>
      </c>
      <c r="E1055" t="inlineStr">
        <is>
          <t>NORDANSTIG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38451-2024</t>
        </is>
      </c>
      <c r="B1056" s="1" t="n">
        <v>45546</v>
      </c>
      <c r="C1056" s="1" t="n">
        <v>46199</v>
      </c>
      <c r="D1056" t="inlineStr">
        <is>
          <t>GÄVLEBORGS LÄN</t>
        </is>
      </c>
      <c r="E1056" t="inlineStr">
        <is>
          <t>NORDANSTIG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45551-2024</t>
        </is>
      </c>
      <c r="B1057" s="1" t="n">
        <v>45579</v>
      </c>
      <c r="C1057" s="1" t="n">
        <v>46199</v>
      </c>
      <c r="D1057" t="inlineStr">
        <is>
          <t>GÄVLEBORGS LÄN</t>
        </is>
      </c>
      <c r="E1057" t="inlineStr">
        <is>
          <t>NORDANSTIG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58162-2024</t>
        </is>
      </c>
      <c r="B1058" s="1" t="n">
        <v>45632</v>
      </c>
      <c r="C1058" s="1" t="n">
        <v>46199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Kyrkan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58876-2024</t>
        </is>
      </c>
      <c r="B1059" s="1" t="n">
        <v>45636</v>
      </c>
      <c r="C1059" s="1" t="n">
        <v>46199</v>
      </c>
      <c r="D1059" t="inlineStr">
        <is>
          <t>GÄVLEBORGS LÄN</t>
        </is>
      </c>
      <c r="E1059" t="inlineStr">
        <is>
          <t>NORDANSTIG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20876-2025</t>
        </is>
      </c>
      <c r="B1060" s="1" t="n">
        <v>45777</v>
      </c>
      <c r="C1060" s="1" t="n">
        <v>46199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21287-2025</t>
        </is>
      </c>
      <c r="B1061" s="1" t="n">
        <v>45779</v>
      </c>
      <c r="C1061" s="1" t="n">
        <v>46199</v>
      </c>
      <c r="D1061" t="inlineStr">
        <is>
          <t>GÄVLEBORGS LÄN</t>
        </is>
      </c>
      <c r="E1061" t="inlineStr">
        <is>
          <t>NORDANSTIG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21725-2025</t>
        </is>
      </c>
      <c r="B1062" s="1" t="n">
        <v>45783</v>
      </c>
      <c r="C1062" s="1" t="n">
        <v>46199</v>
      </c>
      <c r="D1062" t="inlineStr">
        <is>
          <t>GÄVLEBORGS LÄN</t>
        </is>
      </c>
      <c r="E1062" t="inlineStr">
        <is>
          <t>NORDANSTIG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18716-2025</t>
        </is>
      </c>
      <c r="B1063" s="1" t="n">
        <v>45763</v>
      </c>
      <c r="C1063" s="1" t="n">
        <v>46199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18707-2025</t>
        </is>
      </c>
      <c r="B1064" s="1" t="n">
        <v>45763</v>
      </c>
      <c r="C1064" s="1" t="n">
        <v>46199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12389-2023</t>
        </is>
      </c>
      <c r="B1065" s="1" t="n">
        <v>44999</v>
      </c>
      <c r="C1065" s="1" t="n">
        <v>46199</v>
      </c>
      <c r="D1065" t="inlineStr">
        <is>
          <t>GÄVLEBORGS LÄN</t>
        </is>
      </c>
      <c r="E1065" t="inlineStr">
        <is>
          <t>NORDANSTIG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21928-2025</t>
        </is>
      </c>
      <c r="B1066" s="1" t="n">
        <v>45784</v>
      </c>
      <c r="C1066" s="1" t="n">
        <v>46199</v>
      </c>
      <c r="D1066" t="inlineStr">
        <is>
          <t>GÄVLEBORGS LÄN</t>
        </is>
      </c>
      <c r="E1066" t="inlineStr">
        <is>
          <t>NORDANSTIG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2026-06-26T00:47:24Z</dcterms:created>
  <dcterms:modified xmlns:dcterms="http://purl.org/dc/terms/" xmlns:xsi="http://www.w3.org/2001/XMLSchema-instance" xsi:type="dcterms:W3CDTF">2026-06-26T00:47:25Z</dcterms:modified>
</cp:coreProperties>
</file>