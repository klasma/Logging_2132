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45825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45825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45825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45825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45825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45825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45825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45825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45825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45825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45825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45825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45825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45825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45825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45825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45825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45825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45825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45825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45825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45825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45825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45825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45825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45825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45825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45825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45825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45825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45825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45825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45825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45825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45825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45825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45825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45825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45825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45825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45825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45825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45825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45825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45825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45825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45825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45825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45825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45825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45825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45825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45825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45825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45825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45825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45825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45825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45825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45825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45825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45825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45825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45825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45825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45825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45825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45825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45825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45825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45825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45825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45825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45825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45825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45825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45825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45825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45825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45825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45825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45825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45825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45825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45825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45825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45825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45825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45825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45825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45825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45825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45825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45825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45825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45825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45825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45825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45825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45825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45825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45825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45825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45825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45825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45825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45825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45825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45825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45825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45825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45825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45825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45825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45825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45825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45825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45825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45825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45825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45825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45825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45825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45825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45825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45825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45825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45825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45825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45825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45825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45825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45825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45825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45825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45825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45825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45825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45825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45825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45825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45825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45825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45825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45825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45825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45825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45825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45825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45825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45825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45825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45825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45825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45825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45825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45825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45825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45825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45825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45825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45825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45825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45825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45825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45825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45825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45825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45825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45825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45825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45825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45825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45825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45825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45825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45825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45825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45825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45825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45825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45825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45825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45825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45825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45825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45825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45825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45825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45825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45825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45825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45825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45825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45825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45825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45825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45825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45825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45825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45825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45825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45825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45825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45825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45825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45825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45825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45825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45825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45825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45825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45825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45825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45825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45825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45825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45825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45825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45825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45825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45825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45825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45825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45825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45825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45825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45825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45825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45825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45825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45825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45825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45825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45825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45825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45825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45825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45825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45825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45825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45825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45825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45825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45825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45825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45825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45825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45825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45825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45825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45825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45825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45825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45825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45825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45825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45825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45825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45825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45825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45825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45825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45825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45825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45825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45825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45825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45825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45825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45825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45825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45825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45825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45825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45825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45825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45825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45825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45825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45825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45825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45825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45825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45825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45825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45825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45825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45825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45825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45825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45825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45825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45825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45825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45825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45825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45825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45825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45825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45825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45825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45825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45825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45825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45825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45825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45825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45825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45825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45825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45825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45825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45825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45825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45825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45825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45825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45825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45825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45825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45825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45825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45825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45825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45825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45825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45825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45825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45825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45825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45825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45825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45825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45825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45825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45825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45825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45825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45825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45825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45825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45825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45825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45825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45825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45825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45825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45825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45825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45825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45825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45825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45825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45825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45825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45825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45825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45825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45825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45825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45825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45825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45825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45825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45825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45825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45825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45825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45825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45825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45825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45825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45825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45825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45825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45825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45825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45825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45825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45825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45825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45825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45825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45825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45825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45825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45825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45825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45825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45825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45825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45825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45825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45825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45825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45825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45825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45825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45825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45825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45825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45825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45825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45825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45825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45825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45825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45825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45825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45825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45825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45825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45825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45825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45825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45825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45825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45825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45825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45825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45825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45825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45825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45825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45825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45825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45825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45825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45825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45825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45825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45825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45825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45825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45825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45825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45825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45825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45825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45825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45825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45825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45825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45825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45825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45825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45825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45825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45825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45825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45825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45825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45825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45825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45825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45825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45825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45825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45825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45825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45825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45825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45825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45825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45825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45825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45825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45825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45825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45825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45825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45825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45825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45825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45825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45825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45825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45825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45825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45825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45825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45825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45825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45825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45825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45825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45825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45825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45825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45825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45825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45825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45825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45825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45825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45825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45825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45825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45825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45825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45825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45825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45825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45825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45825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45825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45825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45825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45825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45825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45825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45825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45825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45825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45825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45825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45825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45825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45825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45825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45825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45825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45825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45825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45825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45825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45825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45825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45825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45825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45825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45825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45825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45825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45825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45825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45825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45825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45825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45825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45825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45825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45825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45825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45825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45825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45825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45825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45825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45825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45825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45825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45825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45825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45825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45825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45825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45825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45825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45825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45825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45825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45825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45825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45825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45825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45825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45825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45825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45825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45825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45825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45825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45825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45825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45825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45825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45825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45825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45825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45825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45825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45825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45825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45825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45825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45825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45825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45825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45825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45825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45825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45825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45825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45825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45825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45825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45825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45825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45825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45825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45825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45825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45825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45825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45825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45825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45825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45825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45825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45825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45825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45825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45825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45825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45825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45825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45825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45825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45825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45825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45825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45825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45825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45825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45825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45825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45825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45825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45825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45825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45825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45825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45825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45825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45825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45825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45825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45825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45825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45825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45825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45825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45825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45825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45825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45825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45825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45825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45825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45825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45825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45825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45825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45825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45825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45825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45825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45825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45825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45825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45825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45825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45825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45825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45825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45825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45825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45825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45825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45825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45825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45825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45825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45825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45825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45825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45825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45825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45825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45825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45825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45825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45825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45825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45825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45825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45825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45825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45825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45825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45825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45825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45825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45825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45825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45825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45825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45825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45825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45825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45825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45825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45825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45825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45825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45825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45825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45825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45825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45825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45825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45825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45825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45825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45825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45825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45825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45825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45825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45825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45825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45825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45825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45825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45825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45825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45825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45825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45825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45825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45825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45825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45825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45825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45825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45825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45825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45825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45825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45825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45825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45825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45825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45825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45825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45825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45825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45825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45825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45825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45825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45825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45825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45825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45825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45825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45825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45825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45825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45825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45825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45825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45825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45825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45825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45825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45825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45825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45825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45825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45825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45825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45825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45825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45825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45825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45825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45825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45825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45825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45825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45825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45825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45825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45825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45825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45825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45825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45825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45825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45825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45825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45825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45825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45825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45825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45825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45825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45825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45825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45825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45825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45825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45825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45825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45825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45825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45825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45825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45825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45825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45825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45825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45825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45825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45825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45825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45825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45825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45825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45825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45825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45825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45825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45825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45825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45825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45825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45825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45825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45825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45825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45825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45825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45825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45825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45825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45825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45825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45825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45825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45825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45825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45825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45825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45825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45825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45825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45825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45825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45825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45825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45825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45825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45825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45825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45825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45825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45825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45825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45825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45825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45825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45825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45825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45825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45825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45825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45825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45825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45825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45825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45825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45825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45825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45825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45825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45825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45825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45825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45825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45825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45825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45825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45825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45825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45825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45825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45825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45825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45825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45825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45825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45825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45825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45825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45825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45825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45825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45825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45825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45825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45825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45825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45825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45825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45825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45825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45825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45825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45825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45825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45825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45825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45825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45825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45825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45825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45825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45825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45825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45825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45825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45825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45825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45825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45825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45825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45825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45825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45825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45825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45825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45825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45825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45825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45825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45825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45825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45825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45825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45825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45825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45825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45825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45825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45825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45825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45825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45825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45825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45825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45825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45825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45825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45825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45825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45825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45825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45825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45825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45825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45825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45825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45825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45825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45825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45825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45825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45825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45825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45825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45825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45825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45825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45825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45825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45825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45825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45825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45825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45825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45825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45825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45825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45825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45825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45825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45825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45825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45825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45825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45825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45825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45825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45825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45825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45825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45825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45825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45825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45825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45825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45825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45825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45825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45825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45825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45825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45825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45825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45825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45825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45825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45825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45825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45825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45825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45825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45825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45825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45825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45825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45825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45825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45825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45825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45825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45825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45825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45825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45825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45825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45825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45825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45825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45825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45825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45825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45825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45825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45825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45825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45825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45825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45825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45825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45825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45825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45825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45825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45825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45825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45825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45825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45825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45825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45825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45825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45825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45825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45825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45825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45825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45825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45825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45825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45825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45825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45825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45825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45825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45825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45825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45825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45825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45825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45825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45825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45825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45825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45825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45825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45825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45825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45825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45825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45825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45825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45825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45825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45825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45825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45825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45825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45825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45825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45825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45825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45825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45825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45825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45825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45825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45825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45825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45825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45825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45825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45825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45825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45825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45825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45825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45825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45825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45825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45825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45825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45825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45825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45825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45825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45825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45825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45825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45825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45825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45825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45825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45825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45825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45825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45825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45825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45825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45825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45825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45825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45825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45825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45825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45825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45825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45825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45825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45825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45825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45825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45825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45825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45825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45825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45825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45825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45825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45825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45825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45825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45825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45825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45825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45825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45825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45825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45825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45825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45825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45825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45825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45825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45825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45825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45825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45825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45825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45825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45825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45825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45825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45825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45825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45825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45825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45825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45825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45825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45825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45825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45825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45825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45825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45825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45825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45825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45825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45825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45825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45825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45825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45825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45825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45825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45825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45825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45825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45825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45825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45825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45825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45825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45825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45825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45825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45825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45825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45825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45825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45825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45825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45825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45825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45825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45825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45825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45825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45825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45825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45825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45825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45825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45825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45825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45825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45825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45825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45825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45825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45825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45825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45825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45825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45825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45825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45825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45825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45825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45825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45825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45825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45825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45825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45825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45825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45825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45825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45825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45825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45825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45825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45825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45825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45825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45825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45825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45825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45825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45825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45825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45825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45825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45825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45825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45825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45825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45825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45825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45825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45825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45825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45825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45825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45825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45825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45825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45825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45825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45825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45825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45825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45825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45825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45825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45825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45825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45825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45825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45825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45825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45825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45825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45825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45825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45825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45825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45825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45825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45825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45825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45825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45825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45825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45825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45825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45825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45825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45825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45825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45825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45825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45825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45825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45825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45825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45825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45825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45825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45825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45825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45825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45825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45825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45825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45825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45825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45825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45825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45825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45825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45825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45825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45825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45825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45825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45825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45825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45825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45825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45825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45825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45825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45825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45825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45825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45825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45825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45825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45825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45825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45825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45825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45825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45825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45825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45825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45825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45825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45825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45825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45825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45825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45825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45825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45825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45825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45825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45825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45825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45825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45825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45825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45825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45825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45825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45825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45825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45825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45825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45825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45825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45825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45825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45825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45825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45825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45825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45825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45825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45825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45825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45825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45825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45825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45825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45825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45825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45825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45825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45825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45825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45825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45825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45825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45825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45825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45825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45825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45825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45825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45825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45825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45825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45825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45825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45825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45825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45825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45825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45825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45825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45825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45825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45825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45825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45825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45825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45825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45825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45825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45825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45825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45825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45825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45825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45825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45825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45825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45825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45825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45825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45825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45825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45825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45825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45825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45825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45825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45825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45825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45825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45825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45825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45825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45825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45825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45825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45825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45825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17678-2025</t>
        </is>
      </c>
      <c r="B1472" s="1" t="n">
        <v>45758</v>
      </c>
      <c r="C1472" s="1" t="n">
        <v>45825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18445-2025</t>
        </is>
      </c>
      <c r="B1473" s="1" t="n">
        <v>45762</v>
      </c>
      <c r="C1473" s="1" t="n">
        <v>45825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18261-2025</t>
        </is>
      </c>
      <c r="B1474" s="1" t="n">
        <v>45762</v>
      </c>
      <c r="C1474" s="1" t="n">
        <v>45825</v>
      </c>
      <c r="D1474" t="inlineStr">
        <is>
          <t>GÄVLEBORGS LÄN</t>
        </is>
      </c>
      <c r="E1474" t="inlineStr">
        <is>
          <t>NORDANSTIG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18433-2025</t>
        </is>
      </c>
      <c r="B1475" s="1" t="n">
        <v>45762</v>
      </c>
      <c r="C1475" s="1" t="n">
        <v>45825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18563-2025</t>
        </is>
      </c>
      <c r="B1476" s="1" t="n">
        <v>45763</v>
      </c>
      <c r="C1476" s="1" t="n">
        <v>45825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18707-2025</t>
        </is>
      </c>
      <c r="B1477" s="1" t="n">
        <v>45763</v>
      </c>
      <c r="C1477" s="1" t="n">
        <v>45825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18525-2025</t>
        </is>
      </c>
      <c r="B1478" s="1" t="n">
        <v>45763</v>
      </c>
      <c r="C1478" s="1" t="n">
        <v>45825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18640-2025</t>
        </is>
      </c>
      <c r="B1479" s="1" t="n">
        <v>45763</v>
      </c>
      <c r="C1479" s="1" t="n">
        <v>45825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18680-2025</t>
        </is>
      </c>
      <c r="B1480" s="1" t="n">
        <v>45763</v>
      </c>
      <c r="C1480" s="1" t="n">
        <v>45825</v>
      </c>
      <c r="D1480" t="inlineStr">
        <is>
          <t>GÄVLEBORGS LÄN</t>
        </is>
      </c>
      <c r="E1480" t="inlineStr">
        <is>
          <t>NORDANSTIG</t>
        </is>
      </c>
      <c r="G1480" t="n">
        <v>9.4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18681-2025</t>
        </is>
      </c>
      <c r="B1481" s="1" t="n">
        <v>45763</v>
      </c>
      <c r="C1481" s="1" t="n">
        <v>45825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18716-2025</t>
        </is>
      </c>
      <c r="B1482" s="1" t="n">
        <v>45763</v>
      </c>
      <c r="C1482" s="1" t="n">
        <v>45825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45825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19610-2025</t>
        </is>
      </c>
      <c r="B1484" s="1" t="n">
        <v>45770</v>
      </c>
      <c r="C1484" s="1" t="n">
        <v>45825</v>
      </c>
      <c r="D1484" t="inlineStr">
        <is>
          <t>GÄVLEBORGS LÄN</t>
        </is>
      </c>
      <c r="E1484" t="inlineStr">
        <is>
          <t>NORDANSTIG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19566-2025</t>
        </is>
      </c>
      <c r="B1485" s="1" t="n">
        <v>45770</v>
      </c>
      <c r="C1485" s="1" t="n">
        <v>45825</v>
      </c>
      <c r="D1485" t="inlineStr">
        <is>
          <t>GÄVLEBORGS LÄN</t>
        </is>
      </c>
      <c r="E1485" t="inlineStr">
        <is>
          <t>NORDANSTIG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19569-2025</t>
        </is>
      </c>
      <c r="B1486" s="1" t="n">
        <v>45770</v>
      </c>
      <c r="C1486" s="1" t="n">
        <v>45825</v>
      </c>
      <c r="D1486" t="inlineStr">
        <is>
          <t>GÄVLEBORGS LÄN</t>
        </is>
      </c>
      <c r="E1486" t="inlineStr">
        <is>
          <t>NORDANSTIG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19736-2025</t>
        </is>
      </c>
      <c r="B1487" s="1" t="n">
        <v>45771</v>
      </c>
      <c r="C1487" s="1" t="n">
        <v>45825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19896-2025</t>
        </is>
      </c>
      <c r="B1488" s="1" t="n">
        <v>45771</v>
      </c>
      <c r="C1488" s="1" t="n">
        <v>45825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19839-2025</t>
        </is>
      </c>
      <c r="B1489" s="1" t="n">
        <v>45771</v>
      </c>
      <c r="C1489" s="1" t="n">
        <v>45825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20577-2025</t>
        </is>
      </c>
      <c r="B1490" s="1" t="n">
        <v>45775</v>
      </c>
      <c r="C1490" s="1" t="n">
        <v>45825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20566-2025</t>
        </is>
      </c>
      <c r="B1491" s="1" t="n">
        <v>45775</v>
      </c>
      <c r="C1491" s="1" t="n">
        <v>45825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45825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21287-2025</t>
        </is>
      </c>
      <c r="B1493" s="1" t="n">
        <v>45779</v>
      </c>
      <c r="C1493" s="1" t="n">
        <v>45825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21725-2025</t>
        </is>
      </c>
      <c r="B1494" s="1" t="n">
        <v>45783</v>
      </c>
      <c r="C1494" s="1" t="n">
        <v>45825</v>
      </c>
      <c r="D1494" t="inlineStr">
        <is>
          <t>GÄVLEBORGS LÄN</t>
        </is>
      </c>
      <c r="E1494" t="inlineStr">
        <is>
          <t>NORDANSTIG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21921-2025</t>
        </is>
      </c>
      <c r="B1495" s="1" t="n">
        <v>45784</v>
      </c>
      <c r="C1495" s="1" t="n">
        <v>45825</v>
      </c>
      <c r="D1495" t="inlineStr">
        <is>
          <t>GÄVLEBORGS LÄN</t>
        </is>
      </c>
      <c r="E1495" t="inlineStr">
        <is>
          <t>NORDANSTIG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21928-2025</t>
        </is>
      </c>
      <c r="B1496" s="1" t="n">
        <v>45784</v>
      </c>
      <c r="C1496" s="1" t="n">
        <v>45825</v>
      </c>
      <c r="D1496" t="inlineStr">
        <is>
          <t>GÄVLEBORGS LÄN</t>
        </is>
      </c>
      <c r="E1496" t="inlineStr">
        <is>
          <t>NORDANSTIG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22179-2025</t>
        </is>
      </c>
      <c r="B1497" s="1" t="n">
        <v>45785</v>
      </c>
      <c r="C1497" s="1" t="n">
        <v>45825</v>
      </c>
      <c r="D1497" t="inlineStr">
        <is>
          <t>GÄVLEBORGS LÄN</t>
        </is>
      </c>
      <c r="E1497" t="inlineStr">
        <is>
          <t>NORDANSTIG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22319-2025</t>
        </is>
      </c>
      <c r="B1498" s="1" t="n">
        <v>45786</v>
      </c>
      <c r="C1498" s="1" t="n">
        <v>45825</v>
      </c>
      <c r="D1498" t="inlineStr">
        <is>
          <t>GÄVLEBORGS LÄN</t>
        </is>
      </c>
      <c r="E1498" t="inlineStr">
        <is>
          <t>NORDANSTIG</t>
        </is>
      </c>
      <c r="F1498" t="inlineStr">
        <is>
          <t>Holmen skog AB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22310-2025</t>
        </is>
      </c>
      <c r="B1499" s="1" t="n">
        <v>45786</v>
      </c>
      <c r="C1499" s="1" t="n">
        <v>45825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27.9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22689-2025</t>
        </is>
      </c>
      <c r="B1500" s="1" t="n">
        <v>45789</v>
      </c>
      <c r="C1500" s="1" t="n">
        <v>45825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22695-2025</t>
        </is>
      </c>
      <c r="B1501" s="1" t="n">
        <v>45789</v>
      </c>
      <c r="C1501" s="1" t="n">
        <v>45825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9.6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22784-2025</t>
        </is>
      </c>
      <c r="B1502" s="1" t="n">
        <v>45789</v>
      </c>
      <c r="C1502" s="1" t="n">
        <v>45825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55.6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23072-2025</t>
        </is>
      </c>
      <c r="B1503" s="1" t="n">
        <v>45790</v>
      </c>
      <c r="C1503" s="1" t="n">
        <v>45825</v>
      </c>
      <c r="D1503" t="inlineStr">
        <is>
          <t>GÄVLEBORGS LÄN</t>
        </is>
      </c>
      <c r="E1503" t="inlineStr">
        <is>
          <t>NORDANSTIG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23154-2025</t>
        </is>
      </c>
      <c r="B1504" s="1" t="n">
        <v>45791</v>
      </c>
      <c r="C1504" s="1" t="n">
        <v>45825</v>
      </c>
      <c r="D1504" t="inlineStr">
        <is>
          <t>GÄVLEBORGS LÄN</t>
        </is>
      </c>
      <c r="E1504" t="inlineStr">
        <is>
          <t>NORDANSTIG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23333-2025</t>
        </is>
      </c>
      <c r="B1505" s="1" t="n">
        <v>45791</v>
      </c>
      <c r="C1505" s="1" t="n">
        <v>45825</v>
      </c>
      <c r="D1505" t="inlineStr">
        <is>
          <t>GÄVLEBORGS LÄN</t>
        </is>
      </c>
      <c r="E1505" t="inlineStr">
        <is>
          <t>NORDANSTIG</t>
        </is>
      </c>
      <c r="F1505" t="inlineStr">
        <is>
          <t>Holmen skog AB</t>
        </is>
      </c>
      <c r="G1505" t="n">
        <v>19.1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23119-2025</t>
        </is>
      </c>
      <c r="B1506" s="1" t="n">
        <v>45791</v>
      </c>
      <c r="C1506" s="1" t="n">
        <v>45825</v>
      </c>
      <c r="D1506" t="inlineStr">
        <is>
          <t>GÄVLEBORGS LÄN</t>
        </is>
      </c>
      <c r="E1506" t="inlineStr">
        <is>
          <t>NORDANSTIG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23207-2025</t>
        </is>
      </c>
      <c r="B1507" s="1" t="n">
        <v>45791</v>
      </c>
      <c r="C1507" s="1" t="n">
        <v>45825</v>
      </c>
      <c r="D1507" t="inlineStr">
        <is>
          <t>GÄVLEBORGS LÄN</t>
        </is>
      </c>
      <c r="E1507" t="inlineStr">
        <is>
          <t>NORDANSTIG</t>
        </is>
      </c>
      <c r="F1507" t="inlineStr">
        <is>
          <t>Holmen skog AB</t>
        </is>
      </c>
      <c r="G1507" t="n">
        <v>13.8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23122-2025</t>
        </is>
      </c>
      <c r="B1508" s="1" t="n">
        <v>45791</v>
      </c>
      <c r="C1508" s="1" t="n">
        <v>45825</v>
      </c>
      <c r="D1508" t="inlineStr">
        <is>
          <t>GÄVLEBORGS LÄN</t>
        </is>
      </c>
      <c r="E1508" t="inlineStr">
        <is>
          <t>NORDANSTIG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23623-2025</t>
        </is>
      </c>
      <c r="B1509" s="1" t="n">
        <v>45792</v>
      </c>
      <c r="C1509" s="1" t="n">
        <v>45825</v>
      </c>
      <c r="D1509" t="inlineStr">
        <is>
          <t>GÄVLEBORGS LÄN</t>
        </is>
      </c>
      <c r="E1509" t="inlineStr">
        <is>
          <t>NORDANSTIG</t>
        </is>
      </c>
      <c r="G1509" t="n">
        <v>12.9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23467-2025</t>
        </is>
      </c>
      <c r="B1510" s="1" t="n">
        <v>45792</v>
      </c>
      <c r="C1510" s="1" t="n">
        <v>45825</v>
      </c>
      <c r="D1510" t="inlineStr">
        <is>
          <t>GÄVLEBORGS LÄN</t>
        </is>
      </c>
      <c r="E1510" t="inlineStr">
        <is>
          <t>NORDANSTIG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23788-2025</t>
        </is>
      </c>
      <c r="B1511" s="1" t="n">
        <v>45793</v>
      </c>
      <c r="C1511" s="1" t="n">
        <v>45825</v>
      </c>
      <c r="D1511" t="inlineStr">
        <is>
          <t>GÄVLEBORGS LÄN</t>
        </is>
      </c>
      <c r="E1511" t="inlineStr">
        <is>
          <t>NORDANSTIG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23791-2025</t>
        </is>
      </c>
      <c r="B1512" s="1" t="n">
        <v>45793</v>
      </c>
      <c r="C1512" s="1" t="n">
        <v>45825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23993-2025</t>
        </is>
      </c>
      <c r="B1513" s="1" t="n">
        <v>45796</v>
      </c>
      <c r="C1513" s="1" t="n">
        <v>45825</v>
      </c>
      <c r="D1513" t="inlineStr">
        <is>
          <t>GÄVLEBORGS LÄN</t>
        </is>
      </c>
      <c r="E1513" t="inlineStr">
        <is>
          <t>NORDANSTIG</t>
        </is>
      </c>
      <c r="F1513" t="inlineStr">
        <is>
          <t>Holmen skog AB</t>
        </is>
      </c>
      <c r="G1513" t="n">
        <v>41.3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24101-2025</t>
        </is>
      </c>
      <c r="B1514" s="1" t="n">
        <v>45796</v>
      </c>
      <c r="C1514" s="1" t="n">
        <v>45825</v>
      </c>
      <c r="D1514" t="inlineStr">
        <is>
          <t>GÄVLEBORGS LÄN</t>
        </is>
      </c>
      <c r="E1514" t="inlineStr">
        <is>
          <t>NORDANSTIG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24938-2025</t>
        </is>
      </c>
      <c r="B1515" s="1" t="n">
        <v>45799</v>
      </c>
      <c r="C1515" s="1" t="n">
        <v>45825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30.1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25068-2025</t>
        </is>
      </c>
      <c r="B1516" s="1" t="n">
        <v>45799</v>
      </c>
      <c r="C1516" s="1" t="n">
        <v>45825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16.7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25080-2025</t>
        </is>
      </c>
      <c r="B1517" s="1" t="n">
        <v>45799</v>
      </c>
      <c r="C1517" s="1" t="n">
        <v>45825</v>
      </c>
      <c r="D1517" t="inlineStr">
        <is>
          <t>GÄVLEBORGS LÄN</t>
        </is>
      </c>
      <c r="E1517" t="inlineStr">
        <is>
          <t>NORDANSTIG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24758-2025</t>
        </is>
      </c>
      <c r="B1518" s="1" t="n">
        <v>45799</v>
      </c>
      <c r="C1518" s="1" t="n">
        <v>45825</v>
      </c>
      <c r="D1518" t="inlineStr">
        <is>
          <t>GÄVLEBORGS LÄN</t>
        </is>
      </c>
      <c r="E1518" t="inlineStr">
        <is>
          <t>NORDANSTIG</t>
        </is>
      </c>
      <c r="F1518" t="inlineStr">
        <is>
          <t>Holmen skog AB</t>
        </is>
      </c>
      <c r="G1518" t="n">
        <v>23.2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  <c r="U1518">
        <f>HYPERLINK("https://klasma.github.io/Logging_212132/knärot/A 24758-2025 karta knärot.png", "A 24758-2025")</f>
        <v/>
      </c>
      <c r="V1518">
        <f>HYPERLINK("https://klasma.github.io/Logging_212132/klagomål/A 24758-2025 FSC-klagomål.docx", "A 24758-2025")</f>
        <v/>
      </c>
      <c r="W1518">
        <f>HYPERLINK("https://klasma.github.io/Logging_212132/klagomålsmail/A 24758-2025 FSC-klagomål mail.docx", "A 24758-2025")</f>
        <v/>
      </c>
      <c r="X1518">
        <f>HYPERLINK("https://klasma.github.io/Logging_212132/tillsyn/A 24758-2025 tillsynsbegäran.docx", "A 24758-2025")</f>
        <v/>
      </c>
      <c r="Y1518">
        <f>HYPERLINK("https://klasma.github.io/Logging_212132/tillsynsmail/A 24758-2025 tillsynsbegäran mail.docx", "A 24758-2025")</f>
        <v/>
      </c>
    </row>
    <row r="1519" ht="15" customHeight="1">
      <c r="A1519" t="inlineStr">
        <is>
          <t>A 25468-2025</t>
        </is>
      </c>
      <c r="B1519" s="1" t="n">
        <v>45802</v>
      </c>
      <c r="C1519" s="1" t="n">
        <v>45825</v>
      </c>
      <c r="D1519" t="inlineStr">
        <is>
          <t>GÄVLEBORGS LÄN</t>
        </is>
      </c>
      <c r="E1519" t="inlineStr">
        <is>
          <t>NORDANSTIG</t>
        </is>
      </c>
      <c r="F1519" t="inlineStr">
        <is>
          <t>Holmen skog AB</t>
        </is>
      </c>
      <c r="G1519" t="n">
        <v>5.5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25469-2025</t>
        </is>
      </c>
      <c r="B1520" s="1" t="n">
        <v>45802</v>
      </c>
      <c r="C1520" s="1" t="n">
        <v>45825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25467-2025</t>
        </is>
      </c>
      <c r="B1521" s="1" t="n">
        <v>45802</v>
      </c>
      <c r="C1521" s="1" t="n">
        <v>45825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25724-2025</t>
        </is>
      </c>
      <c r="B1522" s="1" t="n">
        <v>45803</v>
      </c>
      <c r="C1522" s="1" t="n">
        <v>45825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26120-2025</t>
        </is>
      </c>
      <c r="B1523" s="1" t="n">
        <v>45805</v>
      </c>
      <c r="C1523" s="1" t="n">
        <v>45825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26636-2025</t>
        </is>
      </c>
      <c r="B1524" s="1" t="n">
        <v>45810</v>
      </c>
      <c r="C1524" s="1" t="n">
        <v>45825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42.8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27224-2025</t>
        </is>
      </c>
      <c r="B1525" s="1" t="n">
        <v>45812</v>
      </c>
      <c r="C1525" s="1" t="n">
        <v>45825</v>
      </c>
      <c r="D1525" t="inlineStr">
        <is>
          <t>GÄVLEBORGS LÄN</t>
        </is>
      </c>
      <c r="E1525" t="inlineStr">
        <is>
          <t>NORDANSTIG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27203-2025</t>
        </is>
      </c>
      <c r="B1526" s="1" t="n">
        <v>45812</v>
      </c>
      <c r="C1526" s="1" t="n">
        <v>45825</v>
      </c>
      <c r="D1526" t="inlineStr">
        <is>
          <t>GÄVLEBORGS LÄN</t>
        </is>
      </c>
      <c r="E1526" t="inlineStr">
        <is>
          <t>NORDANSTIG</t>
        </is>
      </c>
      <c r="F1526" t="inlineStr">
        <is>
          <t>Holmen skog AB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27447-2025</t>
        </is>
      </c>
      <c r="B1527" s="1" t="n">
        <v>45813</v>
      </c>
      <c r="C1527" s="1" t="n">
        <v>45825</v>
      </c>
      <c r="D1527" t="inlineStr">
        <is>
          <t>GÄVLEBORGS LÄN</t>
        </is>
      </c>
      <c r="E1527" t="inlineStr">
        <is>
          <t>NORDANSTIG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27841-2025</t>
        </is>
      </c>
      <c r="B1528" s="1" t="n">
        <v>45817</v>
      </c>
      <c r="C1528" s="1" t="n">
        <v>45825</v>
      </c>
      <c r="D1528" t="inlineStr">
        <is>
          <t>GÄVLEBORGS LÄN</t>
        </is>
      </c>
      <c r="E1528" t="inlineStr">
        <is>
          <t>NORDANSTIG</t>
        </is>
      </c>
      <c r="F1528" t="inlineStr">
        <is>
          <t>Holmen skog AB</t>
        </is>
      </c>
      <c r="G1528" t="n">
        <v>14.2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27894-2025</t>
        </is>
      </c>
      <c r="B1529" s="1" t="n">
        <v>45817</v>
      </c>
      <c r="C1529" s="1" t="n">
        <v>45825</v>
      </c>
      <c r="D1529" t="inlineStr">
        <is>
          <t>GÄVLEBORGS LÄN</t>
        </is>
      </c>
      <c r="E1529" t="inlineStr">
        <is>
          <t>NORDANSTIG</t>
        </is>
      </c>
      <c r="F1529" t="inlineStr">
        <is>
          <t>Holmen skog AB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27804-2025</t>
        </is>
      </c>
      <c r="B1530" s="1" t="n">
        <v>45817</v>
      </c>
      <c r="C1530" s="1" t="n">
        <v>45825</v>
      </c>
      <c r="D1530" t="inlineStr">
        <is>
          <t>GÄVLEBORGS LÄN</t>
        </is>
      </c>
      <c r="E1530" t="inlineStr">
        <is>
          <t>NORDANSTIG</t>
        </is>
      </c>
      <c r="F1530" t="inlineStr">
        <is>
          <t>Holmen skog AB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28237-2025</t>
        </is>
      </c>
      <c r="B1531" s="1" t="n">
        <v>45818</v>
      </c>
      <c r="C1531" s="1" t="n">
        <v>45825</v>
      </c>
      <c r="D1531" t="inlineStr">
        <is>
          <t>GÄVLEBORGS LÄN</t>
        </is>
      </c>
      <c r="E1531" t="inlineStr">
        <is>
          <t>NORDANSTIG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28238-2025</t>
        </is>
      </c>
      <c r="B1532" s="1" t="n">
        <v>45818</v>
      </c>
      <c r="C1532" s="1" t="n">
        <v>45825</v>
      </c>
      <c r="D1532" t="inlineStr">
        <is>
          <t>GÄVLEBORGS LÄN</t>
        </is>
      </c>
      <c r="E1532" t="inlineStr">
        <is>
          <t>NORDANSTIG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28241-2025</t>
        </is>
      </c>
      <c r="B1533" s="1" t="n">
        <v>45818</v>
      </c>
      <c r="C1533" s="1" t="n">
        <v>45825</v>
      </c>
      <c r="D1533" t="inlineStr">
        <is>
          <t>GÄVLEBORGS LÄN</t>
        </is>
      </c>
      <c r="E1533" t="inlineStr">
        <is>
          <t>NORDANSTIG</t>
        </is>
      </c>
      <c r="G1533" t="n">
        <v>9.800000000000001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28236-2025</t>
        </is>
      </c>
      <c r="B1534" s="1" t="n">
        <v>45818</v>
      </c>
      <c r="C1534" s="1" t="n">
        <v>45825</v>
      </c>
      <c r="D1534" t="inlineStr">
        <is>
          <t>GÄVLEBORGS LÄN</t>
        </is>
      </c>
      <c r="E1534" t="inlineStr">
        <is>
          <t>NORDANSTIG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28244-2025</t>
        </is>
      </c>
      <c r="B1535" s="1" t="n">
        <v>45818</v>
      </c>
      <c r="C1535" s="1" t="n">
        <v>45825</v>
      </c>
      <c r="D1535" t="inlineStr">
        <is>
          <t>GÄVLEBORGS LÄN</t>
        </is>
      </c>
      <c r="E1535" t="inlineStr">
        <is>
          <t>NORDANSTIG</t>
        </is>
      </c>
      <c r="G1535" t="n">
        <v>5.8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28245-2025</t>
        </is>
      </c>
      <c r="B1536" s="1" t="n">
        <v>45818</v>
      </c>
      <c r="C1536" s="1" t="n">
        <v>45825</v>
      </c>
      <c r="D1536" t="inlineStr">
        <is>
          <t>GÄVLEBORGS LÄN</t>
        </is>
      </c>
      <c r="E1536" t="inlineStr">
        <is>
          <t>NORDANSTIG</t>
        </is>
      </c>
      <c r="G1536" t="n">
        <v>5.6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29275-2025</t>
        </is>
      </c>
      <c r="B1537" s="1" t="n">
        <v>45824</v>
      </c>
      <c r="C1537" s="1" t="n">
        <v>45825</v>
      </c>
      <c r="D1537" t="inlineStr">
        <is>
          <t>GÄVLEBORGS LÄN</t>
        </is>
      </c>
      <c r="E1537" t="inlineStr">
        <is>
          <t>NORDANSTIG</t>
        </is>
      </c>
      <c r="F1537" t="inlineStr">
        <is>
          <t>Holmen skog AB</t>
        </is>
      </c>
      <c r="G1537" t="n">
        <v>5.3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>
      <c r="A1538" t="inlineStr">
        <is>
          <t>A 29401-2025</t>
        </is>
      </c>
      <c r="B1538" s="1" t="n">
        <v>45824</v>
      </c>
      <c r="C1538" s="1" t="n">
        <v>45825</v>
      </c>
      <c r="D1538" t="inlineStr">
        <is>
          <t>GÄVLEBORGS LÄN</t>
        </is>
      </c>
      <c r="E1538" t="inlineStr">
        <is>
          <t>NORDANSTIG</t>
        </is>
      </c>
      <c r="F1538" t="inlineStr">
        <is>
          <t>Holmen skog AB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2025-06-17T18:39:47Z</dcterms:created>
  <dcterms:modified xmlns:dcterms="http://purl.org/dc/terms/" xmlns:xsi="http://www.w3.org/2001/XMLSchema-instance" xsi:type="dcterms:W3CDTF">2025-06-17T18:39:49Z</dcterms:modified>
</cp:coreProperties>
</file>