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46313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46313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46313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46313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46313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46313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46313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46313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46313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46313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46313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46313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46313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46313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46313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46313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46313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46313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46313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46313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46313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46313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46313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46313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46313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46313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46313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46313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46313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46313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46313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46313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46313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46313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46313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46313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46313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46313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3692-2022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44586</v>
      </c>
      <c r="E61" s="1" t="n">
        <v>46313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HYPERLINK("https://klasma.github.io/Logging_2132/artfynd/A 3692-2022 artfynd.xlsx", "A 3692-2022")</f>
        <v/>
      </c>
      <c r="X61">
        <f>HYPERLINK("https://klasma.github.io/Logging_2132/kartor/A 3692-2022 karta.png", "A 3692-2022")</f>
        <v/>
      </c>
      <c r="Y61">
        <f>HYPERLINK("https://klasma.github.io/Logging_2132/kartor_geotiff/A 3692-2022 georefererad karta.tif", "A 3692-2022")</f>
        <v/>
      </c>
      <c r="AA61">
        <f>HYPERLINK("https://klasma.github.io/Logging_2132/klagomål/A 3692-2022 FSC-klagomål.docx", "A 3692-2022")</f>
        <v/>
      </c>
      <c r="AB61">
        <f>HYPERLINK("https://klasma.github.io/Logging_2132/klagomålsmail/A 3692-2022 FSC-klagomål mail.docx", "A 3692-2022")</f>
        <v/>
      </c>
      <c r="AC61">
        <f>HYPERLINK("https://klasma.github.io/Logging_2132/tillsyn/A 3692-2022 tillsynsbegäran.docx", "A 3692-2022")</f>
        <v/>
      </c>
      <c r="AD61">
        <f>HYPERLINK("https://klasma.github.io/Logging_2132/tillsynsmail/A 3692-2022 tillsynsbegäran mail.docx", "A 3692-2022")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46313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HYPERLINK("https://klasma.github.io/Logging_2132/artfynd/A 377-2024 artfynd.xlsx", "A 377-2024")</f>
        <v/>
      </c>
      <c r="X62">
        <f>HYPERLINK("https://klasma.github.io/Logging_2132/kartor/A 377-2024 karta.png", "A 377-2024")</f>
        <v/>
      </c>
      <c r="Y62">
        <f>HYPERLINK("https://klasma.github.io/Logging_2132/kartor_geotiff/A 377-2024 georefererad karta.tif", "A 377-2024")</f>
        <v/>
      </c>
      <c r="AA62">
        <f>HYPERLINK("https://klasma.github.io/Logging_2132/klagomål/A 377-2024 FSC-klagomål.docx", "A 377-2024")</f>
        <v/>
      </c>
      <c r="AB62">
        <f>HYPERLINK("https://klasma.github.io/Logging_2132/klagomålsmail/A 377-2024 FSC-klagomål mail.docx", "A 377-2024")</f>
        <v/>
      </c>
      <c r="AC62">
        <f>HYPERLINK("https://klasma.github.io/Logging_2132/tillsyn/A 377-2024 tillsynsbegäran.docx", "A 377-2024")</f>
        <v/>
      </c>
      <c r="AD62">
        <f>HYPERLINK("https://klasma.github.io/Logging_2132/tillsynsmail/A 377-2024 tillsynsbegäran mail.docx", "A 377-2024")</f>
        <v/>
      </c>
      <c r="AE62">
        <f>HYPERLINK("https://klasma.github.io/Logging_2132/fåglar/A 377-2024 prioriterade fågelarter.docx", "A 377-2024")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46313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46313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46313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11895-2026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46313</v>
      </c>
      <c r="F66" t="inlineStr">
        <is>
          <t>GÄVLEBORGS LÄN</t>
        </is>
      </c>
      <c r="G66" t="inlineStr">
        <is>
          <t>NORDANSTIG</t>
        </is>
      </c>
      <c r="I66" t="n">
        <v>21.2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Sötgräs</t>
        </is>
      </c>
      <c r="W66">
        <f>HYPERLINK("https://klasma.github.io/Logging_2132/artfynd/A 11895-2026 artfynd.xlsx", "A 11895-2026")</f>
        <v/>
      </c>
      <c r="X66">
        <f>HYPERLINK("https://klasma.github.io/Logging_2132/kartor/A 11895-2026 karta.png", "A 11895-2026")</f>
        <v/>
      </c>
      <c r="Y66">
        <f>HYPERLINK("https://klasma.github.io/Logging_2132/kartor_geotiff/A 11895-2026 georefererad karta.tif", "A 11895-2026")</f>
        <v/>
      </c>
      <c r="AA66">
        <f>HYPERLINK("https://klasma.github.io/Logging_2132/klagomål/A 11895-2026 FSC-klagomål.docx", "A 11895-2026")</f>
        <v/>
      </c>
      <c r="AB66">
        <f>HYPERLINK("https://klasma.github.io/Logging_2132/klagomålsmail/A 11895-2026 FSC-klagomål mail.docx", "A 11895-2026")</f>
        <v/>
      </c>
      <c r="AC66">
        <f>HYPERLINK("https://klasma.github.io/Logging_2132/tillsyn/A 11895-2026 tillsynsbegäran.docx", "A 11895-2026")</f>
        <v/>
      </c>
      <c r="AD66">
        <f>HYPERLINK("https://klasma.github.io/Logging_2132/tillsynsmail/A 11895-2026 tillsynsbegäran mail.docx", "A 11895-2026")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46313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46313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46313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46313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46313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46313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46313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46313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46313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46313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46313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46313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46313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46313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46313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46313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46313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46313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46313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46313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46313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46313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46313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46313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46313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46313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46313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46313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46313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46313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46313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46313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46313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46313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46313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46313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46313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46313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46313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46313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46313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46313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46313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46313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46313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46313</v>
      </c>
      <c r="F123" t="inlineStr">
        <is>
          <t>GÄVLEBORGS LÄN</t>
        </is>
      </c>
      <c r="G123" t="inlineStr">
        <is>
          <t>NORDANSTIG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46313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46313</v>
      </c>
      <c r="F125" t="inlineStr">
        <is>
          <t>GÄVLEBORGS LÄN</t>
        </is>
      </c>
      <c r="G125" t="inlineStr">
        <is>
          <t>NORDANSTIG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46313</v>
      </c>
      <c r="F126" t="inlineStr">
        <is>
          <t>GÄVLEBORGS LÄN</t>
        </is>
      </c>
      <c r="G126" t="inlineStr">
        <is>
          <t>NORDANSTIG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46313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46313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46313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46313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46313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46313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46313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46313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46313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69127-2021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46313</v>
      </c>
      <c r="F137" t="inlineStr">
        <is>
          <t>GÄVLEBORGS LÄN</t>
        </is>
      </c>
      <c r="G137" t="inlineStr">
        <is>
          <t>NORDANSTIG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46313</v>
      </c>
      <c r="F138" t="inlineStr">
        <is>
          <t>GÄVLEBORGS LÄN</t>
        </is>
      </c>
      <c r="G138" t="inlineStr">
        <is>
          <t>NORDANSTIG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46313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46313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46313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46313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46313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46313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46313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46313</v>
      </c>
      <c r="F146" t="inlineStr">
        <is>
          <t>GÄVLEBORGS LÄN</t>
        </is>
      </c>
      <c r="G146" t="inlineStr">
        <is>
          <t>NORDANSTIG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46313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46313</v>
      </c>
      <c r="F148" t="inlineStr">
        <is>
          <t>GÄVLEBORGS LÄN</t>
        </is>
      </c>
      <c r="G148" t="inlineStr">
        <is>
          <t>NORDANSTIG</t>
        </is>
      </c>
      <c r="H148" t="inlineStr">
        <is>
          <t>SCA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46313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46313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46313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45289</v>
      </c>
      <c r="E152" s="1" t="n">
        <v>46313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46313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46313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46313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46313</v>
      </c>
      <c r="F156" t="inlineStr">
        <is>
          <t>GÄVLEBORGS LÄN</t>
        </is>
      </c>
      <c r="G156" t="inlineStr">
        <is>
          <t>NORDANSTIG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46313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46313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46313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46313</v>
      </c>
      <c r="F160" t="inlineStr">
        <is>
          <t>GÄVLEBORGS LÄN</t>
        </is>
      </c>
      <c r="G160" t="inlineStr">
        <is>
          <t>NORDANSTIG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46313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46313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46313</v>
      </c>
      <c r="F163" t="inlineStr">
        <is>
          <t>GÄVLEBORGS LÄN</t>
        </is>
      </c>
      <c r="G163" t="inlineStr">
        <is>
          <t>NORDANSTIG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46313</v>
      </c>
      <c r="F164" t="inlineStr">
        <is>
          <t>GÄVLEBORGS LÄN</t>
        </is>
      </c>
      <c r="G164" t="inlineStr">
        <is>
          <t>NORDANSTIG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46313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46313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46313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46313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46313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46313</v>
      </c>
      <c r="F170" t="inlineStr">
        <is>
          <t>GÄVLEBORGS LÄN</t>
        </is>
      </c>
      <c r="G170" t="inlineStr">
        <is>
          <t>NORDANSTIG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46313</v>
      </c>
      <c r="F171" t="inlineStr">
        <is>
          <t>GÄVLEBORGS LÄN</t>
        </is>
      </c>
      <c r="G171" t="inlineStr">
        <is>
          <t>NORDANSTIG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46313</v>
      </c>
      <c r="F172" t="inlineStr">
        <is>
          <t>GÄVLEBORGS LÄN</t>
        </is>
      </c>
      <c r="G172" t="inlineStr">
        <is>
          <t>NORDANSTIG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46313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46313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46313</v>
      </c>
      <c r="F175" t="inlineStr">
        <is>
          <t>GÄVLEBORGS LÄN</t>
        </is>
      </c>
      <c r="G175" t="inlineStr">
        <is>
          <t>NORDANSTIG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46313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46313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62.5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45345</v>
      </c>
      <c r="E178" s="1" t="n">
        <v>46313</v>
      </c>
      <c r="F178" t="inlineStr">
        <is>
          <t>GÄVLEBORGS LÄN</t>
        </is>
      </c>
      <c r="G178" t="inlineStr">
        <is>
          <t>NORDANSTIG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46313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46313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46313</v>
      </c>
      <c r="F181" t="inlineStr">
        <is>
          <t>GÄVLEBORGS LÄN</t>
        </is>
      </c>
      <c r="G181" t="inlineStr">
        <is>
          <t>NORDANSTIG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45762</v>
      </c>
      <c r="E182" s="1" t="n">
        <v>46313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46313</v>
      </c>
      <c r="F183" t="inlineStr">
        <is>
          <t>GÄVLEBORGS LÄN</t>
        </is>
      </c>
      <c r="G183" t="inlineStr">
        <is>
          <t>NORDANSTIG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46313</v>
      </c>
      <c r="F184" t="inlineStr">
        <is>
          <t>GÄVLEBORGS LÄN</t>
        </is>
      </c>
      <c r="G184" t="inlineStr">
        <is>
          <t>NORDANSTIG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46313</v>
      </c>
      <c r="F185" t="inlineStr">
        <is>
          <t>GÄVLEBORGS LÄN</t>
        </is>
      </c>
      <c r="G185" t="inlineStr">
        <is>
          <t>NORDANSTIG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46313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46313</v>
      </c>
      <c r="F187" t="inlineStr">
        <is>
          <t>GÄVLEBORGS LÄN</t>
        </is>
      </c>
      <c r="G187" t="inlineStr">
        <is>
          <t>NORDANSTIG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46313</v>
      </c>
      <c r="F188" t="inlineStr">
        <is>
          <t>GÄVLEBORGS LÄN</t>
        </is>
      </c>
      <c r="G188" t="inlineStr">
        <is>
          <t>NORDANSTIG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46313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46313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46313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46313</v>
      </c>
      <c r="F192" t="inlineStr">
        <is>
          <t>GÄVLEBORGS LÄN</t>
        </is>
      </c>
      <c r="G192" t="inlineStr">
        <is>
          <t>NORDANSTIG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46313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46313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46313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46313</v>
      </c>
      <c r="F196" t="inlineStr">
        <is>
          <t>GÄVLEBORGS LÄN</t>
        </is>
      </c>
      <c r="G196" t="inlineStr">
        <is>
          <t>NORDANSTIG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46313</v>
      </c>
      <c r="F197" t="inlineStr">
        <is>
          <t>GÄVLEBORGS LÄN</t>
        </is>
      </c>
      <c r="G197" t="inlineStr">
        <is>
          <t>NORDANSTIG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46313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46313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46313</v>
      </c>
      <c r="F200" t="inlineStr">
        <is>
          <t>GÄVLEBORGS LÄN</t>
        </is>
      </c>
      <c r="G200" t="inlineStr">
        <is>
          <t>NORDANSTIG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46313</v>
      </c>
      <c r="F201" t="inlineStr">
        <is>
          <t>GÄVLEBORGS LÄN</t>
        </is>
      </c>
      <c r="G201" t="inlineStr">
        <is>
          <t>NORDANSTIG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46313</v>
      </c>
      <c r="F202" t="inlineStr">
        <is>
          <t>GÄVLEBORGS LÄN</t>
        </is>
      </c>
      <c r="G202" t="inlineStr">
        <is>
          <t>NORDANSTIG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46313</v>
      </c>
      <c r="F203" t="inlineStr">
        <is>
          <t>GÄVLEBORGS LÄN</t>
        </is>
      </c>
      <c r="G203" t="inlineStr">
        <is>
          <t>NORDANSTIG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45511</v>
      </c>
      <c r="E204" s="1" t="n">
        <v>46313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45646</v>
      </c>
      <c r="E205" s="1" t="n">
        <v>46313</v>
      </c>
      <c r="F205" t="inlineStr">
        <is>
          <t>GÄVLEBORGS LÄN</t>
        </is>
      </c>
      <c r="G205" t="inlineStr">
        <is>
          <t>NORDANSTIG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46313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46313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46313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46313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45037</v>
      </c>
      <c r="E210" s="1" t="n">
        <v>46313</v>
      </c>
      <c r="F210" t="inlineStr">
        <is>
          <t>GÄVLEBORGS LÄN</t>
        </is>
      </c>
      <c r="G210" t="inlineStr">
        <is>
          <t>NORDANSTIG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46313</v>
      </c>
      <c r="F211" t="inlineStr">
        <is>
          <t>GÄVLEBORGS LÄN</t>
        </is>
      </c>
      <c r="G211" t="inlineStr">
        <is>
          <t>NORDANSTIG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46313</v>
      </c>
      <c r="F212" t="inlineStr">
        <is>
          <t>GÄVLEBORGS LÄN</t>
        </is>
      </c>
      <c r="G212" t="inlineStr">
        <is>
          <t>NORDANSTIG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46313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46313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46313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74460-2021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44560</v>
      </c>
      <c r="E216" s="1" t="n">
        <v>46313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46313</v>
      </c>
      <c r="F217" t="inlineStr">
        <is>
          <t>GÄVLEBORGS LÄN</t>
        </is>
      </c>
      <c r="G217" t="inlineStr">
        <is>
          <t>NORDANSTIG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46313</v>
      </c>
      <c r="F218" t="inlineStr">
        <is>
          <t>GÄVLEBORGS LÄN</t>
        </is>
      </c>
      <c r="G218" t="inlineStr">
        <is>
          <t>NORDANSTIG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46313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55948-2024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45623</v>
      </c>
      <c r="E220" s="1" t="n">
        <v>46313</v>
      </c>
      <c r="F220" t="inlineStr">
        <is>
          <t>GÄVLEBORGS LÄN</t>
        </is>
      </c>
      <c r="G220" t="inlineStr">
        <is>
          <t>NORDANSTIG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45425</v>
      </c>
      <c r="E221" s="1" t="n">
        <v>46313</v>
      </c>
      <c r="F221" t="inlineStr">
        <is>
          <t>GÄVLEBORGS LÄN</t>
        </is>
      </c>
      <c r="G221" t="inlineStr">
        <is>
          <t>NORDANSTIG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46313</v>
      </c>
      <c r="F222" t="inlineStr">
        <is>
          <t>GÄVLEBORGS LÄN</t>
        </is>
      </c>
      <c r="G222" t="inlineStr">
        <is>
          <t>NORDANSTIG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46313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46313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46313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46313</v>
      </c>
      <c r="F226" t="inlineStr">
        <is>
          <t>GÄVLEBORGS LÄN</t>
        </is>
      </c>
      <c r="G226" t="inlineStr">
        <is>
          <t>NORDANSTIG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46313</v>
      </c>
      <c r="F227" t="inlineStr">
        <is>
          <t>GÄVLEBORGS LÄN</t>
        </is>
      </c>
      <c r="G227" t="inlineStr">
        <is>
          <t>NORDANSTIG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45642</v>
      </c>
      <c r="E228" s="1" t="n">
        <v>46313</v>
      </c>
      <c r="F228" t="inlineStr">
        <is>
          <t>GÄVLEBORGS LÄN</t>
        </is>
      </c>
      <c r="G228" t="inlineStr">
        <is>
          <t>NORDANSTIG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44781</v>
      </c>
      <c r="E229" s="1" t="n">
        <v>46313</v>
      </c>
      <c r="F229" t="inlineStr">
        <is>
          <t>GÄVLEBORGS LÄN</t>
        </is>
      </c>
      <c r="G229" t="inlineStr">
        <is>
          <t>NORDANSTIG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46313</v>
      </c>
      <c r="F230" t="inlineStr">
        <is>
          <t>GÄVLEBORGS LÄN</t>
        </is>
      </c>
      <c r="G230" t="inlineStr">
        <is>
          <t>NORDANSTIG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44608</v>
      </c>
      <c r="E231" s="1" t="n">
        <v>46313</v>
      </c>
      <c r="F231" t="inlineStr">
        <is>
          <t>GÄVLEBORGS LÄN</t>
        </is>
      </c>
      <c r="G231" t="inlineStr">
        <is>
          <t>NORDANSTIG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46313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46313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46313</v>
      </c>
      <c r="F234" t="inlineStr">
        <is>
          <t>GÄVLEBORGS LÄN</t>
        </is>
      </c>
      <c r="G234" t="inlineStr">
        <is>
          <t>NORDANSTIG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46313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46313</v>
      </c>
      <c r="F236" t="inlineStr">
        <is>
          <t>GÄVLEBORGS LÄN</t>
        </is>
      </c>
      <c r="G236" t="inlineStr">
        <is>
          <t>NORDANSTIG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45216</v>
      </c>
      <c r="E237" s="1" t="n">
        <v>46313</v>
      </c>
      <c r="F237" t="inlineStr">
        <is>
          <t>GÄVLEBORGS LÄN</t>
        </is>
      </c>
      <c r="G237" t="inlineStr">
        <is>
          <t>NORDANSTIG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44768</v>
      </c>
      <c r="E238" s="1" t="n">
        <v>46313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46313</v>
      </c>
      <c r="F239" t="inlineStr">
        <is>
          <t>GÄVLEBORGS LÄN</t>
        </is>
      </c>
      <c r="G239" t="inlineStr">
        <is>
          <t>NORDANSTIG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45089</v>
      </c>
      <c r="E240" s="1" t="n">
        <v>46313</v>
      </c>
      <c r="F240" t="inlineStr">
        <is>
          <t>GÄVLEBORGS LÄN</t>
        </is>
      </c>
      <c r="G240" t="inlineStr">
        <is>
          <t>NORDANSTIG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46313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46313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46313</v>
      </c>
      <c r="F243" t="inlineStr">
        <is>
          <t>GÄVLEBORGS LÄN</t>
        </is>
      </c>
      <c r="G243" t="inlineStr">
        <is>
          <t>NORDANSTIG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46313</v>
      </c>
      <c r="F244" t="inlineStr">
        <is>
          <t>GÄVLEBORGS LÄN</t>
        </is>
      </c>
      <c r="G244" t="inlineStr">
        <is>
          <t>NORDANSTIG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46313</v>
      </c>
      <c r="F245" t="inlineStr">
        <is>
          <t>GÄVLEBORGS LÄN</t>
        </is>
      </c>
      <c r="G245" t="inlineStr">
        <is>
          <t>NORDANSTIG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46313</v>
      </c>
      <c r="F246" t="inlineStr">
        <is>
          <t>GÄVLEBORGS LÄN</t>
        </is>
      </c>
      <c r="G246" t="inlineStr">
        <is>
          <t>NORDANSTIG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46313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46313</v>
      </c>
      <c r="F248" t="inlineStr">
        <is>
          <t>GÄVLEBORGS LÄN</t>
        </is>
      </c>
      <c r="G248" t="inlineStr">
        <is>
          <t>NORDANSTIG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46019</v>
      </c>
      <c r="E249" s="1" t="n">
        <v>46313</v>
      </c>
      <c r="F249" t="inlineStr">
        <is>
          <t>GÄVLEBORGS LÄN</t>
        </is>
      </c>
      <c r="G249" t="inlineStr">
        <is>
          <t>NORDANSTIG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46033</v>
      </c>
      <c r="E250" s="1" t="n">
        <v>46313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38610-2025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45884</v>
      </c>
      <c r="E251" s="1" t="n">
        <v>46313</v>
      </c>
      <c r="F251" t="inlineStr">
        <is>
          <t>GÄVLEBORGS LÄN</t>
        </is>
      </c>
      <c r="G251" t="inlineStr">
        <is>
          <t>NORDANSTIG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46313</v>
      </c>
      <c r="F252" t="inlineStr">
        <is>
          <t>GÄVLEBORGS LÄN</t>
        </is>
      </c>
      <c r="G252" t="inlineStr">
        <is>
          <t>NORDANSTIG</t>
        </is>
      </c>
      <c r="H252" t="inlineStr">
        <is>
          <t>SCA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46313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46313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46313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46313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46313</v>
      </c>
      <c r="F257" t="inlineStr">
        <is>
          <t>GÄVLEBORGS LÄN</t>
        </is>
      </c>
      <c r="G257" t="inlineStr">
        <is>
          <t>NORDANSTIG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46313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46313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44573</v>
      </c>
      <c r="E260" s="1" t="n">
        <v>46313</v>
      </c>
      <c r="F260" t="inlineStr">
        <is>
          <t>GÄVLEBORGS LÄN</t>
        </is>
      </c>
      <c r="G260" t="inlineStr">
        <is>
          <t>NORDANSTIG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46313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45497</v>
      </c>
      <c r="E262" s="1" t="n">
        <v>46313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45223</v>
      </c>
      <c r="E263" s="1" t="n">
        <v>46313</v>
      </c>
      <c r="F263" t="inlineStr">
        <is>
          <t>GÄVLEBORGS LÄN</t>
        </is>
      </c>
      <c r="G263" t="inlineStr">
        <is>
          <t>NORDANSTIG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46313</v>
      </c>
      <c r="F264" t="inlineStr">
        <is>
          <t>GÄVLEBORGS LÄN</t>
        </is>
      </c>
      <c r="G264" t="inlineStr">
        <is>
          <t>NORDANSTIG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46313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46313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46313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46313</v>
      </c>
      <c r="F268" t="inlineStr">
        <is>
          <t>GÄVLEBORGS LÄN</t>
        </is>
      </c>
      <c r="G268" t="inlineStr">
        <is>
          <t>NORDANSTIG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46313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46313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46313</v>
      </c>
      <c r="F271" t="inlineStr">
        <is>
          <t>GÄVLEBORGS LÄN</t>
        </is>
      </c>
      <c r="G271" t="inlineStr">
        <is>
          <t>NORDANSTIG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46313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46313</v>
      </c>
      <c r="F273" t="inlineStr">
        <is>
          <t>GÄVLEBORGS LÄN</t>
        </is>
      </c>
      <c r="G273" t="inlineStr">
        <is>
          <t>NORDANSTIG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46313</v>
      </c>
      <c r="F274" t="inlineStr">
        <is>
          <t>GÄVLEBORGS LÄN</t>
        </is>
      </c>
      <c r="G274" t="inlineStr">
        <is>
          <t>NORDANSTIG</t>
        </is>
      </c>
      <c r="I274" t="n">
        <v>26.6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46313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46313</v>
      </c>
      <c r="F276" t="inlineStr">
        <is>
          <t>GÄVLEBORGS LÄN</t>
        </is>
      </c>
      <c r="G276" t="inlineStr">
        <is>
          <t>NORDANSTIG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46313</v>
      </c>
      <c r="F277" t="inlineStr">
        <is>
          <t>GÄVLEBORGS LÄN</t>
        </is>
      </c>
      <c r="G277" t="inlineStr">
        <is>
          <t>NORDANSTIG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46313</v>
      </c>
      <c r="F278" t="inlineStr">
        <is>
          <t>GÄVLEBORGS LÄN</t>
        </is>
      </c>
      <c r="G278" t="inlineStr">
        <is>
          <t>NORDANSTIG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46313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46313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46313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46313</v>
      </c>
      <c r="F282" t="inlineStr">
        <is>
          <t>GÄVLEBORGS LÄN</t>
        </is>
      </c>
      <c r="G282" t="inlineStr">
        <is>
          <t>NORDANSTIG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46313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46313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46313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45509</v>
      </c>
      <c r="E286" s="1" t="n">
        <v>46313</v>
      </c>
      <c r="F286" t="inlineStr">
        <is>
          <t>GÄVLEBORGS LÄN</t>
        </is>
      </c>
      <c r="G286" t="inlineStr">
        <is>
          <t>NORDANSTIG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46313</v>
      </c>
      <c r="F287" t="inlineStr">
        <is>
          <t>GÄVLEBORGS LÄN</t>
        </is>
      </c>
      <c r="G287" t="inlineStr">
        <is>
          <t>NORDANSTIG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46313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46313</v>
      </c>
      <c r="F289" t="inlineStr">
        <is>
          <t>GÄVLEBORGS LÄN</t>
        </is>
      </c>
      <c r="G289" t="inlineStr">
        <is>
          <t>NORDANSTIG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46026</v>
      </c>
      <c r="E290" s="1" t="n">
        <v>46313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46313</v>
      </c>
      <c r="F291" t="inlineStr">
        <is>
          <t>GÄVLEBORGS LÄN</t>
        </is>
      </c>
      <c r="G291" t="inlineStr">
        <is>
          <t>NORDANSTIG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46313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46313</v>
      </c>
      <c r="F293" t="inlineStr">
        <is>
          <t>GÄVLEBORGS LÄN</t>
        </is>
      </c>
      <c r="G293" t="inlineStr">
        <is>
          <t>NORDANSTIG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46313</v>
      </c>
      <c r="F294" t="inlineStr">
        <is>
          <t>GÄVLEBORGS LÄN</t>
        </is>
      </c>
      <c r="G294" t="inlineStr">
        <is>
          <t>NORDANSTIG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46313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44788</v>
      </c>
      <c r="E297" s="1" t="n">
        <v>46313</v>
      </c>
      <c r="F297" t="inlineStr">
        <is>
          <t>GÄVLEBORGS LÄN</t>
        </is>
      </c>
      <c r="G297" t="inlineStr">
        <is>
          <t>NORDANSTIG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46313</v>
      </c>
      <c r="F298" t="inlineStr">
        <is>
          <t>GÄVLEBORGS LÄN</t>
        </is>
      </c>
      <c r="G298" t="inlineStr">
        <is>
          <t>NORDANSTIG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46054</v>
      </c>
      <c r="E299" s="1" t="n">
        <v>46313</v>
      </c>
      <c r="F299" t="inlineStr">
        <is>
          <t>GÄVLEBORGS LÄN</t>
        </is>
      </c>
      <c r="G299" t="inlineStr">
        <is>
          <t>NORDANSTIG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46313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46070</v>
      </c>
      <c r="E301" s="1" t="n">
        <v>46313</v>
      </c>
      <c r="F301" t="inlineStr">
        <is>
          <t>GÄVLEBORGS LÄN</t>
        </is>
      </c>
      <c r="G301" t="inlineStr">
        <is>
          <t>NORDANSTIG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46313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46313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46313</v>
      </c>
      <c r="F304" t="inlineStr">
        <is>
          <t>GÄVLEBORGS LÄN</t>
        </is>
      </c>
      <c r="G304" t="inlineStr">
        <is>
          <t>NORDANSTIG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46313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46313</v>
      </c>
      <c r="F306" t="inlineStr">
        <is>
          <t>GÄVLEBORGS LÄN</t>
        </is>
      </c>
      <c r="G306" t="inlineStr">
        <is>
          <t>NORDANSTIG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46313</v>
      </c>
      <c r="F307" t="inlineStr">
        <is>
          <t>GÄVLEBORGS LÄN</t>
        </is>
      </c>
      <c r="G307" t="inlineStr">
        <is>
          <t>NORDANSTIG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46313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55.6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46313</v>
      </c>
      <c r="F309" t="inlineStr">
        <is>
          <t>GÄVLEBORGS LÄN</t>
        </is>
      </c>
      <c r="G309" t="inlineStr">
        <is>
          <t>NORDANSTIG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46313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46313</v>
      </c>
      <c r="F311" t="inlineStr">
        <is>
          <t>GÄVLEBORGS LÄN</t>
        </is>
      </c>
      <c r="G311" t="inlineStr">
        <is>
          <t>NORDANSTIG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46313</v>
      </c>
      <c r="F312" t="inlineStr">
        <is>
          <t>GÄVLEBORGS LÄN</t>
        </is>
      </c>
      <c r="G312" t="inlineStr">
        <is>
          <t>NORDANSTIG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42930-2025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46313</v>
      </c>
      <c r="F313" t="inlineStr">
        <is>
          <t>GÄVLEBORGS LÄN</t>
        </is>
      </c>
      <c r="G313" t="inlineStr">
        <is>
          <t>NORDANSTIG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46313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46313</v>
      </c>
      <c r="F315" t="inlineStr">
        <is>
          <t>GÄVLEBORGS LÄN</t>
        </is>
      </c>
      <c r="G315" t="inlineStr">
        <is>
          <t>NORDANSTIG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46313</v>
      </c>
      <c r="F316" t="inlineStr">
        <is>
          <t>GÄVLEBORGS LÄN</t>
        </is>
      </c>
      <c r="G316" t="inlineStr">
        <is>
          <t>NORDANSTIG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46313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46313</v>
      </c>
      <c r="F318" t="inlineStr">
        <is>
          <t>GÄVLEBORGS LÄN</t>
        </is>
      </c>
      <c r="G318" t="inlineStr">
        <is>
          <t>NORDANSTIG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46313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46313</v>
      </c>
      <c r="F320" t="inlineStr">
        <is>
          <t>GÄVLEBORGS LÄN</t>
        </is>
      </c>
      <c r="G320" t="inlineStr">
        <is>
          <t>NORDANSTIG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46313</v>
      </c>
      <c r="F321" t="inlineStr">
        <is>
          <t>GÄVLEBORGS LÄN</t>
        </is>
      </c>
      <c r="G321" t="inlineStr">
        <is>
          <t>NORDANSTIG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46313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21118-2026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46146</v>
      </c>
      <c r="E323" s="1" t="n">
        <v>46313</v>
      </c>
      <c r="F323" t="inlineStr">
        <is>
          <t>GÄVLEBORGS LÄN</t>
        </is>
      </c>
      <c r="G323" t="inlineStr">
        <is>
          <t>NORDANSTIG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46313</v>
      </c>
      <c r="F324" t="inlineStr">
        <is>
          <t>GÄVLEBORGS LÄN</t>
        </is>
      </c>
      <c r="G324" t="inlineStr">
        <is>
          <t>NORDANSTIG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46313</v>
      </c>
      <c r="F325" t="inlineStr">
        <is>
          <t>GÄVLEBORGS LÄN</t>
        </is>
      </c>
      <c r="G325" t="inlineStr">
        <is>
          <t>NORDANSTIG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46313</v>
      </c>
      <c r="F326" t="inlineStr">
        <is>
          <t>GÄVLEBORGS LÄN</t>
        </is>
      </c>
      <c r="G326" t="inlineStr">
        <is>
          <t>NORDANSTIG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46313</v>
      </c>
      <c r="F327" t="inlineStr">
        <is>
          <t>GÄVLEBORGS LÄN</t>
        </is>
      </c>
      <c r="G327" t="inlineStr">
        <is>
          <t>NORDANSTIG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46313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46313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46313</v>
      </c>
      <c r="F330" t="inlineStr">
        <is>
          <t>GÄVLEBORGS LÄN</t>
        </is>
      </c>
      <c r="G330" t="inlineStr">
        <is>
          <t>NORDANSTIG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46313</v>
      </c>
      <c r="F331" t="inlineStr">
        <is>
          <t>GÄVLEBORGS LÄN</t>
        </is>
      </c>
      <c r="G331" t="inlineStr">
        <is>
          <t>NORDANSTIG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46313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46313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46313</v>
      </c>
      <c r="F334" t="inlineStr">
        <is>
          <t>GÄVLEBORGS LÄN</t>
        </is>
      </c>
      <c r="G334" t="inlineStr">
        <is>
          <t>NORDANSTIG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45918</v>
      </c>
      <c r="E335" s="1" t="n">
        <v>46313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46313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46313</v>
      </c>
      <c r="F337" t="inlineStr">
        <is>
          <t>GÄVLEBORGS LÄN</t>
        </is>
      </c>
      <c r="G337" t="inlineStr">
        <is>
          <t>NORDANSTIG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46313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46313</v>
      </c>
      <c r="F339" t="inlineStr">
        <is>
          <t>GÄVLEBORGS LÄN</t>
        </is>
      </c>
      <c r="G339" t="inlineStr">
        <is>
          <t>NORDANSTIG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46313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46313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44833</v>
      </c>
      <c r="E343" s="1" t="n">
        <v>46313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46313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46313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46313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46313</v>
      </c>
      <c r="F347" t="inlineStr">
        <is>
          <t>GÄVLEBORGS LÄN</t>
        </is>
      </c>
      <c r="G347" t="inlineStr">
        <is>
          <t>NORDANSTIG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46313</v>
      </c>
      <c r="F348" t="inlineStr">
        <is>
          <t>GÄVLEBORGS LÄN</t>
        </is>
      </c>
      <c r="G348" t="inlineStr">
        <is>
          <t>NORDANSTIG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46313</v>
      </c>
      <c r="F349" t="inlineStr">
        <is>
          <t>GÄVLEBORGS LÄN</t>
        </is>
      </c>
      <c r="G349" t="inlineStr">
        <is>
          <t>NORDANSTIG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44824</v>
      </c>
      <c r="E350" s="1" t="n">
        <v>46313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44644</v>
      </c>
      <c r="E351" s="1" t="n">
        <v>46313</v>
      </c>
      <c r="F351" t="inlineStr">
        <is>
          <t>GÄVLEBORGS LÄN</t>
        </is>
      </c>
      <c r="G351" t="inlineStr">
        <is>
          <t>NORDANSTIG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46313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46313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46313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46313</v>
      </c>
      <c r="F355" t="inlineStr">
        <is>
          <t>GÄVLEBORGS LÄN</t>
        </is>
      </c>
      <c r="G355" t="inlineStr">
        <is>
          <t>NORDANSTIG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46313</v>
      </c>
      <c r="F356" t="inlineStr">
        <is>
          <t>GÄVLEBORGS LÄN</t>
        </is>
      </c>
      <c r="G356" t="inlineStr">
        <is>
          <t>NORDANSTIG</t>
        </is>
      </c>
      <c r="I356" t="n">
        <v>26.9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46313</v>
      </c>
      <c r="F357" t="inlineStr">
        <is>
          <t>GÄVLEBORGS LÄN</t>
        </is>
      </c>
      <c r="G357" t="inlineStr">
        <is>
          <t>NORDANSTIG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48715-2025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45936</v>
      </c>
      <c r="E358" s="1" t="n">
        <v>46313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46313</v>
      </c>
      <c r="F359" t="inlineStr">
        <is>
          <t>GÄVLEBORGS LÄN</t>
        </is>
      </c>
      <c r="G359" t="inlineStr">
        <is>
          <t>NORDANSTIG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46313</v>
      </c>
      <c r="F360" t="inlineStr">
        <is>
          <t>GÄVLEBORGS LÄN</t>
        </is>
      </c>
      <c r="G360" t="inlineStr">
        <is>
          <t>NORDANSTIG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45324</v>
      </c>
      <c r="E361" s="1" t="n">
        <v>46313</v>
      </c>
      <c r="F361" t="inlineStr">
        <is>
          <t>GÄVLEBORGS LÄN</t>
        </is>
      </c>
      <c r="G361" t="inlineStr">
        <is>
          <t>NORDANSTIG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46313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46313</v>
      </c>
      <c r="F363" t="inlineStr">
        <is>
          <t>GÄVLEBORGS LÄN</t>
        </is>
      </c>
      <c r="G363" t="inlineStr">
        <is>
          <t>NORDANSTIG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46313</v>
      </c>
      <c r="F364" t="inlineStr">
        <is>
          <t>GÄVLEBORGS LÄN</t>
        </is>
      </c>
      <c r="G364" t="inlineStr">
        <is>
          <t>NORDANSTIG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46313</v>
      </c>
      <c r="F365" t="inlineStr">
        <is>
          <t>GÄVLEBORGS LÄN</t>
        </is>
      </c>
      <c r="G365" t="inlineStr">
        <is>
          <t>NORDANSTIG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46313</v>
      </c>
      <c r="F366" t="inlineStr">
        <is>
          <t>GÄVLEBORGS LÄN</t>
        </is>
      </c>
      <c r="G366" t="inlineStr">
        <is>
          <t>NORDANSTIG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46313</v>
      </c>
      <c r="F367" t="inlineStr">
        <is>
          <t>GÄVLEBORGS LÄN</t>
        </is>
      </c>
      <c r="G367" t="inlineStr">
        <is>
          <t>NORDANSTIG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46313</v>
      </c>
      <c r="F368" t="inlineStr">
        <is>
          <t>GÄVLEBORGS LÄN</t>
        </is>
      </c>
      <c r="G368" t="inlineStr">
        <is>
          <t>NORDANSTIG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46313</v>
      </c>
      <c r="F369" t="inlineStr">
        <is>
          <t>GÄVLEBORGS LÄN</t>
        </is>
      </c>
      <c r="G369" t="inlineStr">
        <is>
          <t>NORDANSTIG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46313</v>
      </c>
      <c r="F370" t="inlineStr">
        <is>
          <t>GÄVLEBORGS LÄN</t>
        </is>
      </c>
      <c r="G370" t="inlineStr">
        <is>
          <t>NORDANSTIG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46313</v>
      </c>
      <c r="F371" t="inlineStr">
        <is>
          <t>GÄVLEBORGS LÄN</t>
        </is>
      </c>
      <c r="G371" t="inlineStr">
        <is>
          <t>NORDANSTIG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46313</v>
      </c>
      <c r="F372" t="inlineStr">
        <is>
          <t>GÄVLEBORGS LÄN</t>
        </is>
      </c>
      <c r="G372" t="inlineStr">
        <is>
          <t>NORDANSTIG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46313</v>
      </c>
      <c r="F373" t="inlineStr">
        <is>
          <t>GÄVLEBORGS LÄN</t>
        </is>
      </c>
      <c r="G373" t="inlineStr">
        <is>
          <t>NORDANSTIG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46313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46313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46313</v>
      </c>
      <c r="F376" t="inlineStr">
        <is>
          <t>GÄVLEBORGS LÄN</t>
        </is>
      </c>
      <c r="G376" t="inlineStr">
        <is>
          <t>NORDANSTIG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46313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46313</v>
      </c>
      <c r="F378" t="inlineStr">
        <is>
          <t>GÄVLEBORGS LÄN</t>
        </is>
      </c>
      <c r="G378" t="inlineStr">
        <is>
          <t>NORDANSTIG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46313</v>
      </c>
      <c r="F379" t="inlineStr">
        <is>
          <t>GÄVLEBORGS LÄN</t>
        </is>
      </c>
      <c r="G379" t="inlineStr">
        <is>
          <t>NORDANSTIG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46313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46313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46313</v>
      </c>
      <c r="F382" t="inlineStr">
        <is>
          <t>GÄVLEBORGS LÄN</t>
        </is>
      </c>
      <c r="G382" t="inlineStr">
        <is>
          <t>NORDANSTIG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46313</v>
      </c>
      <c r="F383" t="inlineStr">
        <is>
          <t>GÄVLEBORGS LÄN</t>
        </is>
      </c>
      <c r="G383" t="inlineStr">
        <is>
          <t>NORDANSTIG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46313</v>
      </c>
      <c r="F384" t="inlineStr">
        <is>
          <t>GÄVLEBORGS LÄN</t>
        </is>
      </c>
      <c r="G384" t="inlineStr">
        <is>
          <t>NORDANSTIG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45947</v>
      </c>
      <c r="E385" s="1" t="n">
        <v>46313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46313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59912-2024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45641</v>
      </c>
      <c r="E387" s="1" t="n">
        <v>46313</v>
      </c>
      <c r="F387" t="inlineStr">
        <is>
          <t>GÄVLEBORGS LÄN</t>
        </is>
      </c>
      <c r="G387" t="inlineStr">
        <is>
          <t>NORDANSTIG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46313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59930-2024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45642</v>
      </c>
      <c r="E389" s="1" t="n">
        <v>46313</v>
      </c>
      <c r="F389" t="inlineStr">
        <is>
          <t>GÄVLEBORGS LÄN</t>
        </is>
      </c>
      <c r="G389" t="inlineStr">
        <is>
          <t>NORDANSTIG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45947</v>
      </c>
      <c r="E390" s="1" t="n">
        <v>46313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45947</v>
      </c>
      <c r="E391" s="1" t="n">
        <v>46313</v>
      </c>
      <c r="F391" t="inlineStr">
        <is>
          <t>GÄVLEBORGS LÄN</t>
        </is>
      </c>
      <c r="G391" t="inlineStr">
        <is>
          <t>NORDANSTIG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46313</v>
      </c>
      <c r="F392" t="inlineStr">
        <is>
          <t>GÄVLEBORGS LÄN</t>
        </is>
      </c>
      <c r="G392" t="inlineStr">
        <is>
          <t>NORDANSTIG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46313</v>
      </c>
      <c r="F393" t="inlineStr">
        <is>
          <t>GÄVLEBORGS LÄN</t>
        </is>
      </c>
      <c r="G393" t="inlineStr">
        <is>
          <t>NORDANSTIG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46313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46313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51464-2025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45950</v>
      </c>
      <c r="E396" s="1" t="n">
        <v>46313</v>
      </c>
      <c r="F396" t="inlineStr">
        <is>
          <t>GÄVLEBORGS LÄN</t>
        </is>
      </c>
      <c r="G396" t="inlineStr">
        <is>
          <t>NORDANSTIG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46026</v>
      </c>
      <c r="E397" s="1" t="n">
        <v>46313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46313</v>
      </c>
      <c r="F398" t="inlineStr">
        <is>
          <t>GÄVLEBORGS LÄN</t>
        </is>
      </c>
      <c r="G398" t="inlineStr">
        <is>
          <t>NORDANSTIG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45951</v>
      </c>
      <c r="E399" s="1" t="n">
        <v>46313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46313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46313</v>
      </c>
      <c r="F401" t="inlineStr">
        <is>
          <t>GÄVLEBORGS LÄN</t>
        </is>
      </c>
      <c r="G401" t="inlineStr">
        <is>
          <t>NORDANSTIG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45551-2024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46313</v>
      </c>
      <c r="F402" t="inlineStr">
        <is>
          <t>GÄVLEBORGS LÄN</t>
        </is>
      </c>
      <c r="G402" t="inlineStr">
        <is>
          <t>NORDANSTIG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46313</v>
      </c>
      <c r="F403" t="inlineStr">
        <is>
          <t>GÄVLEBORGS LÄN</t>
        </is>
      </c>
      <c r="G403" t="inlineStr">
        <is>
          <t>NORDANSTIG</t>
        </is>
      </c>
      <c r="I403" t="n">
        <v>15.6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46313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46313</v>
      </c>
      <c r="F405" t="inlineStr">
        <is>
          <t>GÄVLEBORGS LÄN</t>
        </is>
      </c>
      <c r="G405" t="inlineStr">
        <is>
          <t>NORDANSTIG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46313</v>
      </c>
      <c r="F406" t="inlineStr">
        <is>
          <t>GÄVLEBORGS LÄN</t>
        </is>
      </c>
      <c r="G406" t="inlineStr">
        <is>
          <t>NORDANSTIG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5981-2026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46052</v>
      </c>
      <c r="E407" s="1" t="n">
        <v>46313</v>
      </c>
      <c r="F407" t="inlineStr">
        <is>
          <t>GÄVLEBORGS LÄN</t>
        </is>
      </c>
      <c r="G407" t="inlineStr">
        <is>
          <t>NORDANSTIG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46157</v>
      </c>
      <c r="E408" s="1" t="n">
        <v>46313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44915</v>
      </c>
      <c r="E409" s="1" t="n">
        <v>46313</v>
      </c>
      <c r="F409" t="inlineStr">
        <is>
          <t>GÄVLEBORGS LÄN</t>
        </is>
      </c>
      <c r="G409" t="inlineStr">
        <is>
          <t>NORDANSTIG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45042</v>
      </c>
      <c r="E410" s="1" t="n">
        <v>46313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45537</v>
      </c>
      <c r="E411" s="1" t="n">
        <v>46313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46313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46313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46313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46313</v>
      </c>
      <c r="F415" t="inlineStr">
        <is>
          <t>GÄVLEBORGS LÄN</t>
        </is>
      </c>
      <c r="G415" t="inlineStr">
        <is>
          <t>NORDANSTIG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54705-2024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46313</v>
      </c>
      <c r="F416" t="inlineStr">
        <is>
          <t>GÄVLEBORGS LÄN</t>
        </is>
      </c>
      <c r="G416" t="inlineStr">
        <is>
          <t>NORDANSTIG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46313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46313</v>
      </c>
      <c r="F418" t="inlineStr">
        <is>
          <t>GÄVLEBORGS LÄN</t>
        </is>
      </c>
      <c r="G418" t="inlineStr">
        <is>
          <t>NORDANSTIG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45313</v>
      </c>
      <c r="E419" s="1" t="n">
        <v>46313</v>
      </c>
      <c r="F419" t="inlineStr">
        <is>
          <t>GÄVLEBORGS LÄN</t>
        </is>
      </c>
      <c r="G419" t="inlineStr">
        <is>
          <t>NORDANSTIG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8805-2025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45712</v>
      </c>
      <c r="E420" s="1" t="n">
        <v>46313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45089</v>
      </c>
      <c r="E421" s="1" t="n">
        <v>46313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45079</v>
      </c>
      <c r="E422" s="1" t="n">
        <v>46313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46313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46313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48607-2023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45208</v>
      </c>
      <c r="E425" s="1" t="n">
        <v>46313</v>
      </c>
      <c r="F425" t="inlineStr">
        <is>
          <t>GÄVLEBORGS LÄN</t>
        </is>
      </c>
      <c r="G425" t="inlineStr">
        <is>
          <t>NORDANSTIG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46313</v>
      </c>
      <c r="F426" t="inlineStr">
        <is>
          <t>GÄVLEBORGS LÄN</t>
        </is>
      </c>
      <c r="G426" t="inlineStr">
        <is>
          <t>NORDANSTIG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45043</v>
      </c>
      <c r="E427" s="1" t="n">
        <v>46313</v>
      </c>
      <c r="F427" t="inlineStr">
        <is>
          <t>GÄVLEBORGS LÄN</t>
        </is>
      </c>
      <c r="G427" t="inlineStr">
        <is>
          <t>NORDANSTIG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46313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46313</v>
      </c>
      <c r="F429" t="inlineStr">
        <is>
          <t>GÄVLEBORGS LÄN</t>
        </is>
      </c>
      <c r="G429" t="inlineStr">
        <is>
          <t>NORDANSTIG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46313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44832</v>
      </c>
      <c r="E431" s="1" t="n">
        <v>46313</v>
      </c>
      <c r="F431" t="inlineStr">
        <is>
          <t>GÄVLEBORGS LÄN</t>
        </is>
      </c>
      <c r="G431" t="inlineStr">
        <is>
          <t>NORDANSTIG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46313</v>
      </c>
      <c r="F432" t="inlineStr">
        <is>
          <t>GÄVLEBORGS LÄN</t>
        </is>
      </c>
      <c r="G432" t="inlineStr">
        <is>
          <t>NORDANSTIG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46313</v>
      </c>
      <c r="F433" t="inlineStr">
        <is>
          <t>GÄVLEBORGS LÄN</t>
        </is>
      </c>
      <c r="G433" t="inlineStr">
        <is>
          <t>NORDANSTIG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46313</v>
      </c>
      <c r="F434" t="inlineStr">
        <is>
          <t>GÄVLEBORGS LÄN</t>
        </is>
      </c>
      <c r="G434" t="inlineStr">
        <is>
          <t>NORDANSTIG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46313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46313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46313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46313</v>
      </c>
      <c r="F438" t="inlineStr">
        <is>
          <t>GÄVLEBORGS LÄN</t>
        </is>
      </c>
      <c r="G438" t="inlineStr">
        <is>
          <t>NORDANSTIG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18529-2022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46313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44601</v>
      </c>
      <c r="E440" s="1" t="n">
        <v>46313</v>
      </c>
      <c r="F440" t="inlineStr">
        <is>
          <t>GÄVLEBORGS LÄN</t>
        </is>
      </c>
      <c r="G440" t="inlineStr">
        <is>
          <t>NORDANSTIG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45741</v>
      </c>
      <c r="E441" s="1" t="n">
        <v>46313</v>
      </c>
      <c r="F441" t="inlineStr">
        <is>
          <t>GÄVLEBORGS LÄN</t>
        </is>
      </c>
      <c r="G441" t="inlineStr">
        <is>
          <t>NORDANSTIG</t>
        </is>
      </c>
      <c r="I441" t="n">
        <v>16.7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46313</v>
      </c>
      <c r="F442" t="inlineStr">
        <is>
          <t>GÄVLEBORGS LÄN</t>
        </is>
      </c>
      <c r="G442" t="inlineStr">
        <is>
          <t>NORDANSTIG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21157-2022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46313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46313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46313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46313</v>
      </c>
      <c r="F446" t="inlineStr">
        <is>
          <t>GÄVLEBORGS LÄN</t>
        </is>
      </c>
      <c r="G446" t="inlineStr">
        <is>
          <t>NORDANSTIG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46313</v>
      </c>
      <c r="F447" t="inlineStr">
        <is>
          <t>GÄVLEBORGS LÄN</t>
        </is>
      </c>
      <c r="G447" t="inlineStr">
        <is>
          <t>NORDANSTIG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46313</v>
      </c>
      <c r="F448" t="inlineStr">
        <is>
          <t>GÄVLEBORGS LÄN</t>
        </is>
      </c>
      <c r="G448" t="inlineStr">
        <is>
          <t>NORDANSTIG</t>
        </is>
      </c>
      <c r="H448" t="inlineStr">
        <is>
          <t>SCA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45141</v>
      </c>
      <c r="E449" s="1" t="n">
        <v>46313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46313</v>
      </c>
      <c r="F450" t="inlineStr">
        <is>
          <t>GÄVLEBORGS LÄN</t>
        </is>
      </c>
      <c r="G450" t="inlineStr">
        <is>
          <t>NORDANSTIG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14415-2022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44652</v>
      </c>
      <c r="E451" s="1" t="n">
        <v>46313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45297</v>
      </c>
      <c r="E452" s="1" t="n">
        <v>46313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45624</v>
      </c>
      <c r="E453" s="1" t="n">
        <v>46313</v>
      </c>
      <c r="F453" t="inlineStr">
        <is>
          <t>GÄVLEBORGS LÄN</t>
        </is>
      </c>
      <c r="G453" t="inlineStr">
        <is>
          <t>NORDANSTIG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46313</v>
      </c>
      <c r="F454" t="inlineStr">
        <is>
          <t>GÄVLEBORGS LÄN</t>
        </is>
      </c>
      <c r="G454" t="inlineStr">
        <is>
          <t>NORDANSTIG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45743</v>
      </c>
      <c r="E455" s="1" t="n">
        <v>46313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46313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57558-2025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45980</v>
      </c>
      <c r="E457" s="1" t="n">
        <v>46313</v>
      </c>
      <c r="F457" t="inlineStr">
        <is>
          <t>GÄVLEBORGS LÄN</t>
        </is>
      </c>
      <c r="G457" t="inlineStr">
        <is>
          <t>NORDANSTIG</t>
        </is>
      </c>
      <c r="H457" t="inlineStr">
        <is>
          <t>SCA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45980</v>
      </c>
      <c r="E458" s="1" t="n">
        <v>46313</v>
      </c>
      <c r="F458" t="inlineStr">
        <is>
          <t>GÄVLEBORGS LÄN</t>
        </is>
      </c>
      <c r="G458" t="inlineStr">
        <is>
          <t>NORDANSTIG</t>
        </is>
      </c>
      <c r="H458" t="inlineStr">
        <is>
          <t>SCA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46313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46313</v>
      </c>
      <c r="F460" t="inlineStr">
        <is>
          <t>GÄVLEBORGS LÄN</t>
        </is>
      </c>
      <c r="G460" t="inlineStr">
        <is>
          <t>NORDANSTIG</t>
        </is>
      </c>
      <c r="I460" t="n">
        <v>18.1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46313</v>
      </c>
      <c r="F461" t="inlineStr">
        <is>
          <t>GÄVLEBORGS LÄN</t>
        </is>
      </c>
      <c r="G461" t="inlineStr">
        <is>
          <t>NORDANSTIG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45303</v>
      </c>
      <c r="E462" s="1" t="n">
        <v>46313</v>
      </c>
      <c r="F462" t="inlineStr">
        <is>
          <t>GÄVLEBORGS LÄN</t>
        </is>
      </c>
      <c r="G462" t="inlineStr">
        <is>
          <t>NORDANSTIG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46313</v>
      </c>
      <c r="F463" t="inlineStr">
        <is>
          <t>GÄVLEBORGS LÄN</t>
        </is>
      </c>
      <c r="G463" t="inlineStr">
        <is>
          <t>NORDANSTIG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46313</v>
      </c>
      <c r="F464" t="inlineStr">
        <is>
          <t>GÄVLEBORGS LÄN</t>
        </is>
      </c>
      <c r="G464" t="inlineStr">
        <is>
          <t>NORDANSTIG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46313</v>
      </c>
      <c r="F465" t="inlineStr">
        <is>
          <t>GÄVLEBORGS LÄN</t>
        </is>
      </c>
      <c r="G465" t="inlineStr">
        <is>
          <t>NORDANSTIG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46313</v>
      </c>
      <c r="F466" t="inlineStr">
        <is>
          <t>GÄVLEBORGS LÄN</t>
        </is>
      </c>
      <c r="G466" t="inlineStr">
        <is>
          <t>NORDANSTIG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46313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46313</v>
      </c>
      <c r="F468" t="inlineStr">
        <is>
          <t>GÄVLEBORGS LÄN</t>
        </is>
      </c>
      <c r="G468" t="inlineStr">
        <is>
          <t>NORDANSTIG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46313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38298-2024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45545</v>
      </c>
      <c r="E470" s="1" t="n">
        <v>46313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36464-2024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45537</v>
      </c>
      <c r="E471" s="1" t="n">
        <v>46313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46313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59008-2025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45987</v>
      </c>
      <c r="E473" s="1" t="n">
        <v>46313</v>
      </c>
      <c r="F473" t="inlineStr">
        <is>
          <t>GÄVLEBORGS LÄN</t>
        </is>
      </c>
      <c r="G473" t="inlineStr">
        <is>
          <t>NORDANSTIG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63145-2023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45273</v>
      </c>
      <c r="E474" s="1" t="n">
        <v>46313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46313</v>
      </c>
      <c r="F475" t="inlineStr">
        <is>
          <t>GÄVLEBORGS LÄN</t>
        </is>
      </c>
      <c r="G475" t="inlineStr">
        <is>
          <t>NORDANSTIG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46313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9382-2022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46313</v>
      </c>
      <c r="F477" t="inlineStr">
        <is>
          <t>GÄVLEBORGS LÄN</t>
        </is>
      </c>
      <c r="G477" t="inlineStr">
        <is>
          <t>NORDANSTIG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46313</v>
      </c>
      <c r="F478" t="inlineStr">
        <is>
          <t>GÄVLEBORGS LÄN</t>
        </is>
      </c>
      <c r="G478" t="inlineStr">
        <is>
          <t>NORDANSTIG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46313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46313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46299-2023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45197</v>
      </c>
      <c r="E481" s="1" t="n">
        <v>46313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46313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46313</v>
      </c>
      <c r="F483" t="inlineStr">
        <is>
          <t>GÄVLEBORGS LÄN</t>
        </is>
      </c>
      <c r="G483" t="inlineStr">
        <is>
          <t>NORDANSTIG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45428</v>
      </c>
      <c r="E484" s="1" t="n">
        <v>46313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46313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46313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46313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46313</v>
      </c>
      <c r="F488" t="inlineStr">
        <is>
          <t>GÄVLEBORGS LÄN</t>
        </is>
      </c>
      <c r="G488" t="inlineStr">
        <is>
          <t>NORDANSTIG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46313</v>
      </c>
      <c r="F489" t="inlineStr">
        <is>
          <t>GÄVLEBORGS LÄN</t>
        </is>
      </c>
      <c r="G489" t="inlineStr">
        <is>
          <t>NORDANSTIG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45618</v>
      </c>
      <c r="E490" s="1" t="n">
        <v>46313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45546</v>
      </c>
      <c r="E491" s="1" t="n">
        <v>46313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46313</v>
      </c>
      <c r="F492" t="inlineStr">
        <is>
          <t>GÄVLEBORGS LÄN</t>
        </is>
      </c>
      <c r="G492" t="inlineStr">
        <is>
          <t>NORDANSTIG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24178-2026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46168</v>
      </c>
      <c r="E493" s="1" t="n">
        <v>46313</v>
      </c>
      <c r="F493" t="inlineStr">
        <is>
          <t>GÄVLEBORGS LÄN</t>
        </is>
      </c>
      <c r="G493" t="inlineStr">
        <is>
          <t>NORDANSTIG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64835-2021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44512</v>
      </c>
      <c r="E494" s="1" t="n">
        <v>46313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46313</v>
      </c>
      <c r="F495" t="inlineStr">
        <is>
          <t>GÄVLEBORGS LÄN</t>
        </is>
      </c>
      <c r="G495" t="inlineStr">
        <is>
          <t>NORDANSTIG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46313</v>
      </c>
      <c r="F496" t="inlineStr">
        <is>
          <t>GÄVLEBORGS LÄN</t>
        </is>
      </c>
      <c r="G496" t="inlineStr">
        <is>
          <t>NORDANSTIG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46003</v>
      </c>
      <c r="E497" s="1" t="n">
        <v>46313</v>
      </c>
      <c r="F497" t="inlineStr">
        <is>
          <t>GÄVLEBORGS LÄN</t>
        </is>
      </c>
      <c r="G497" t="inlineStr">
        <is>
          <t>NORDANSTIG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46313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46313</v>
      </c>
      <c r="F499" t="inlineStr">
        <is>
          <t>GÄVLEBORGS LÄN</t>
        </is>
      </c>
      <c r="G499" t="inlineStr">
        <is>
          <t>NORDANSTIG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46313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37972-2022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46313</v>
      </c>
      <c r="F501" t="inlineStr">
        <is>
          <t>GÄVLEBORGS LÄN</t>
        </is>
      </c>
      <c r="G501" t="inlineStr">
        <is>
          <t>NORDANSTIG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46313</v>
      </c>
      <c r="F502" t="inlineStr">
        <is>
          <t>GÄVLEBORGS LÄN</t>
        </is>
      </c>
      <c r="G502" t="inlineStr">
        <is>
          <t>NORDANSTIG</t>
        </is>
      </c>
      <c r="I502" t="n">
        <v>15.1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46313</v>
      </c>
      <c r="F503" t="inlineStr">
        <is>
          <t>GÄVLEBORGS LÄN</t>
        </is>
      </c>
      <c r="G503" t="inlineStr">
        <is>
          <t>NORDANSTIG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44790</v>
      </c>
      <c r="E504" s="1" t="n">
        <v>46313</v>
      </c>
      <c r="F504" t="inlineStr">
        <is>
          <t>GÄVLEBORGS LÄN</t>
        </is>
      </c>
      <c r="G504" t="inlineStr">
        <is>
          <t>NORDANSTIG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45549-2024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46313</v>
      </c>
      <c r="F505" t="inlineStr">
        <is>
          <t>GÄVLEBORGS LÄN</t>
        </is>
      </c>
      <c r="G505" t="inlineStr">
        <is>
          <t>NORDANSTIG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46313</v>
      </c>
      <c r="F506" t="inlineStr">
        <is>
          <t>GÄVLEBORGS LÄN</t>
        </is>
      </c>
      <c r="G506" t="inlineStr">
        <is>
          <t>NORDANSTIG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46313</v>
      </c>
      <c r="F507" t="inlineStr">
        <is>
          <t>GÄVLEBORGS LÄN</t>
        </is>
      </c>
      <c r="G507" t="inlineStr">
        <is>
          <t>NORDANSTIG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45399</v>
      </c>
      <c r="E508" s="1" t="n">
        <v>46313</v>
      </c>
      <c r="F508" t="inlineStr">
        <is>
          <t>GÄVLEBORGS LÄN</t>
        </is>
      </c>
      <c r="G508" t="inlineStr">
        <is>
          <t>NORDANSTIG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58749-2024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45635</v>
      </c>
      <c r="E509" s="1" t="n">
        <v>46313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45525</v>
      </c>
      <c r="E510" s="1" t="n">
        <v>46313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46313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46313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62833-2025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46313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45622</v>
      </c>
      <c r="E514" s="1" t="n">
        <v>46313</v>
      </c>
      <c r="F514" t="inlineStr">
        <is>
          <t>GÄVLEBORGS LÄN</t>
        </is>
      </c>
      <c r="G514" t="inlineStr">
        <is>
          <t>NORDANSTIG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45622</v>
      </c>
      <c r="E515" s="1" t="n">
        <v>46313</v>
      </c>
      <c r="F515" t="inlineStr">
        <is>
          <t>GÄVLEBORGS LÄN</t>
        </is>
      </c>
      <c r="G515" t="inlineStr">
        <is>
          <t>NORDANSTIG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45667</v>
      </c>
      <c r="E516" s="1" t="n">
        <v>46313</v>
      </c>
      <c r="F516" t="inlineStr">
        <is>
          <t>GÄVLEBORGS LÄN</t>
        </is>
      </c>
      <c r="G516" t="inlineStr">
        <is>
          <t>NORDANSTIG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46313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45287</v>
      </c>
      <c r="E518" s="1" t="n">
        <v>46313</v>
      </c>
      <c r="F518" t="inlineStr">
        <is>
          <t>GÄVLEBORGS LÄN</t>
        </is>
      </c>
      <c r="G518" t="inlineStr">
        <is>
          <t>NORDANSTIG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45455</v>
      </c>
      <c r="E519" s="1" t="n">
        <v>46313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51541-2025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46313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46313</v>
      </c>
      <c r="F521" t="inlineStr">
        <is>
          <t>GÄVLEBORGS LÄN</t>
        </is>
      </c>
      <c r="G521" t="inlineStr">
        <is>
          <t>NORDANSTIG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46313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46313</v>
      </c>
      <c r="F523" t="inlineStr">
        <is>
          <t>GÄVLEBORGS LÄN</t>
        </is>
      </c>
      <c r="G523" t="inlineStr">
        <is>
          <t>NORDANSTIG</t>
        </is>
      </c>
      <c r="I523" t="n">
        <v>11.5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46313</v>
      </c>
      <c r="F524" t="inlineStr">
        <is>
          <t>GÄVLEBORGS LÄN</t>
        </is>
      </c>
      <c r="G524" t="inlineStr">
        <is>
          <t>NORDANSTIG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46313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44777</v>
      </c>
      <c r="E526" s="1" t="n">
        <v>46313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46313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46313</v>
      </c>
      <c r="F528" t="inlineStr">
        <is>
          <t>GÄVLEBORGS LÄN</t>
        </is>
      </c>
      <c r="G528" t="inlineStr">
        <is>
          <t>NORDANSTIG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46313</v>
      </c>
      <c r="F529" t="inlineStr">
        <is>
          <t>GÄVLEBORGS LÄN</t>
        </is>
      </c>
      <c r="G529" t="inlineStr">
        <is>
          <t>NORDANSTIG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46313</v>
      </c>
      <c r="F530" t="inlineStr">
        <is>
          <t>GÄVLEBORGS LÄN</t>
        </is>
      </c>
      <c r="G530" t="inlineStr">
        <is>
          <t>NORDANSTIG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46024</v>
      </c>
      <c r="E531" s="1" t="n">
        <v>46313</v>
      </c>
      <c r="F531" t="inlineStr">
        <is>
          <t>GÄVLEBORGS LÄN</t>
        </is>
      </c>
      <c r="G531" t="inlineStr">
        <is>
          <t>NORDANSTIG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46026</v>
      </c>
      <c r="E532" s="1" t="n">
        <v>46313</v>
      </c>
      <c r="F532" t="inlineStr">
        <is>
          <t>GÄVLEBORGS LÄN</t>
        </is>
      </c>
      <c r="G532" t="inlineStr">
        <is>
          <t>NORDANSTIG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46313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46313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46313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46313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46313</v>
      </c>
      <c r="F537" t="inlineStr">
        <is>
          <t>GÄVLEBORGS LÄN</t>
        </is>
      </c>
      <c r="G537" t="inlineStr">
        <is>
          <t>NORDANSTIG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46313</v>
      </c>
      <c r="F538" t="inlineStr">
        <is>
          <t>GÄVLEBORGS LÄN</t>
        </is>
      </c>
      <c r="G538" t="inlineStr">
        <is>
          <t>NORDANSTIG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46313</v>
      </c>
      <c r="F539" t="inlineStr">
        <is>
          <t>GÄVLEBORGS LÄN</t>
        </is>
      </c>
      <c r="G539" t="inlineStr">
        <is>
          <t>NORDANSTIG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46313</v>
      </c>
      <c r="F540" t="inlineStr">
        <is>
          <t>GÄVLEBORGS LÄN</t>
        </is>
      </c>
      <c r="G540" t="inlineStr">
        <is>
          <t>NORDANSTIG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46313</v>
      </c>
      <c r="F541" t="inlineStr">
        <is>
          <t>GÄVLEBORGS LÄN</t>
        </is>
      </c>
      <c r="G541" t="inlineStr">
        <is>
          <t>NORDANSTIG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46313</v>
      </c>
      <c r="F542" t="inlineStr">
        <is>
          <t>GÄVLEBORGS LÄN</t>
        </is>
      </c>
      <c r="G542" t="inlineStr">
        <is>
          <t>NORDANSTIG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46313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73748-2021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44552</v>
      </c>
      <c r="E544" s="1" t="n">
        <v>46313</v>
      </c>
      <c r="F544" t="inlineStr">
        <is>
          <t>GÄVLEBORGS LÄN</t>
        </is>
      </c>
      <c r="G544" t="inlineStr">
        <is>
          <t>NORDANSTIG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46313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46313</v>
      </c>
      <c r="F546" t="inlineStr">
        <is>
          <t>GÄVLEBORGS LÄN</t>
        </is>
      </c>
      <c r="G546" t="inlineStr">
        <is>
          <t>NORDANSTIG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46313</v>
      </c>
      <c r="F547" t="inlineStr">
        <is>
          <t>GÄVLEBORGS LÄN</t>
        </is>
      </c>
      <c r="G547" t="inlineStr">
        <is>
          <t>NORDANSTIG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46313</v>
      </c>
      <c r="F548" t="inlineStr">
        <is>
          <t>GÄVLEBORGS LÄN</t>
        </is>
      </c>
      <c r="G548" t="inlineStr">
        <is>
          <t>NORDANSTIG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46313</v>
      </c>
      <c r="F549" t="inlineStr">
        <is>
          <t>GÄVLEBORGS LÄN</t>
        </is>
      </c>
      <c r="G549" t="inlineStr">
        <is>
          <t>NORDANSTIG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46313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46313</v>
      </c>
      <c r="F551" t="inlineStr">
        <is>
          <t>GÄVLEBORGS LÄN</t>
        </is>
      </c>
      <c r="G551" t="inlineStr">
        <is>
          <t>NORDANSTIG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46313</v>
      </c>
      <c r="F552" t="inlineStr">
        <is>
          <t>GÄVLEBORGS LÄN</t>
        </is>
      </c>
      <c r="G552" t="inlineStr">
        <is>
          <t>NORDANSTIG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46313</v>
      </c>
      <c r="F553" t="inlineStr">
        <is>
          <t>GÄVLEBORGS LÄN</t>
        </is>
      </c>
      <c r="G553" t="inlineStr">
        <is>
          <t>NORDANSTIG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46313</v>
      </c>
      <c r="F554" t="inlineStr">
        <is>
          <t>GÄVLEBORGS LÄN</t>
        </is>
      </c>
      <c r="G554" t="inlineStr">
        <is>
          <t>NORDANSTIG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46313</v>
      </c>
      <c r="F555" t="inlineStr">
        <is>
          <t>GÄVLEBORGS LÄN</t>
        </is>
      </c>
      <c r="G555" t="inlineStr">
        <is>
          <t>NORDANSTIG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46313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46313</v>
      </c>
      <c r="F557" t="inlineStr">
        <is>
          <t>GÄVLEBORGS LÄN</t>
        </is>
      </c>
      <c r="G557" t="inlineStr">
        <is>
          <t>NORDANSTIG</t>
        </is>
      </c>
      <c r="I557" t="n">
        <v>21.1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46039</v>
      </c>
      <c r="E558" s="1" t="n">
        <v>46313</v>
      </c>
      <c r="F558" t="inlineStr">
        <is>
          <t>GÄVLEBORGS LÄN</t>
        </is>
      </c>
      <c r="G558" t="inlineStr">
        <is>
          <t>NORDANSTIG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46313</v>
      </c>
      <c r="F559" t="inlineStr">
        <is>
          <t>GÄVLEBORGS LÄN</t>
        </is>
      </c>
      <c r="G559" t="inlineStr">
        <is>
          <t>NORDANSTIG</t>
        </is>
      </c>
      <c r="H559" t="inlineStr">
        <is>
          <t>SCA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46178</v>
      </c>
      <c r="E560" s="1" t="n">
        <v>46313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46313</v>
      </c>
      <c r="F561" t="inlineStr">
        <is>
          <t>GÄVLEBORGS LÄN</t>
        </is>
      </c>
      <c r="G561" t="inlineStr">
        <is>
          <t>NORDANSTIG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35115-2022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44797</v>
      </c>
      <c r="E562" s="1" t="n">
        <v>46313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46313</v>
      </c>
      <c r="F563" t="inlineStr">
        <is>
          <t>GÄVLEBORGS LÄN</t>
        </is>
      </c>
      <c r="G563" t="inlineStr">
        <is>
          <t>NORDANSTIG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46313</v>
      </c>
      <c r="F564" t="inlineStr">
        <is>
          <t>GÄVLEBORGS LÄN</t>
        </is>
      </c>
      <c r="G564" t="inlineStr">
        <is>
          <t>NORDANSTIG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46313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46313</v>
      </c>
      <c r="F566" t="inlineStr">
        <is>
          <t>GÄVLEBORGS LÄN</t>
        </is>
      </c>
      <c r="G566" t="inlineStr">
        <is>
          <t>NORDANSTIG</t>
        </is>
      </c>
      <c r="I566" t="n">
        <v>24.7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46313</v>
      </c>
      <c r="F567" t="inlineStr">
        <is>
          <t>GÄVLEBORGS LÄN</t>
        </is>
      </c>
      <c r="G567" t="inlineStr">
        <is>
          <t>NORDANSTIG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46313</v>
      </c>
      <c r="F568" t="inlineStr">
        <is>
          <t>GÄVLEBORGS LÄN</t>
        </is>
      </c>
      <c r="G568" t="inlineStr">
        <is>
          <t>NORDANSTIG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46179</v>
      </c>
      <c r="E569" s="1" t="n">
        <v>46313</v>
      </c>
      <c r="F569" t="inlineStr">
        <is>
          <t>GÄVLEBORGS LÄN</t>
        </is>
      </c>
      <c r="G569" t="inlineStr">
        <is>
          <t>NORDANSTIG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46313</v>
      </c>
      <c r="F570" t="inlineStr">
        <is>
          <t>GÄVLEBORGS LÄN</t>
        </is>
      </c>
      <c r="G570" t="inlineStr">
        <is>
          <t>NORDANSTIG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46313</v>
      </c>
      <c r="F571" t="inlineStr">
        <is>
          <t>GÄVLEBORGS LÄN</t>
        </is>
      </c>
      <c r="G571" t="inlineStr">
        <is>
          <t>NORDANSTIG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46313</v>
      </c>
      <c r="F572" t="inlineStr">
        <is>
          <t>GÄVLEBORGS LÄN</t>
        </is>
      </c>
      <c r="G572" t="inlineStr">
        <is>
          <t>NORDANSTIG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46313</v>
      </c>
      <c r="F573" t="inlineStr">
        <is>
          <t>GÄVLEBORGS LÄN</t>
        </is>
      </c>
      <c r="G573" t="inlineStr">
        <is>
          <t>NORDANSTIG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46313</v>
      </c>
      <c r="F574" t="inlineStr">
        <is>
          <t>GÄVLEBORGS LÄN</t>
        </is>
      </c>
      <c r="G574" t="inlineStr">
        <is>
          <t>NORDANSTIG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46313</v>
      </c>
      <c r="F575" t="inlineStr">
        <is>
          <t>GÄVLEBORGS LÄN</t>
        </is>
      </c>
      <c r="G575" t="inlineStr">
        <is>
          <t>NORDANSTIG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46313</v>
      </c>
      <c r="F576" t="inlineStr">
        <is>
          <t>GÄVLEBORGS LÄN</t>
        </is>
      </c>
      <c r="G576" t="inlineStr">
        <is>
          <t>NORDANSTIG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38159-2022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44812</v>
      </c>
      <c r="E577" s="1" t="n">
        <v>46313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46313</v>
      </c>
      <c r="F578" t="inlineStr">
        <is>
          <t>GÄVLEBORGS LÄN</t>
        </is>
      </c>
      <c r="G578" t="inlineStr">
        <is>
          <t>NORDANSTIG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46044</v>
      </c>
      <c r="E579" s="1" t="n">
        <v>46313</v>
      </c>
      <c r="F579" t="inlineStr">
        <is>
          <t>GÄVLEBORGS LÄN</t>
        </is>
      </c>
      <c r="G579" t="inlineStr">
        <is>
          <t>NORDANSTIG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45754</v>
      </c>
      <c r="E580" s="1" t="n">
        <v>46313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46313</v>
      </c>
      <c r="F581" t="inlineStr">
        <is>
          <t>GÄVLEBORGS LÄN</t>
        </is>
      </c>
      <c r="G581" t="inlineStr">
        <is>
          <t>NORDANSTIG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46313</v>
      </c>
      <c r="F582" t="inlineStr">
        <is>
          <t>GÄVLEBORGS LÄN</t>
        </is>
      </c>
      <c r="G582" t="inlineStr">
        <is>
          <t>NORDANSTIG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46313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46313</v>
      </c>
      <c r="F584" t="inlineStr">
        <is>
          <t>GÄVLEBORGS LÄN</t>
        </is>
      </c>
      <c r="G584" t="inlineStr">
        <is>
          <t>NORDANSTIG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46044</v>
      </c>
      <c r="E585" s="1" t="n">
        <v>46313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46313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45601</v>
      </c>
      <c r="E587" s="1" t="n">
        <v>46313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46313</v>
      </c>
      <c r="F588" t="inlineStr">
        <is>
          <t>GÄVLEBORGS LÄN</t>
        </is>
      </c>
      <c r="G588" t="inlineStr">
        <is>
          <t>NORDANSTIG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46313</v>
      </c>
      <c r="F589" t="inlineStr">
        <is>
          <t>GÄVLEBORGS LÄN</t>
        </is>
      </c>
      <c r="G589" t="inlineStr">
        <is>
          <t>NORDANSTIG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46313</v>
      </c>
      <c r="F590" t="inlineStr">
        <is>
          <t>GÄVLEBORGS LÄN</t>
        </is>
      </c>
      <c r="G590" t="inlineStr">
        <is>
          <t>NORDANSTIG</t>
        </is>
      </c>
      <c r="I590" t="n">
        <v>15.3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46313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45499</v>
      </c>
      <c r="E592" s="1" t="n">
        <v>46313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46313</v>
      </c>
      <c r="F593" t="inlineStr">
        <is>
          <t>GÄVLEBORGS LÄN</t>
        </is>
      </c>
      <c r="G593" t="inlineStr">
        <is>
          <t>NORDANSTIG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46313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46313</v>
      </c>
      <c r="F595" t="inlineStr">
        <is>
          <t>GÄVLEBORGS LÄN</t>
        </is>
      </c>
      <c r="G595" t="inlineStr">
        <is>
          <t>NORDANSTIG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46313</v>
      </c>
      <c r="F596" t="inlineStr">
        <is>
          <t>GÄVLEBORGS LÄN</t>
        </is>
      </c>
      <c r="G596" t="inlineStr">
        <is>
          <t>NORDANSTIG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46313</v>
      </c>
      <c r="F597" t="inlineStr">
        <is>
          <t>GÄVLEBORGS LÄN</t>
        </is>
      </c>
      <c r="G597" t="inlineStr">
        <is>
          <t>NORDANSTIG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46313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46050</v>
      </c>
      <c r="E599" s="1" t="n">
        <v>46313</v>
      </c>
      <c r="F599" t="inlineStr">
        <is>
          <t>GÄVLEBORGS LÄN</t>
        </is>
      </c>
      <c r="G599" t="inlineStr">
        <is>
          <t>NORDANSTIG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46313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46313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46313</v>
      </c>
      <c r="F602" t="inlineStr">
        <is>
          <t>GÄVLEBORGS LÄN</t>
        </is>
      </c>
      <c r="G602" t="inlineStr">
        <is>
          <t>NORDANSTIG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46313</v>
      </c>
      <c r="F603" t="inlineStr">
        <is>
          <t>GÄVLEBORGS LÄN</t>
        </is>
      </c>
      <c r="G603" t="inlineStr">
        <is>
          <t>NORDANSTIG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46313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46053</v>
      </c>
      <c r="E605" s="1" t="n">
        <v>46313</v>
      </c>
      <c r="F605" t="inlineStr">
        <is>
          <t>GÄVLEBORGS LÄN</t>
        </is>
      </c>
      <c r="G605" t="inlineStr">
        <is>
          <t>NORDANSTIG</t>
        </is>
      </c>
      <c r="I605" t="n">
        <v>45.3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46313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45231</v>
      </c>
      <c r="E607" s="1" t="n">
        <v>46313</v>
      </c>
      <c r="F607" t="inlineStr">
        <is>
          <t>GÄVLEBORGS LÄN</t>
        </is>
      </c>
      <c r="G607" t="inlineStr">
        <is>
          <t>NORDANSTIG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6287-2026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46313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46313</v>
      </c>
      <c r="F609" t="inlineStr">
        <is>
          <t>GÄVLEBORGS LÄN</t>
        </is>
      </c>
      <c r="G609" t="inlineStr">
        <is>
          <t>NORDANSTIG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46313</v>
      </c>
      <c r="F610" t="inlineStr">
        <is>
          <t>GÄVLEBORGS LÄN</t>
        </is>
      </c>
      <c r="G610" t="inlineStr">
        <is>
          <t>NORDANSTIG</t>
        </is>
      </c>
      <c r="I610" t="n">
        <v>10.2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46053</v>
      </c>
      <c r="E611" s="1" t="n">
        <v>46313</v>
      </c>
      <c r="F611" t="inlineStr">
        <is>
          <t>GÄVLEBORGS LÄN</t>
        </is>
      </c>
      <c r="G611" t="inlineStr">
        <is>
          <t>NORDANSTIG</t>
        </is>
      </c>
      <c r="I611" t="n">
        <v>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26238-2026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46313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SCA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46313</v>
      </c>
      <c r="F613" t="inlineStr">
        <is>
          <t>GÄVLEBORGS LÄN</t>
        </is>
      </c>
      <c r="G613" t="inlineStr">
        <is>
          <t>NORDANSTIG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46313</v>
      </c>
      <c r="F614" t="inlineStr">
        <is>
          <t>GÄVLEBORGS LÄN</t>
        </is>
      </c>
      <c r="G614" t="inlineStr">
        <is>
          <t>NORDANSTIG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46313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46313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46313</v>
      </c>
      <c r="F617" t="inlineStr">
        <is>
          <t>GÄVLEBORGS LÄN</t>
        </is>
      </c>
      <c r="G617" t="inlineStr">
        <is>
          <t>NORDANSTIG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45671</v>
      </c>
      <c r="E618" s="1" t="n">
        <v>46313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46313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45297</v>
      </c>
      <c r="E620" s="1" t="n">
        <v>46313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46313</v>
      </c>
      <c r="F621" t="inlineStr">
        <is>
          <t>GÄVLEBORGS LÄN</t>
        </is>
      </c>
      <c r="G621" t="inlineStr">
        <is>
          <t>NORDANSTIG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46313</v>
      </c>
      <c r="F622" t="inlineStr">
        <is>
          <t>GÄVLEBORGS LÄN</t>
        </is>
      </c>
      <c r="G622" t="inlineStr">
        <is>
          <t>NORDANSTIG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46062</v>
      </c>
      <c r="E623" s="1" t="n">
        <v>46313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46313</v>
      </c>
      <c r="F624" t="inlineStr">
        <is>
          <t>GÄVLEBORGS LÄN</t>
        </is>
      </c>
      <c r="G624" t="inlineStr">
        <is>
          <t>NORDANSTIG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46313</v>
      </c>
      <c r="F625" t="inlineStr">
        <is>
          <t>GÄVLEBORGS LÄN</t>
        </is>
      </c>
      <c r="G625" t="inlineStr">
        <is>
          <t>NORDANSTIG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46062</v>
      </c>
      <c r="E626" s="1" t="n">
        <v>46313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46062</v>
      </c>
      <c r="E627" s="1" t="n">
        <v>46313</v>
      </c>
      <c r="F627" t="inlineStr">
        <is>
          <t>GÄVLEBORGS LÄN</t>
        </is>
      </c>
      <c r="G627" t="inlineStr">
        <is>
          <t>NORDANSTIG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7944-2026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46063</v>
      </c>
      <c r="E628" s="1" t="n">
        <v>46313</v>
      </c>
      <c r="F628" t="inlineStr">
        <is>
          <t>GÄVLEBORGS LÄN</t>
        </is>
      </c>
      <c r="G628" t="inlineStr">
        <is>
          <t>NORDANSTIG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46313</v>
      </c>
      <c r="F629" t="inlineStr">
        <is>
          <t>GÄVLEBORGS LÄN</t>
        </is>
      </c>
      <c r="G629" t="inlineStr">
        <is>
          <t>NORDANSTIG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46313</v>
      </c>
      <c r="F630" t="inlineStr">
        <is>
          <t>GÄVLEBORGS LÄN</t>
        </is>
      </c>
      <c r="G630" t="inlineStr">
        <is>
          <t>NORDANSTIG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46313</v>
      </c>
      <c r="F631" t="inlineStr">
        <is>
          <t>GÄVLEBORGS LÄN</t>
        </is>
      </c>
      <c r="G631" t="inlineStr">
        <is>
          <t>NORDANSTIG</t>
        </is>
      </c>
      <c r="I631" t="n">
        <v>13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44797</v>
      </c>
      <c r="E632" s="1" t="n">
        <v>46313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46313</v>
      </c>
      <c r="F633" t="inlineStr">
        <is>
          <t>GÄVLEBORGS LÄN</t>
        </is>
      </c>
      <c r="G633" t="inlineStr">
        <is>
          <t>NORDANSTIG</t>
        </is>
      </c>
      <c r="I633" t="n">
        <v>10.5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46313</v>
      </c>
      <c r="F634" t="inlineStr">
        <is>
          <t>GÄVLEBORGS LÄN</t>
        </is>
      </c>
      <c r="G634" t="inlineStr">
        <is>
          <t>NORDANSTIG</t>
        </is>
      </c>
      <c r="I634" t="n">
        <v>38.1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46313</v>
      </c>
      <c r="F635" t="inlineStr">
        <is>
          <t>GÄVLEBORGS LÄN</t>
        </is>
      </c>
      <c r="G635" t="inlineStr">
        <is>
          <t>NORDANSTIG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46313</v>
      </c>
      <c r="F636" t="inlineStr">
        <is>
          <t>GÄVLEBORGS LÄN</t>
        </is>
      </c>
      <c r="G636" t="inlineStr">
        <is>
          <t>NORDANSTIG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46313</v>
      </c>
      <c r="F637" t="inlineStr">
        <is>
          <t>GÄVLEBORGS LÄN</t>
        </is>
      </c>
      <c r="G637" t="inlineStr">
        <is>
          <t>NORDANSTIG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46313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46313</v>
      </c>
      <c r="F639" t="inlineStr">
        <is>
          <t>GÄVLEBORGS LÄN</t>
        </is>
      </c>
      <c r="G639" t="inlineStr">
        <is>
          <t>NORDANSTIG</t>
        </is>
      </c>
      <c r="I639" t="n">
        <v>19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46313</v>
      </c>
      <c r="F640" t="inlineStr">
        <is>
          <t>GÄVLEBORGS LÄN</t>
        </is>
      </c>
      <c r="G640" t="inlineStr">
        <is>
          <t>NORDANSTIG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46313</v>
      </c>
      <c r="F641" t="inlineStr">
        <is>
          <t>GÄVLEBORGS LÄN</t>
        </is>
      </c>
      <c r="G641" t="inlineStr">
        <is>
          <t>NORDANSTIG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26634-2026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46313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46313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45072</v>
      </c>
      <c r="E644" s="1" t="n">
        <v>46313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46313</v>
      </c>
      <c r="F645" t="inlineStr">
        <is>
          <t>GÄVLEBORGS LÄN</t>
        </is>
      </c>
      <c r="G645" t="inlineStr">
        <is>
          <t>NORDANSTIG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46066</v>
      </c>
      <c r="E646" s="1" t="n">
        <v>46313</v>
      </c>
      <c r="F646" t="inlineStr">
        <is>
          <t>GÄVLEBORGS LÄN</t>
        </is>
      </c>
      <c r="G646" t="inlineStr">
        <is>
          <t>NORDANSTIG</t>
        </is>
      </c>
      <c r="H646" t="inlineStr">
        <is>
          <t>Naturvårdsverket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46313</v>
      </c>
      <c r="F647" t="inlineStr">
        <is>
          <t>GÄVLEBORGS LÄN</t>
        </is>
      </c>
      <c r="G647" t="inlineStr">
        <is>
          <t>NORDANSTIG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46313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25.3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46313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46313</v>
      </c>
      <c r="F650" t="inlineStr">
        <is>
          <t>GÄVLEBORGS LÄN</t>
        </is>
      </c>
      <c r="G650" t="inlineStr">
        <is>
          <t>NORDANSTIG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46313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46313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46313</v>
      </c>
      <c r="F653" t="inlineStr">
        <is>
          <t>GÄVLEBORGS LÄN</t>
        </is>
      </c>
      <c r="G653" t="inlineStr">
        <is>
          <t>NORDANSTIG</t>
        </is>
      </c>
      <c r="I653" t="n">
        <v>15.6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46313</v>
      </c>
      <c r="F654" t="inlineStr">
        <is>
          <t>GÄVLEBORGS LÄN</t>
        </is>
      </c>
      <c r="G654" t="inlineStr">
        <is>
          <t>NORDANSTIG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46313</v>
      </c>
      <c r="F655" t="inlineStr">
        <is>
          <t>GÄVLEBORGS LÄN</t>
        </is>
      </c>
      <c r="G655" t="inlineStr">
        <is>
          <t>NORDANSTIG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46313</v>
      </c>
      <c r="F656" t="inlineStr">
        <is>
          <t>GÄVLEBORGS LÄN</t>
        </is>
      </c>
      <c r="G656" t="inlineStr">
        <is>
          <t>NORDANSTIG</t>
        </is>
      </c>
      <c r="I656" t="n">
        <v>12.2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46313</v>
      </c>
      <c r="F657" t="inlineStr">
        <is>
          <t>GÄVLEBORGS LÄN</t>
        </is>
      </c>
      <c r="G657" t="inlineStr">
        <is>
          <t>NORDANSTIG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46313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9969-2026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46073</v>
      </c>
      <c r="E659" s="1" t="n">
        <v>46313</v>
      </c>
      <c r="F659" t="inlineStr">
        <is>
          <t>GÄVLEBORGS LÄN</t>
        </is>
      </c>
      <c r="G659" t="inlineStr">
        <is>
          <t>NORDANSTIG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9780-2026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46313</v>
      </c>
      <c r="F660" t="inlineStr">
        <is>
          <t>GÄVLEBORGS LÄN</t>
        </is>
      </c>
      <c r="G660" t="inlineStr">
        <is>
          <t>NORDANSTIG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46313</v>
      </c>
      <c r="F661" t="inlineStr">
        <is>
          <t>GÄVLEBORGS LÄN</t>
        </is>
      </c>
      <c r="G661" t="inlineStr">
        <is>
          <t>NORDANSTIG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46313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46313</v>
      </c>
      <c r="F663" t="inlineStr">
        <is>
          <t>GÄVLEBORGS LÄN</t>
        </is>
      </c>
      <c r="G663" t="inlineStr">
        <is>
          <t>NORDANSTIG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46313</v>
      </c>
      <c r="F664" t="inlineStr">
        <is>
          <t>GÄVLEBORGS LÄN</t>
        </is>
      </c>
      <c r="G664" t="inlineStr">
        <is>
          <t>NORDANSTIG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46313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44960</v>
      </c>
      <c r="E666" s="1" t="n">
        <v>46313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46313</v>
      </c>
      <c r="F667" t="inlineStr">
        <is>
          <t>GÄVLEBORGS LÄN</t>
        </is>
      </c>
      <c r="G667" t="inlineStr">
        <is>
          <t>NORDANSTIG</t>
        </is>
      </c>
      <c r="I667" t="n">
        <v>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40738-2023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45170</v>
      </c>
      <c r="E668" s="1" t="n">
        <v>46313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9.5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32652-2023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45121</v>
      </c>
      <c r="E669" s="1" t="n">
        <v>46313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46073</v>
      </c>
      <c r="E670" s="1" t="n">
        <v>46313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10193-2026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46313</v>
      </c>
      <c r="F671" t="inlineStr">
        <is>
          <t>GÄVLEBORGS LÄN</t>
        </is>
      </c>
      <c r="G671" t="inlineStr">
        <is>
          <t>NORDANSTIG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46313</v>
      </c>
      <c r="F672" t="inlineStr">
        <is>
          <t>GÄVLEBORGS LÄN</t>
        </is>
      </c>
      <c r="G672" t="inlineStr">
        <is>
          <t>NORDANSTIG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46313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46313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46313</v>
      </c>
      <c r="F675" t="inlineStr">
        <is>
          <t>GÄVLEBORGS LÄN</t>
        </is>
      </c>
      <c r="G675" t="inlineStr">
        <is>
          <t>NORDANSTIG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27236-2026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46188</v>
      </c>
      <c r="E676" s="1" t="n">
        <v>46313</v>
      </c>
      <c r="F676" t="inlineStr">
        <is>
          <t>GÄVLEBORGS LÄN</t>
        </is>
      </c>
      <c r="G676" t="inlineStr">
        <is>
          <t>NORDANSTIG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46079</v>
      </c>
      <c r="E677" s="1" t="n">
        <v>46313</v>
      </c>
      <c r="F677" t="inlineStr">
        <is>
          <t>GÄVLEBORGS LÄN</t>
        </is>
      </c>
      <c r="G677" t="inlineStr">
        <is>
          <t>NORDANSTIG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46313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46084</v>
      </c>
      <c r="E679" s="1" t="n">
        <v>46313</v>
      </c>
      <c r="F679" t="inlineStr">
        <is>
          <t>GÄVLEBORGS LÄN</t>
        </is>
      </c>
      <c r="G679" t="inlineStr">
        <is>
          <t>NORDANSTIG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20747-2023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45058</v>
      </c>
      <c r="E680" s="1" t="n">
        <v>46313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46313</v>
      </c>
      <c r="F681" t="inlineStr">
        <is>
          <t>GÄVLEBORGS LÄN</t>
        </is>
      </c>
      <c r="G681" t="inlineStr">
        <is>
          <t>NORDANSTIG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11592-2026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46313</v>
      </c>
      <c r="F682" t="inlineStr">
        <is>
          <t>GÄVLEBORGS LÄN</t>
        </is>
      </c>
      <c r="G682" t="inlineStr">
        <is>
          <t>NORDANSTIG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11578-2026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46313</v>
      </c>
      <c r="F683" t="inlineStr">
        <is>
          <t>GÄVLEBORGS LÄN</t>
        </is>
      </c>
      <c r="G683" t="inlineStr">
        <is>
          <t>NORDANSTIG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46313</v>
      </c>
      <c r="F684" t="inlineStr">
        <is>
          <t>GÄVLEBORGS LÄN</t>
        </is>
      </c>
      <c r="G684" t="inlineStr">
        <is>
          <t>NORDANSTIG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46313</v>
      </c>
      <c r="F685" t="inlineStr">
        <is>
          <t>GÄVLEBORGS LÄN</t>
        </is>
      </c>
      <c r="G685" t="inlineStr">
        <is>
          <t>NORDANSTIG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45541</v>
      </c>
      <c r="E686" s="1" t="n">
        <v>46313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46086</v>
      </c>
      <c r="E687" s="1" t="n">
        <v>46313</v>
      </c>
      <c r="F687" t="inlineStr">
        <is>
          <t>GÄVLEBORGS LÄN</t>
        </is>
      </c>
      <c r="G687" t="inlineStr">
        <is>
          <t>NORDANSTIG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46313</v>
      </c>
      <c r="F688" t="inlineStr">
        <is>
          <t>GÄVLEBORGS LÄN</t>
        </is>
      </c>
      <c r="G688" t="inlineStr">
        <is>
          <t>NORDANSTIG</t>
        </is>
      </c>
      <c r="I688" t="n">
        <v>7.9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46313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45733</v>
      </c>
      <c r="E690" s="1" t="n">
        <v>46313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12334-2026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46313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17505-2025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46313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46090</v>
      </c>
      <c r="E693" s="1" t="n">
        <v>46313</v>
      </c>
      <c r="F693" t="inlineStr">
        <is>
          <t>GÄVLEBORGS LÄN</t>
        </is>
      </c>
      <c r="G693" t="inlineStr">
        <is>
          <t>NORDANSTIG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45902</v>
      </c>
      <c r="E694" s="1" t="n">
        <v>46313</v>
      </c>
      <c r="F694" t="inlineStr">
        <is>
          <t>GÄVLEBORGS LÄN</t>
        </is>
      </c>
      <c r="G694" t="inlineStr">
        <is>
          <t>NORDANSTIG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46313</v>
      </c>
      <c r="F695" t="inlineStr">
        <is>
          <t>GÄVLEBORGS LÄN</t>
        </is>
      </c>
      <c r="G695" t="inlineStr">
        <is>
          <t>NORDANSTIG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46313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45636</v>
      </c>
      <c r="E697" s="1" t="n">
        <v>46313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12956-2026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46092</v>
      </c>
      <c r="E698" s="1" t="n">
        <v>46313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38241-2024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46313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45034</v>
      </c>
      <c r="E700" s="1" t="n">
        <v>46313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18988-2022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44690</v>
      </c>
      <c r="E701" s="1" t="n">
        <v>46313</v>
      </c>
      <c r="F701" t="inlineStr">
        <is>
          <t>GÄVLEBORGS LÄN</t>
        </is>
      </c>
      <c r="G701" t="inlineStr">
        <is>
          <t>NORDANSTIG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46313</v>
      </c>
      <c r="F702" t="inlineStr">
        <is>
          <t>GÄVLEBORGS LÄN</t>
        </is>
      </c>
      <c r="G702" t="inlineStr">
        <is>
          <t>NORDANSTIG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46313</v>
      </c>
      <c r="F703" t="inlineStr">
        <is>
          <t>GÄVLEBORGS LÄN</t>
        </is>
      </c>
      <c r="G703" t="inlineStr">
        <is>
          <t>NORDANSTIG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46313</v>
      </c>
      <c r="F704" t="inlineStr">
        <is>
          <t>GÄVLEBORGS LÄN</t>
        </is>
      </c>
      <c r="G704" t="inlineStr">
        <is>
          <t>NORDANSTIG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13978-2026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46098</v>
      </c>
      <c r="E705" s="1" t="n">
        <v>46313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27975-2026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46313</v>
      </c>
      <c r="F706" t="inlineStr">
        <is>
          <t>GÄVLEBORGS LÄN</t>
        </is>
      </c>
      <c r="G706" t="inlineStr">
        <is>
          <t>NORDANSTIG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46313</v>
      </c>
      <c r="F707" t="inlineStr">
        <is>
          <t>GÄVLEBORGS LÄN</t>
        </is>
      </c>
      <c r="G707" t="inlineStr">
        <is>
          <t>NORDANSTIG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46313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46313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28391-2026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46313</v>
      </c>
      <c r="F710" t="inlineStr">
        <is>
          <t>GÄVLEBORGS LÄN</t>
        </is>
      </c>
      <c r="G710" t="inlineStr">
        <is>
          <t>NORDANSTIG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46313</v>
      </c>
      <c r="F711" t="inlineStr">
        <is>
          <t>GÄVLEBORGS LÄN</t>
        </is>
      </c>
      <c r="G711" t="inlineStr">
        <is>
          <t>NORDANSTIG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34557-2023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45140</v>
      </c>
      <c r="E712" s="1" t="n">
        <v>46313</v>
      </c>
      <c r="F712" t="inlineStr">
        <is>
          <t>GÄVLEBORGS LÄN</t>
        </is>
      </c>
      <c r="G712" t="inlineStr">
        <is>
          <t>NORDANSTIG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46313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46313</v>
      </c>
      <c r="F714" t="inlineStr">
        <is>
          <t>GÄVLEBORGS LÄN</t>
        </is>
      </c>
      <c r="G714" t="inlineStr">
        <is>
          <t>NORDANSTIG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15009-2026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46313</v>
      </c>
      <c r="F715" t="inlineStr">
        <is>
          <t>GÄVLEBORGS LÄN</t>
        </is>
      </c>
      <c r="G715" t="inlineStr">
        <is>
          <t>NORDANSTIG</t>
        </is>
      </c>
      <c r="I715" t="n">
        <v>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15010-2026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46313</v>
      </c>
      <c r="F716" t="inlineStr">
        <is>
          <t>GÄVLEBORGS LÄN</t>
        </is>
      </c>
      <c r="G716" t="inlineStr">
        <is>
          <t>NORDANSTIG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46313</v>
      </c>
      <c r="F717" t="inlineStr">
        <is>
          <t>GÄVLEBORGS LÄN</t>
        </is>
      </c>
      <c r="G717" t="inlineStr">
        <is>
          <t>NORDANSTIG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28226-2026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46313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47876-2023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45204</v>
      </c>
      <c r="E719" s="1" t="n">
        <v>46313</v>
      </c>
      <c r="F719" t="inlineStr">
        <is>
          <t>GÄVLEBORGS LÄN</t>
        </is>
      </c>
      <c r="G719" t="inlineStr">
        <is>
          <t>NORDANSTIG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46313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57863-2024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45631</v>
      </c>
      <c r="E721" s="1" t="n">
        <v>46313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46313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44930</v>
      </c>
      <c r="E723" s="1" t="n">
        <v>46313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46313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46313</v>
      </c>
      <c r="F725" t="inlineStr">
        <is>
          <t>GÄVLEBORGS LÄN</t>
        </is>
      </c>
      <c r="G725" t="inlineStr">
        <is>
          <t>NORDANSTIG</t>
        </is>
      </c>
      <c r="H725" t="inlineStr">
        <is>
          <t>Kommuner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16184-2026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46313</v>
      </c>
      <c r="F726" t="inlineStr">
        <is>
          <t>GÄVLEBORGS LÄN</t>
        </is>
      </c>
      <c r="G726" t="inlineStr">
        <is>
          <t>NORDANSTIG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46111</v>
      </c>
      <c r="E727" s="1" t="n">
        <v>46313</v>
      </c>
      <c r="F727" t="inlineStr">
        <is>
          <t>GÄVLEBORGS LÄN</t>
        </is>
      </c>
      <c r="G727" t="inlineStr">
        <is>
          <t>NORDANSTIG</t>
        </is>
      </c>
      <c r="H727" t="inlineStr">
        <is>
          <t>Kommuner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46313</v>
      </c>
      <c r="F728" t="inlineStr">
        <is>
          <t>GÄVLEBORGS LÄN</t>
        </is>
      </c>
      <c r="G728" t="inlineStr">
        <is>
          <t>NORDANSTIG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46313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46313</v>
      </c>
      <c r="F730" t="inlineStr">
        <is>
          <t>GÄVLEBORGS LÄN</t>
        </is>
      </c>
      <c r="G730" t="inlineStr">
        <is>
          <t>NORDANSTIG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16293-2026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46313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Kommuner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46111</v>
      </c>
      <c r="E732" s="1" t="n">
        <v>46313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42.1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46313</v>
      </c>
      <c r="F733" t="inlineStr">
        <is>
          <t>GÄVLEBORGS LÄN</t>
        </is>
      </c>
      <c r="G733" t="inlineStr">
        <is>
          <t>NORDANSTIG</t>
        </is>
      </c>
      <c r="H733" t="inlineStr">
        <is>
          <t>Kommuner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46313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46313</v>
      </c>
      <c r="F735" t="inlineStr">
        <is>
          <t>GÄVLEBORGS LÄN</t>
        </is>
      </c>
      <c r="G735" t="inlineStr">
        <is>
          <t>NORDANSTIG</t>
        </is>
      </c>
      <c r="I735" t="n">
        <v>17.6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28739-2026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46198</v>
      </c>
      <c r="E736" s="1" t="n">
        <v>46313</v>
      </c>
      <c r="F736" t="inlineStr">
        <is>
          <t>GÄVLEBORGS LÄN</t>
        </is>
      </c>
      <c r="G736" t="inlineStr">
        <is>
          <t>NORDANSTIG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46313</v>
      </c>
      <c r="F737" t="inlineStr">
        <is>
          <t>GÄVLEBORGS LÄN</t>
        </is>
      </c>
      <c r="G737" t="inlineStr">
        <is>
          <t>NORDANSTIG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46197</v>
      </c>
      <c r="E738" s="1" t="n">
        <v>46313</v>
      </c>
      <c r="F738" t="inlineStr">
        <is>
          <t>GÄVLEBORGS LÄN</t>
        </is>
      </c>
      <c r="G738" t="inlineStr">
        <is>
          <t>NORDANSTIG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45364</v>
      </c>
      <c r="E739" s="1" t="n">
        <v>46313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16703-2026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46313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46113</v>
      </c>
      <c r="E741" s="1" t="n">
        <v>46313</v>
      </c>
      <c r="F741" t="inlineStr">
        <is>
          <t>GÄVLEBORGS LÄN</t>
        </is>
      </c>
      <c r="G741" t="inlineStr">
        <is>
          <t>NORDANSTIG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37217-2024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46313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28734-2026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46313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46118</v>
      </c>
      <c r="E744" s="1" t="n">
        <v>46313</v>
      </c>
      <c r="F744" t="inlineStr">
        <is>
          <t>GÄVLEBORGS LÄN</t>
        </is>
      </c>
      <c r="G744" t="inlineStr">
        <is>
          <t>NORDANSTIG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46313</v>
      </c>
      <c r="F745" t="inlineStr">
        <is>
          <t>GÄVLEBORGS LÄN</t>
        </is>
      </c>
      <c r="G745" t="inlineStr">
        <is>
          <t>NORDANSTIG</t>
        </is>
      </c>
      <c r="I745" t="n">
        <v>16.3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46313</v>
      </c>
      <c r="F746" t="inlineStr">
        <is>
          <t>GÄVLEBORGS LÄN</t>
        </is>
      </c>
      <c r="G746" t="inlineStr">
        <is>
          <t>NORDANSTIG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46313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46120</v>
      </c>
      <c r="E748" s="1" t="n">
        <v>46313</v>
      </c>
      <c r="F748" t="inlineStr">
        <is>
          <t>GÄVLEBORGS LÄN</t>
        </is>
      </c>
      <c r="G748" t="inlineStr">
        <is>
          <t>NORDANSTIG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46313</v>
      </c>
      <c r="F749" t="inlineStr">
        <is>
          <t>GÄVLEBORGS LÄN</t>
        </is>
      </c>
      <c r="G749" t="inlineStr">
        <is>
          <t>NORDANSTIG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9131-2024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45358</v>
      </c>
      <c r="E750" s="1" t="n">
        <v>46313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46120</v>
      </c>
      <c r="E751" s="1" t="n">
        <v>46313</v>
      </c>
      <c r="F751" t="inlineStr">
        <is>
          <t>GÄVLEBORGS LÄN</t>
        </is>
      </c>
      <c r="G751" t="inlineStr">
        <is>
          <t>NORDANSTIG</t>
        </is>
      </c>
      <c r="I751" t="n">
        <v>9.800000000000001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46313</v>
      </c>
      <c r="F752" t="inlineStr">
        <is>
          <t>GÄVLEBORGS LÄN</t>
        </is>
      </c>
      <c r="G752" t="inlineStr">
        <is>
          <t>NORDANSTIG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17498-2026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46120</v>
      </c>
      <c r="E753" s="1" t="n">
        <v>46313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46313</v>
      </c>
      <c r="F754" t="inlineStr">
        <is>
          <t>GÄVLEBORGS LÄN</t>
        </is>
      </c>
      <c r="G754" t="inlineStr">
        <is>
          <t>NORDANSTIG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4021-2023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44952</v>
      </c>
      <c r="E755" s="1" t="n">
        <v>46313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46313</v>
      </c>
      <c r="F756" t="inlineStr">
        <is>
          <t>GÄVLEBORGS LÄN</t>
        </is>
      </c>
      <c r="G756" t="inlineStr">
        <is>
          <t>NORDANSTIG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46313</v>
      </c>
      <c r="F757" t="inlineStr">
        <is>
          <t>GÄVLEBORGS LÄN</t>
        </is>
      </c>
      <c r="G757" t="inlineStr">
        <is>
          <t>NORDANSTIG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46313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46313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46313</v>
      </c>
      <c r="F760" t="inlineStr">
        <is>
          <t>GÄVLEBORGS LÄN</t>
        </is>
      </c>
      <c r="G760" t="inlineStr">
        <is>
          <t>NORDANSTIG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46313</v>
      </c>
      <c r="F761" t="inlineStr">
        <is>
          <t>GÄVLEBORGS LÄN</t>
        </is>
      </c>
      <c r="G761" t="inlineStr">
        <is>
          <t>NORDANSTIG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46376-2024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45582</v>
      </c>
      <c r="E762" s="1" t="n">
        <v>46313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46126</v>
      </c>
      <c r="E763" s="1" t="n">
        <v>46313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25200-2022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44729</v>
      </c>
      <c r="E764" s="1" t="n">
        <v>46313</v>
      </c>
      <c r="F764" t="inlineStr">
        <is>
          <t>GÄVLEBORGS LÄN</t>
        </is>
      </c>
      <c r="G764" t="inlineStr">
        <is>
          <t>NORDANSTIG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46313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22547-2022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44713</v>
      </c>
      <c r="E766" s="1" t="n">
        <v>46313</v>
      </c>
      <c r="F766" t="inlineStr">
        <is>
          <t>GÄVLEBORGS LÄN</t>
        </is>
      </c>
      <c r="G766" t="inlineStr">
        <is>
          <t>NORDANSTIG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30816-2022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44765</v>
      </c>
      <c r="E767" s="1" t="n">
        <v>46313</v>
      </c>
      <c r="F767" t="inlineStr">
        <is>
          <t>GÄVLEBORGS LÄN</t>
        </is>
      </c>
      <c r="G767" t="inlineStr">
        <is>
          <t>NORDANSTIG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19367-2026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46313</v>
      </c>
      <c r="F768" t="inlineStr">
        <is>
          <t>GÄVLEBORGS LÄN</t>
        </is>
      </c>
      <c r="G768" t="inlineStr">
        <is>
          <t>NORDANSTIG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46313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46313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45771</v>
      </c>
      <c r="E771" s="1" t="n">
        <v>46313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46313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19679-2026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46134</v>
      </c>
      <c r="E773" s="1" t="n">
        <v>46313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59297-2024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46313</v>
      </c>
      <c r="F774" t="inlineStr">
        <is>
          <t>GÄVLEBORGS LÄN</t>
        </is>
      </c>
      <c r="G774" t="inlineStr">
        <is>
          <t>NORDANSTIG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21473-2023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45063</v>
      </c>
      <c r="E775" s="1" t="n">
        <v>46313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46313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46313</v>
      </c>
      <c r="F777" t="inlineStr">
        <is>
          <t>GÄVLEBORGS LÄN</t>
        </is>
      </c>
      <c r="G777" t="inlineStr">
        <is>
          <t>NORDANSTIG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17843-2023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45037</v>
      </c>
      <c r="E778" s="1" t="n">
        <v>46313</v>
      </c>
      <c r="F778" t="inlineStr">
        <is>
          <t>GÄVLEBORGS LÄN</t>
        </is>
      </c>
      <c r="G778" t="inlineStr">
        <is>
          <t>NORDANSTIG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36025-2023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46313</v>
      </c>
      <c r="F779" t="inlineStr">
        <is>
          <t>GÄVLEBORGS LÄN</t>
        </is>
      </c>
      <c r="G779" t="inlineStr">
        <is>
          <t>NORDANSTIG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41616-2023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46313</v>
      </c>
      <c r="F780" t="inlineStr">
        <is>
          <t>GÄVLEBORGS LÄN</t>
        </is>
      </c>
      <c r="G780" t="inlineStr">
        <is>
          <t>NORDANSTIG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46313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9976-2026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46313</v>
      </c>
      <c r="F782" t="inlineStr">
        <is>
          <t>GÄVLEBORGS LÄN</t>
        </is>
      </c>
      <c r="G782" t="inlineStr">
        <is>
          <t>NORDANSTIG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46313</v>
      </c>
      <c r="F783" t="inlineStr">
        <is>
          <t>GÄVLEBORGS LÄN</t>
        </is>
      </c>
      <c r="G783" t="inlineStr">
        <is>
          <t>NORDANSTIG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30263-2026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46313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57976-2022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44900</v>
      </c>
      <c r="E785" s="1" t="n">
        <v>46313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57983-2022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44900</v>
      </c>
      <c r="E786" s="1" t="n">
        <v>46313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21187-2022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44704</v>
      </c>
      <c r="E787" s="1" t="n">
        <v>46313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51806-2024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46313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51821-2024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46313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54156-2024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45616</v>
      </c>
      <c r="E790" s="1" t="n">
        <v>46313</v>
      </c>
      <c r="F790" t="inlineStr">
        <is>
          <t>GÄVLEBORGS LÄN</t>
        </is>
      </c>
      <c r="G790" t="inlineStr">
        <is>
          <t>NORDANSTIG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46313</v>
      </c>
      <c r="F791" t="inlineStr">
        <is>
          <t>GÄVLEBORGS LÄN</t>
        </is>
      </c>
      <c r="G791" t="inlineStr">
        <is>
          <t>NORDANSTIG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46313</v>
      </c>
      <c r="F792" t="inlineStr">
        <is>
          <t>GÄVLEBORGS LÄN</t>
        </is>
      </c>
      <c r="G792" t="inlineStr">
        <is>
          <t>NORDANSTIG</t>
        </is>
      </c>
      <c r="I792" t="n">
        <v>8.1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45590</v>
      </c>
      <c r="E793" s="1" t="n">
        <v>46313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30630-2022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44763</v>
      </c>
      <c r="E794" s="1" t="n">
        <v>46313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36960-2023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45154</v>
      </c>
      <c r="E795" s="1" t="n">
        <v>46313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45504</v>
      </c>
      <c r="E796" s="1" t="n">
        <v>46313</v>
      </c>
      <c r="F796" t="inlineStr">
        <is>
          <t>GÄVLEBORGS LÄN</t>
        </is>
      </c>
      <c r="G796" t="inlineStr">
        <is>
          <t>NORDANSTIG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45219</v>
      </c>
      <c r="E797" s="1" t="n">
        <v>46313</v>
      </c>
      <c r="F797" t="inlineStr">
        <is>
          <t>GÄVLEBORGS LÄN</t>
        </is>
      </c>
      <c r="G797" t="inlineStr">
        <is>
          <t>NORDANSTIG</t>
        </is>
      </c>
      <c r="H797" t="inlineStr">
        <is>
          <t>SCA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45695</v>
      </c>
      <c r="E798" s="1" t="n">
        <v>46313</v>
      </c>
      <c r="F798" t="inlineStr">
        <is>
          <t>GÄVLEBORGS LÄN</t>
        </is>
      </c>
      <c r="G798" t="inlineStr">
        <is>
          <t>NORDANSTIG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30431-2026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46209</v>
      </c>
      <c r="E799" s="1" t="n">
        <v>46313</v>
      </c>
      <c r="F799" t="inlineStr">
        <is>
          <t>GÄVLEBORGS LÄN</t>
        </is>
      </c>
      <c r="G799" t="inlineStr">
        <is>
          <t>NORDANSTIG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17482-2022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44679</v>
      </c>
      <c r="E800" s="1" t="n">
        <v>46313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54519-2024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46313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11087-2022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44628</v>
      </c>
      <c r="E802" s="1" t="n">
        <v>46313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30428-2026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46209</v>
      </c>
      <c r="E803" s="1" t="n">
        <v>46313</v>
      </c>
      <c r="F803" t="inlineStr">
        <is>
          <t>GÄVLEBORGS LÄN</t>
        </is>
      </c>
      <c r="G803" t="inlineStr">
        <is>
          <t>NORDANSTIG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30390-2026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46209</v>
      </c>
      <c r="E804" s="1" t="n">
        <v>46313</v>
      </c>
      <c r="F804" t="inlineStr">
        <is>
          <t>GÄVLEBORGS LÄN</t>
        </is>
      </c>
      <c r="G804" t="inlineStr">
        <is>
          <t>NORDANSTIG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46209</v>
      </c>
      <c r="E805" s="1" t="n">
        <v>46313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52006-2024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46313</v>
      </c>
      <c r="F806" t="inlineStr">
        <is>
          <t>GÄVLEBORGS LÄN</t>
        </is>
      </c>
      <c r="G806" t="inlineStr">
        <is>
          <t>NORDANSTIG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46313</v>
      </c>
      <c r="F807" t="inlineStr">
        <is>
          <t>GÄVLEBORGS LÄN</t>
        </is>
      </c>
      <c r="G807" t="inlineStr">
        <is>
          <t>NORDANSTIG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46313</v>
      </c>
      <c r="F808" t="inlineStr">
        <is>
          <t>GÄVLEBORGS LÄN</t>
        </is>
      </c>
      <c r="G808" t="inlineStr">
        <is>
          <t>NORDANSTIG</t>
        </is>
      </c>
      <c r="I808" t="n">
        <v>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54401-2024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45617</v>
      </c>
      <c r="E809" s="1" t="n">
        <v>46313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10042-2025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45719</v>
      </c>
      <c r="E810" s="1" t="n">
        <v>46313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8646-2026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46313</v>
      </c>
      <c r="F811" t="inlineStr">
        <is>
          <t>GÄVLEBORGS LÄN</t>
        </is>
      </c>
      <c r="G811" t="inlineStr">
        <is>
          <t>NORDANSTIG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12266-2025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46313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26728-2022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44739</v>
      </c>
      <c r="E813" s="1" t="n">
        <v>46313</v>
      </c>
      <c r="F813" t="inlineStr">
        <is>
          <t>GÄVLEBORGS LÄN</t>
        </is>
      </c>
      <c r="G813" t="inlineStr">
        <is>
          <t>NORDANSTIG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30899-2026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46213</v>
      </c>
      <c r="E814" s="1" t="n">
        <v>46313</v>
      </c>
      <c r="F814" t="inlineStr">
        <is>
          <t>GÄVLEBORGS LÄN</t>
        </is>
      </c>
      <c r="G814" t="inlineStr">
        <is>
          <t>NORDANSTIG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46313</v>
      </c>
      <c r="F815" t="inlineStr">
        <is>
          <t>GÄVLEBORGS LÄN</t>
        </is>
      </c>
      <c r="G815" t="inlineStr">
        <is>
          <t>NORDANSTIG</t>
        </is>
      </c>
      <c r="I815" t="n">
        <v>14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44500-2024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46313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46313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60675-2024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45644</v>
      </c>
      <c r="E818" s="1" t="n">
        <v>46313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26700-2026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46313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46313</v>
      </c>
      <c r="F820" t="inlineStr">
        <is>
          <t>GÄVLEBORGS LÄN</t>
        </is>
      </c>
      <c r="G820" t="inlineStr">
        <is>
          <t>NORDANSTIG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44938</v>
      </c>
      <c r="E821" s="1" t="n">
        <v>46313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43893-2023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45187</v>
      </c>
      <c r="E822" s="1" t="n">
        <v>46313</v>
      </c>
      <c r="F822" t="inlineStr">
        <is>
          <t>GÄVLEBORGS LÄN</t>
        </is>
      </c>
      <c r="G822" t="inlineStr">
        <is>
          <t>NORDANSTIG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46313</v>
      </c>
      <c r="F823" t="inlineStr">
        <is>
          <t>GÄVLEBORGS LÄN</t>
        </is>
      </c>
      <c r="G823" t="inlineStr">
        <is>
          <t>NORDANSTIG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31385-2026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46313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31406-2026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46220</v>
      </c>
      <c r="E825" s="1" t="n">
        <v>46313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46220</v>
      </c>
      <c r="E826" s="1" t="n">
        <v>46313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21153-2023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45062</v>
      </c>
      <c r="E827" s="1" t="n">
        <v>46313</v>
      </c>
      <c r="F827" t="inlineStr">
        <is>
          <t>GÄVLEBORGS LÄN</t>
        </is>
      </c>
      <c r="G827" t="inlineStr">
        <is>
          <t>NORDANSTIG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46223</v>
      </c>
      <c r="E828" s="1" t="n">
        <v>46313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46313</v>
      </c>
      <c r="F829" t="inlineStr">
        <is>
          <t>GÄVLEBORGS LÄN</t>
        </is>
      </c>
      <c r="G829" t="inlineStr">
        <is>
          <t>NORDANSTIG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44952</v>
      </c>
      <c r="E830" s="1" t="n">
        <v>46313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44952</v>
      </c>
      <c r="E831" s="1" t="n">
        <v>46313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31708-2026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46226</v>
      </c>
      <c r="E832" s="1" t="n">
        <v>46313</v>
      </c>
      <c r="F832" t="inlineStr">
        <is>
          <t>GÄVLEBORGS LÄN</t>
        </is>
      </c>
      <c r="G832" t="inlineStr">
        <is>
          <t>NORDANSTIG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32602-2024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45513</v>
      </c>
      <c r="E833" s="1" t="n">
        <v>46313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73389-2021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46313</v>
      </c>
      <c r="F834" t="inlineStr">
        <is>
          <t>GÄVLEBORGS LÄN</t>
        </is>
      </c>
      <c r="G834" t="inlineStr">
        <is>
          <t>NORDANSTIG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45142</v>
      </c>
      <c r="E835" s="1" t="n">
        <v>46313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37028-2026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46273</v>
      </c>
      <c r="E836" s="1" t="n">
        <v>46313</v>
      </c>
      <c r="F836" t="inlineStr">
        <is>
          <t>GÄVLEBORGS LÄN</t>
        </is>
      </c>
      <c r="G836" t="inlineStr">
        <is>
          <t>NORDANSTIG</t>
        </is>
      </c>
      <c r="H836" t="inlineStr">
        <is>
          <t>SCA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34918-2023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45142</v>
      </c>
      <c r="E837" s="1" t="n">
        <v>46313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46313</v>
      </c>
      <c r="F838" t="inlineStr">
        <is>
          <t>GÄVLEBORGS LÄN</t>
        </is>
      </c>
      <c r="G838" t="inlineStr">
        <is>
          <t>NORDANSTIG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37013-2026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46313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36714-2026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46272</v>
      </c>
      <c r="E840" s="1" t="n">
        <v>46313</v>
      </c>
      <c r="F840" t="inlineStr">
        <is>
          <t>GÄVLEBORGS LÄN</t>
        </is>
      </c>
      <c r="G840" t="inlineStr">
        <is>
          <t>NORDANSTIG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25273-2024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45462</v>
      </c>
      <c r="E841" s="1" t="n">
        <v>46313</v>
      </c>
      <c r="F841" t="inlineStr">
        <is>
          <t>GÄVLEBORGS LÄN</t>
        </is>
      </c>
      <c r="G841" t="inlineStr">
        <is>
          <t>NORDANSTIG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19569-2025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45770</v>
      </c>
      <c r="E842" s="1" t="n">
        <v>46313</v>
      </c>
      <c r="F842" t="inlineStr">
        <is>
          <t>GÄVLEBORGS LÄN</t>
        </is>
      </c>
      <c r="G842" t="inlineStr">
        <is>
          <t>NORDANSTIG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37016-2026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46273</v>
      </c>
      <c r="E843" s="1" t="n">
        <v>46313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51250-2022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44868</v>
      </c>
      <c r="E844" s="1" t="n">
        <v>46313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46313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37241-2026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46313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58870-2023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45252</v>
      </c>
      <c r="E847" s="1" t="n">
        <v>46313</v>
      </c>
      <c r="F847" t="inlineStr">
        <is>
          <t>GÄVLEBORGS LÄN</t>
        </is>
      </c>
      <c r="G847" t="inlineStr">
        <is>
          <t>NORDANSTIG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37135-2026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46313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51091-2024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45603</v>
      </c>
      <c r="E849" s="1" t="n">
        <v>46313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30130-2024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45489</v>
      </c>
      <c r="E850" s="1" t="n">
        <v>46313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25402-2024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45463</v>
      </c>
      <c r="E851" s="1" t="n">
        <v>46313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54385-2024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46313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52206-2022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44869</v>
      </c>
      <c r="E853" s="1" t="n">
        <v>46313</v>
      </c>
      <c r="F853" t="inlineStr">
        <is>
          <t>GÄVLEBORGS LÄN</t>
        </is>
      </c>
      <c r="G853" t="inlineStr">
        <is>
          <t>NORDANSTIG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32092-2026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46234</v>
      </c>
      <c r="E854" s="1" t="n">
        <v>46313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45687</v>
      </c>
      <c r="E855" s="1" t="n">
        <v>46313</v>
      </c>
      <c r="F855" t="inlineStr">
        <is>
          <t>GÄVLEBORGS LÄN</t>
        </is>
      </c>
      <c r="G855" t="inlineStr">
        <is>
          <t>NORDANSTIG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12398-2023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44999</v>
      </c>
      <c r="E856" s="1" t="n">
        <v>46313</v>
      </c>
      <c r="F856" t="inlineStr">
        <is>
          <t>GÄVLEBORGS LÄN</t>
        </is>
      </c>
      <c r="G856" t="inlineStr">
        <is>
          <t>NORDANSTIG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44965</v>
      </c>
      <c r="E857" s="1" t="n">
        <v>46313</v>
      </c>
      <c r="F857" t="inlineStr">
        <is>
          <t>GÄVLEBORGS LÄN</t>
        </is>
      </c>
      <c r="G857" t="inlineStr">
        <is>
          <t>NORDANSTIG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2105-2023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44939</v>
      </c>
      <c r="E858" s="1" t="n">
        <v>46313</v>
      </c>
      <c r="F858" t="inlineStr">
        <is>
          <t>GÄVLEBORGS LÄN</t>
        </is>
      </c>
      <c r="G858" t="inlineStr">
        <is>
          <t>NORDANSTIG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46313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15464-2023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45020</v>
      </c>
      <c r="E860" s="1" t="n">
        <v>46313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46313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60285-2024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45642</v>
      </c>
      <c r="E862" s="1" t="n">
        <v>46313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58162-2024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45632</v>
      </c>
      <c r="E863" s="1" t="n">
        <v>46313</v>
      </c>
      <c r="F863" t="inlineStr">
        <is>
          <t>GÄVLEBORGS LÄN</t>
        </is>
      </c>
      <c r="G863" t="inlineStr">
        <is>
          <t>NORDANSTIG</t>
        </is>
      </c>
      <c r="H863" t="inlineStr">
        <is>
          <t>Kyrkan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46280</v>
      </c>
      <c r="E864" s="1" t="n">
        <v>46313</v>
      </c>
      <c r="F864" t="inlineStr">
        <is>
          <t>GÄVLEBORGS LÄN</t>
        </is>
      </c>
      <c r="G864" t="inlineStr">
        <is>
          <t>NORDANSTIG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37979-2026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46313</v>
      </c>
      <c r="F865" t="inlineStr">
        <is>
          <t>GÄVLEBORGS LÄN</t>
        </is>
      </c>
      <c r="G865" t="inlineStr">
        <is>
          <t>NORDANSTIG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72820-2021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44547</v>
      </c>
      <c r="E866" s="1" t="n">
        <v>46313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45223</v>
      </c>
      <c r="E867" s="1" t="n">
        <v>46313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46238</v>
      </c>
      <c r="E868" s="1" t="n">
        <v>46313</v>
      </c>
      <c r="F868" t="inlineStr">
        <is>
          <t>GÄVLEBORGS LÄN</t>
        </is>
      </c>
      <c r="G868" t="inlineStr">
        <is>
          <t>NORDANSTIG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4414-2022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44589</v>
      </c>
      <c r="E869" s="1" t="n">
        <v>46313</v>
      </c>
      <c r="F869" t="inlineStr">
        <is>
          <t>GÄVLEBORGS LÄN</t>
        </is>
      </c>
      <c r="G869" t="inlineStr">
        <is>
          <t>NORDANSTIG</t>
        </is>
      </c>
      <c r="I869" t="n">
        <v>12.6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48636-2024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45593</v>
      </c>
      <c r="E870" s="1" t="n">
        <v>46313</v>
      </c>
      <c r="F870" t="inlineStr">
        <is>
          <t>GÄVLEBORGS LÄN</t>
        </is>
      </c>
      <c r="G870" t="inlineStr">
        <is>
          <t>NORDANSTIG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9884-2023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44985</v>
      </c>
      <c r="E871" s="1" t="n">
        <v>46313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38548-2026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46313</v>
      </c>
      <c r="F872" t="inlineStr">
        <is>
          <t>GÄVLEBORGS LÄN</t>
        </is>
      </c>
      <c r="G872" t="inlineStr">
        <is>
          <t>NORDANSTIG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26684-2026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46184</v>
      </c>
      <c r="E873" s="1" t="n">
        <v>46313</v>
      </c>
      <c r="F873" t="inlineStr">
        <is>
          <t>GÄVLEBORGS LÄN</t>
        </is>
      </c>
      <c r="G873" t="inlineStr">
        <is>
          <t>NORDANSTIG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55694-2024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45622</v>
      </c>
      <c r="E874" s="1" t="n">
        <v>46313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11434-2024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45372</v>
      </c>
      <c r="E875" s="1" t="n">
        <v>46313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15226-2023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46313</v>
      </c>
      <c r="F876" t="inlineStr">
        <is>
          <t>GÄVLEBORGS LÄN</t>
        </is>
      </c>
      <c r="G876" t="inlineStr">
        <is>
          <t>NORDANSTIG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19566-2025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45770</v>
      </c>
      <c r="E877" s="1" t="n">
        <v>46313</v>
      </c>
      <c r="F877" t="inlineStr">
        <is>
          <t>GÄVLEBORGS LÄN</t>
        </is>
      </c>
      <c r="G877" t="inlineStr">
        <is>
          <t>NORDANSTIG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38380-2026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46313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26842-2026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46313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50.7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23369-2022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46313</v>
      </c>
      <c r="F880" t="inlineStr">
        <is>
          <t>GÄVLEBORGS LÄN</t>
        </is>
      </c>
      <c r="G880" t="inlineStr">
        <is>
          <t>NORDANSTIG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12607-2024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45382</v>
      </c>
      <c r="E881" s="1" t="n">
        <v>46313</v>
      </c>
      <c r="F881" t="inlineStr">
        <is>
          <t>GÄVLEBORGS LÄN</t>
        </is>
      </c>
      <c r="G881" t="inlineStr">
        <is>
          <t>NORDANSTIG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45310-2022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44844</v>
      </c>
      <c r="E882" s="1" t="n">
        <v>46313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6820-2023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44967</v>
      </c>
      <c r="E883" s="1" t="n">
        <v>46313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44943</v>
      </c>
      <c r="E884" s="1" t="n">
        <v>46313</v>
      </c>
      <c r="F884" t="inlineStr">
        <is>
          <t>GÄVLEBORGS LÄN</t>
        </is>
      </c>
      <c r="G884" t="inlineStr">
        <is>
          <t>NORDANSTIG</t>
        </is>
      </c>
      <c r="I884" t="n">
        <v>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32917-2026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46313</v>
      </c>
      <c r="F885" t="inlineStr">
        <is>
          <t>GÄVLEBORGS LÄN</t>
        </is>
      </c>
      <c r="G885" t="inlineStr">
        <is>
          <t>NORDANSTIG</t>
        </is>
      </c>
      <c r="I885" t="n">
        <v>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43075-2024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45567</v>
      </c>
      <c r="E886" s="1" t="n">
        <v>46313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58891-2024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45636</v>
      </c>
      <c r="E887" s="1" t="n">
        <v>46313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56351-2024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45624</v>
      </c>
      <c r="E888" s="1" t="n">
        <v>46313</v>
      </c>
      <c r="F888" t="inlineStr">
        <is>
          <t>GÄVLEBORGS LÄN</t>
        </is>
      </c>
      <c r="G888" t="inlineStr">
        <is>
          <t>NORDANSTIG</t>
        </is>
      </c>
      <c r="I888" t="n">
        <v>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58112-2024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45632</v>
      </c>
      <c r="E889" s="1" t="n">
        <v>46313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32938-2026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46313</v>
      </c>
      <c r="F890" t="inlineStr">
        <is>
          <t>GÄVLEBORGS LÄN</t>
        </is>
      </c>
      <c r="G890" t="inlineStr">
        <is>
          <t>NORDANSTIG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32726-2026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46241</v>
      </c>
      <c r="E891" s="1" t="n">
        <v>46313</v>
      </c>
      <c r="F891" t="inlineStr">
        <is>
          <t>GÄVLEBORGS LÄN</t>
        </is>
      </c>
      <c r="G891" t="inlineStr">
        <is>
          <t>NORDANSTIG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18525-2025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45763</v>
      </c>
      <c r="E892" s="1" t="n">
        <v>46313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39376-2026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46313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62816-2023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45271</v>
      </c>
      <c r="E894" s="1" t="n">
        <v>46313</v>
      </c>
      <c r="F894" t="inlineStr">
        <is>
          <t>GÄVLEBORGS LÄN</t>
        </is>
      </c>
      <c r="G894" t="inlineStr">
        <is>
          <t>NORDANSTIG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39584-2026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46289</v>
      </c>
      <c r="E895" s="1" t="n">
        <v>46313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37295-2022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44808</v>
      </c>
      <c r="E896" s="1" t="n">
        <v>46313</v>
      </c>
      <c r="F896" t="inlineStr">
        <is>
          <t>GÄVLEBORGS LÄN</t>
        </is>
      </c>
      <c r="G896" t="inlineStr">
        <is>
          <t>NORDANSTIG</t>
        </is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15385-2023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45019</v>
      </c>
      <c r="E897" s="1" t="n">
        <v>46313</v>
      </c>
      <c r="F897" t="inlineStr">
        <is>
          <t>GÄVLEBORGS LÄN</t>
        </is>
      </c>
      <c r="G897" t="inlineStr">
        <is>
          <t>NORDANSTIG</t>
        </is>
      </c>
      <c r="I897" t="n">
        <v>5.9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44603</v>
      </c>
      <c r="E898" s="1" t="n">
        <v>46313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55531-2024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46313</v>
      </c>
      <c r="F899" t="inlineStr">
        <is>
          <t>GÄVLEBORGS LÄN</t>
        </is>
      </c>
      <c r="G899" t="inlineStr">
        <is>
          <t>NORDANSTIG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7013-2023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44967</v>
      </c>
      <c r="E900" s="1" t="n">
        <v>46313</v>
      </c>
      <c r="F900" t="inlineStr">
        <is>
          <t>GÄVLEBORGS LÄN</t>
        </is>
      </c>
      <c r="G900" t="inlineStr">
        <is>
          <t>NORDANSTIG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7014-2023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44967</v>
      </c>
      <c r="E901" s="1" t="n">
        <v>46313</v>
      </c>
      <c r="F901" t="inlineStr">
        <is>
          <t>GÄVLEBORGS LÄN</t>
        </is>
      </c>
      <c r="G901" t="inlineStr">
        <is>
          <t>NORDANSTIG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46313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54524-2024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46313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59422-2022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44907</v>
      </c>
      <c r="E904" s="1" t="n">
        <v>46313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39314-2026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46288</v>
      </c>
      <c r="E905" s="1" t="n">
        <v>46313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14.6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39675-2026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46313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37031-2024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45539</v>
      </c>
      <c r="E907" s="1" t="n">
        <v>46313</v>
      </c>
      <c r="F907" t="inlineStr">
        <is>
          <t>GÄVLEBORGS LÄN</t>
        </is>
      </c>
      <c r="G907" t="inlineStr">
        <is>
          <t>NORDANSTIG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46313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51988-2024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45607</v>
      </c>
      <c r="E909" s="1" t="n">
        <v>46313</v>
      </c>
      <c r="F909" t="inlineStr">
        <is>
          <t>GÄVLEBORGS LÄN</t>
        </is>
      </c>
      <c r="G909" t="inlineStr">
        <is>
          <t>NORDANSTIG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38346-2024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45545</v>
      </c>
      <c r="E910" s="1" t="n">
        <v>46313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18322-2024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45422</v>
      </c>
      <c r="E911" s="1" t="n">
        <v>46313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54685-2024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45618</v>
      </c>
      <c r="E912" s="1" t="n">
        <v>46313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46313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4.7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40110-2026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46293</v>
      </c>
      <c r="E914" s="1" t="n">
        <v>46313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23417-2023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45076</v>
      </c>
      <c r="E915" s="1" t="n">
        <v>46313</v>
      </c>
      <c r="F915" t="inlineStr">
        <is>
          <t>GÄVLEBORGS LÄN</t>
        </is>
      </c>
      <c r="G915" t="inlineStr">
        <is>
          <t>NORDANSTIG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21085-2024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45439</v>
      </c>
      <c r="E916" s="1" t="n">
        <v>46313</v>
      </c>
      <c r="F916" t="inlineStr">
        <is>
          <t>GÄVLEBORGS LÄN</t>
        </is>
      </c>
      <c r="G916" t="inlineStr">
        <is>
          <t>NORDANSTIG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20512-2022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44699</v>
      </c>
      <c r="E917" s="1" t="n">
        <v>46313</v>
      </c>
      <c r="F917" t="inlineStr">
        <is>
          <t>GÄVLEBORGS LÄN</t>
        </is>
      </c>
      <c r="G917" t="inlineStr">
        <is>
          <t>NORDANSTIG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8898-2024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45357</v>
      </c>
      <c r="E918" s="1" t="n">
        <v>46313</v>
      </c>
      <c r="F918" t="inlineStr">
        <is>
          <t>GÄVLEBORGS LÄN</t>
        </is>
      </c>
      <c r="G918" t="inlineStr">
        <is>
          <t>NORDANSTIG</t>
        </is>
      </c>
      <c r="I918" t="n">
        <v>8.199999999999999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41620-2023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45175</v>
      </c>
      <c r="E919" s="1" t="n">
        <v>46313</v>
      </c>
      <c r="F919" t="inlineStr">
        <is>
          <t>GÄVLEBORGS LÄN</t>
        </is>
      </c>
      <c r="G919" t="inlineStr">
        <is>
          <t>NORDANSTIG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12764-2025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45733</v>
      </c>
      <c r="E920" s="1" t="n">
        <v>46313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53691-2024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45615</v>
      </c>
      <c r="E921" s="1" t="n">
        <v>46313</v>
      </c>
      <c r="F921" t="inlineStr">
        <is>
          <t>GÄVLEBORGS LÄN</t>
        </is>
      </c>
      <c r="G921" t="inlineStr">
        <is>
          <t>NORDANSTIG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33884-2026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46251</v>
      </c>
      <c r="E922" s="1" t="n">
        <v>46313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14532-2026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46100</v>
      </c>
      <c r="E923" s="1" t="n">
        <v>46313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44964</v>
      </c>
      <c r="E924" s="1" t="n">
        <v>46313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28777-2026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46313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40348-2026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46294</v>
      </c>
      <c r="E926" s="1" t="n">
        <v>46313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46313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59799-2022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46313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9031-2026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46069</v>
      </c>
      <c r="E929" s="1" t="n">
        <v>46313</v>
      </c>
      <c r="F929" t="inlineStr">
        <is>
          <t>GÄVLEBORGS LÄN</t>
        </is>
      </c>
      <c r="G929" t="inlineStr">
        <is>
          <t>NORDANSTIG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18332-2024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45422</v>
      </c>
      <c r="E930" s="1" t="n">
        <v>46313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31894-2026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46231</v>
      </c>
      <c r="E931" s="1" t="n">
        <v>46313</v>
      </c>
      <c r="F931" t="inlineStr">
        <is>
          <t>GÄVLEBORGS LÄN</t>
        </is>
      </c>
      <c r="G931" t="inlineStr">
        <is>
          <t>NORDANSTIG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31571-2024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45506</v>
      </c>
      <c r="E932" s="1" t="n">
        <v>46313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5411-2022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44595</v>
      </c>
      <c r="E933" s="1" t="n">
        <v>46313</v>
      </c>
      <c r="F933" t="inlineStr">
        <is>
          <t>GÄVLEBORGS LÄN</t>
        </is>
      </c>
      <c r="G933" t="inlineStr">
        <is>
          <t>NORDANSTIG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55450-2024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45622</v>
      </c>
      <c r="E934" s="1" t="n">
        <v>46313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55498-2024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46313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41957-2023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45177</v>
      </c>
      <c r="E936" s="1" t="n">
        <v>46313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10069-2025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45719</v>
      </c>
      <c r="E937" s="1" t="n">
        <v>46313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60839-2023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45260</v>
      </c>
      <c r="E938" s="1" t="n">
        <v>46313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29162-2026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46313</v>
      </c>
      <c r="F939" t="inlineStr">
        <is>
          <t>GÄVLEBORGS LÄN</t>
        </is>
      </c>
      <c r="G939" t="inlineStr">
        <is>
          <t>NORDANSTIG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46313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46313</v>
      </c>
      <c r="F941" t="inlineStr">
        <is>
          <t>GÄVLEBORGS LÄN</t>
        </is>
      </c>
      <c r="G941" t="inlineStr">
        <is>
          <t>NORDANSTIG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14402-2025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45741</v>
      </c>
      <c r="E942" s="1" t="n">
        <v>46313</v>
      </c>
      <c r="F942" t="inlineStr">
        <is>
          <t>GÄVLEBORGS LÄN</t>
        </is>
      </c>
      <c r="G942" t="inlineStr">
        <is>
          <t>NORDANSTIG</t>
        </is>
      </c>
      <c r="I942" t="n">
        <v>17.1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34475-2026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46254</v>
      </c>
      <c r="E943" s="1" t="n">
        <v>46313</v>
      </c>
      <c r="F943" t="inlineStr">
        <is>
          <t>GÄVLEBORGS LÄN</t>
        </is>
      </c>
      <c r="G943" t="inlineStr">
        <is>
          <t>NORDANSTIG</t>
        </is>
      </c>
      <c r="H943" t="inlineStr">
        <is>
          <t>SCA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48832-2022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44859</v>
      </c>
      <c r="E944" s="1" t="n">
        <v>46313</v>
      </c>
      <c r="F944" t="inlineStr">
        <is>
          <t>GÄVLEBORGS LÄN</t>
        </is>
      </c>
      <c r="G944" t="inlineStr">
        <is>
          <t>NORDANSTIG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46313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46313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46313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46313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46313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46313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46313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40723-2026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46296</v>
      </c>
      <c r="E952" s="1" t="n">
        <v>46313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9425-2026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46313</v>
      </c>
      <c r="F953" t="inlineStr">
        <is>
          <t>GÄVLEBORGS LÄN</t>
        </is>
      </c>
      <c r="G953" t="inlineStr">
        <is>
          <t>NORDANSTIG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46253</v>
      </c>
      <c r="E954" s="1" t="n">
        <v>46313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34248-2026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46253</v>
      </c>
      <c r="E955" s="1" t="n">
        <v>46313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36840-2026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46313</v>
      </c>
      <c r="F956" t="inlineStr">
        <is>
          <t>GÄVLEBORGS LÄN</t>
        </is>
      </c>
      <c r="G956" t="inlineStr">
        <is>
          <t>NORDANSTIG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34229-2026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46253</v>
      </c>
      <c r="E957" s="1" t="n">
        <v>46313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59043-2024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45636</v>
      </c>
      <c r="E958" s="1" t="n">
        <v>46313</v>
      </c>
      <c r="F958" t="inlineStr">
        <is>
          <t>GÄVLEBORGS LÄN</t>
        </is>
      </c>
      <c r="G958" t="inlineStr">
        <is>
          <t>NORDANSTIG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41169-2026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46300</v>
      </c>
      <c r="E959" s="1" t="n">
        <v>46313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46255</v>
      </c>
      <c r="E960" s="1" t="n">
        <v>46313</v>
      </c>
      <c r="F960" t="inlineStr">
        <is>
          <t>GÄVLEBORGS LÄN</t>
        </is>
      </c>
      <c r="G960" t="inlineStr">
        <is>
          <t>NORDANSTIG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18680-2025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46313</v>
      </c>
      <c r="F961" t="inlineStr">
        <is>
          <t>GÄVLEBORGS LÄN</t>
        </is>
      </c>
      <c r="G961" t="inlineStr">
        <is>
          <t>NORDANSTIG</t>
        </is>
      </c>
      <c r="I961" t="n">
        <v>9.4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20876-2025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45777</v>
      </c>
      <c r="E962" s="1" t="n">
        <v>46313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41063-2026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46300</v>
      </c>
      <c r="E963" s="1" t="n">
        <v>46313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18707-2025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45763</v>
      </c>
      <c r="E964" s="1" t="n">
        <v>46313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45763</v>
      </c>
      <c r="E965" s="1" t="n">
        <v>46313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21725-2025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46313</v>
      </c>
      <c r="F966" t="inlineStr">
        <is>
          <t>GÄVLEBORGS LÄN</t>
        </is>
      </c>
      <c r="G966" t="inlineStr">
        <is>
          <t>NORDANSTIG</t>
        </is>
      </c>
      <c r="I966" t="n">
        <v>6.4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46258</v>
      </c>
      <c r="E967" s="1" t="n">
        <v>46313</v>
      </c>
      <c r="F967" t="inlineStr">
        <is>
          <t>GÄVLEBORGS LÄN</t>
        </is>
      </c>
      <c r="G967" t="inlineStr">
        <is>
          <t>NORDANSTIG</t>
        </is>
      </c>
      <c r="I967" t="n">
        <v>9.199999999999999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12389-2023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44999</v>
      </c>
      <c r="E968" s="1" t="n">
        <v>46313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46313</v>
      </c>
      <c r="F969" t="inlineStr">
        <is>
          <t>GÄVLEBORGS LÄN</t>
        </is>
      </c>
      <c r="G969" t="inlineStr">
        <is>
          <t>NORDANSTIG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45498</v>
      </c>
      <c r="E970" s="1" t="n">
        <v>46313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46313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32470-2023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45120</v>
      </c>
      <c r="E972" s="1" t="n">
        <v>46313</v>
      </c>
      <c r="F972" t="inlineStr">
        <is>
          <t>GÄVLEBORGS LÄN</t>
        </is>
      </c>
      <c r="G972" t="inlineStr">
        <is>
          <t>NORDANSTIG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46136</v>
      </c>
      <c r="E973" s="1" t="n">
        <v>46313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46184</v>
      </c>
      <c r="E974" s="1" t="n">
        <v>46313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22310-2025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45786</v>
      </c>
      <c r="E975" s="1" t="n">
        <v>46313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27.9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22319-2025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45786</v>
      </c>
      <c r="E976" s="1" t="n">
        <v>46313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41666-2026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46302</v>
      </c>
      <c r="E977" s="1" t="n">
        <v>46313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34998-2026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46259</v>
      </c>
      <c r="E978" s="1" t="n">
        <v>46313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67879-2021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44525</v>
      </c>
      <c r="E979" s="1" t="n">
        <v>46313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41665-2026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46302</v>
      </c>
      <c r="E980" s="1" t="n">
        <v>46313</v>
      </c>
      <c r="F980" t="inlineStr">
        <is>
          <t>GÄVLEBORGS LÄN</t>
        </is>
      </c>
      <c r="G980" t="inlineStr">
        <is>
          <t>NORDANSTIG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33414-2022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44788</v>
      </c>
      <c r="E981" s="1" t="n">
        <v>46313</v>
      </c>
      <c r="F981" t="inlineStr">
        <is>
          <t>GÄVLEBORGS LÄN</t>
        </is>
      </c>
      <c r="G981" t="inlineStr">
        <is>
          <t>NORDANSTIG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17678-2025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46313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41658-2026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46302</v>
      </c>
      <c r="E983" s="1" t="n">
        <v>46313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10680-2026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46313</v>
      </c>
      <c r="F984" t="inlineStr">
        <is>
          <t>GÄVLEBORGS LÄN</t>
        </is>
      </c>
      <c r="G984" t="inlineStr">
        <is>
          <t>NORDANSTIG</t>
        </is>
      </c>
      <c r="I984" t="n">
        <v>10.9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23072-2025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45790</v>
      </c>
      <c r="E985" s="1" t="n">
        <v>46313</v>
      </c>
      <c r="F985" t="inlineStr">
        <is>
          <t>GÄVLEBORGS LÄN</t>
        </is>
      </c>
      <c r="G985" t="inlineStr">
        <is>
          <t>NORDANSTIG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45791</v>
      </c>
      <c r="E986" s="1" t="n">
        <v>46313</v>
      </c>
      <c r="F986" t="inlineStr">
        <is>
          <t>GÄVLEBORGS LÄN</t>
        </is>
      </c>
      <c r="G986" t="inlineStr">
        <is>
          <t>NORDANSTIG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11113-2026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46079</v>
      </c>
      <c r="E987" s="1" t="n">
        <v>46313</v>
      </c>
      <c r="F987" t="inlineStr">
        <is>
          <t>GÄVLEBORGS LÄN</t>
        </is>
      </c>
      <c r="G987" t="inlineStr">
        <is>
          <t>NORDANSTIG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46031</v>
      </c>
      <c r="E988" s="1" t="n">
        <v>46313</v>
      </c>
      <c r="F988" t="inlineStr">
        <is>
          <t>GÄVLEBORGS LÄN</t>
        </is>
      </c>
      <c r="G988" t="inlineStr">
        <is>
          <t>NORDANSTIG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41626-2026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46302</v>
      </c>
      <c r="E989" s="1" t="n">
        <v>46313</v>
      </c>
      <c r="F989" t="inlineStr">
        <is>
          <t>GÄVLEBORGS LÄN</t>
        </is>
      </c>
      <c r="G989" t="inlineStr">
        <is>
          <t>NORDANSTIG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46313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46313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46313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34999-2026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46259</v>
      </c>
      <c r="E993" s="1" t="n">
        <v>46313</v>
      </c>
      <c r="F993" t="inlineStr">
        <is>
          <t>GÄVLEBORGS LÄN</t>
        </is>
      </c>
      <c r="G993" t="inlineStr">
        <is>
          <t>NORDANSTIG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31732-2026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46227</v>
      </c>
      <c r="E994" s="1" t="n">
        <v>46313</v>
      </c>
      <c r="F994" t="inlineStr">
        <is>
          <t>GÄVLEBORGS LÄN</t>
        </is>
      </c>
      <c r="G994" t="inlineStr">
        <is>
          <t>NORDANSTIG</t>
        </is>
      </c>
      <c r="I994" t="n">
        <v>5.1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20137-2023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45055</v>
      </c>
      <c r="E995" s="1" t="n">
        <v>46313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23791-2025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45793</v>
      </c>
      <c r="E996" s="1" t="n">
        <v>46313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54803-2023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45236</v>
      </c>
      <c r="E997" s="1" t="n">
        <v>46313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23623-2025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45792</v>
      </c>
      <c r="E998" s="1" t="n">
        <v>46313</v>
      </c>
      <c r="F998" t="inlineStr">
        <is>
          <t>GÄVLEBORGS LÄN</t>
        </is>
      </c>
      <c r="G998" t="inlineStr">
        <is>
          <t>NORDANSTIG</t>
        </is>
      </c>
      <c r="I998" t="n">
        <v>12.9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46313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35546-2026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46262</v>
      </c>
      <c r="E1000" s="1" t="n">
        <v>46313</v>
      </c>
      <c r="F1000" t="inlineStr">
        <is>
          <t>GÄVLEBORGS LÄN</t>
        </is>
      </c>
      <c r="G1000" t="inlineStr">
        <is>
          <t>NORDANSTIG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23993-2025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45796</v>
      </c>
      <c r="E1001" s="1" t="n">
        <v>46313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45312-2023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45191</v>
      </c>
      <c r="E1002" s="1" t="n">
        <v>46313</v>
      </c>
      <c r="F1002" t="inlineStr">
        <is>
          <t>GÄVLEBORGS LÄN</t>
        </is>
      </c>
      <c r="G1002" t="inlineStr">
        <is>
          <t>NORDANSTIG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35342-2026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46261</v>
      </c>
      <c r="E1003" s="1" t="n">
        <v>46313</v>
      </c>
      <c r="F1003" t="inlineStr">
        <is>
          <t>GÄVLEBORGS LÄN</t>
        </is>
      </c>
      <c r="G1003" t="inlineStr">
        <is>
          <t>NORDANSTIG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46313</v>
      </c>
      <c r="F1004" t="inlineStr">
        <is>
          <t>GÄVLEBORGS LÄN</t>
        </is>
      </c>
      <c r="G1004" t="inlineStr">
        <is>
          <t>NORDANSTIG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43523-2024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45569</v>
      </c>
      <c r="E1005" s="1" t="n">
        <v>46313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46313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25723-2024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45463</v>
      </c>
      <c r="E1007" s="1" t="n">
        <v>46313</v>
      </c>
      <c r="F1007" t="inlineStr">
        <is>
          <t>GÄVLEBORGS LÄN</t>
        </is>
      </c>
      <c r="G1007" t="inlineStr">
        <is>
          <t>NORDANSTIG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37294-2024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45540</v>
      </c>
      <c r="E1008" s="1" t="n">
        <v>46313</v>
      </c>
      <c r="F1008" t="inlineStr">
        <is>
          <t>GÄVLEBORGS LÄN</t>
        </is>
      </c>
      <c r="G1008" t="inlineStr">
        <is>
          <t>NORDANSTIG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47238-2024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45586</v>
      </c>
      <c r="E1009" s="1" t="n">
        <v>46313</v>
      </c>
      <c r="F1009" t="inlineStr">
        <is>
          <t>GÄVLEBORGS LÄN</t>
        </is>
      </c>
      <c r="G1009" t="inlineStr">
        <is>
          <t>NORDANSTIG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35741-2024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45532</v>
      </c>
      <c r="E1010" s="1" t="n">
        <v>46313</v>
      </c>
      <c r="F1010" t="inlineStr">
        <is>
          <t>GÄVLEBORGS LÄN</t>
        </is>
      </c>
      <c r="G1010" t="inlineStr">
        <is>
          <t>NORDANSTIG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24938-2025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45799</v>
      </c>
      <c r="E1011" s="1" t="n">
        <v>46313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30.1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42385-2026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46307</v>
      </c>
      <c r="E1012" s="1" t="n">
        <v>46313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45802</v>
      </c>
      <c r="E1013" s="1" t="n">
        <v>46313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46313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42800-2026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46309</v>
      </c>
      <c r="E1015" s="1" t="n">
        <v>46313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35782-2026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46265</v>
      </c>
      <c r="E1016" s="1" t="n">
        <v>46313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25080-2025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45799</v>
      </c>
      <c r="E1017" s="1" t="n">
        <v>46313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25469-2025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45802</v>
      </c>
      <c r="E1018" s="1" t="n">
        <v>46313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4142-2023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44953</v>
      </c>
      <c r="E1019" s="1" t="n">
        <v>46313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52120-2022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44873</v>
      </c>
      <c r="E1020" s="1" t="n">
        <v>46313</v>
      </c>
      <c r="F1020" t="inlineStr">
        <is>
          <t>GÄVLEBORGS LÄN</t>
        </is>
      </c>
      <c r="G1020" t="inlineStr">
        <is>
          <t>NORDANSTIG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45306</v>
      </c>
      <c r="E1021" s="1" t="n">
        <v>46313</v>
      </c>
      <c r="F1021" t="inlineStr">
        <is>
          <t>GÄVLEBORGS LÄN</t>
        </is>
      </c>
      <c r="G1021" t="inlineStr">
        <is>
          <t>NORDANSTIG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44960</v>
      </c>
      <c r="E1022" s="1" t="n">
        <v>46313</v>
      </c>
      <c r="F1022" t="inlineStr">
        <is>
          <t>GÄVLEBORGS LÄN</t>
        </is>
      </c>
      <c r="G1022" t="inlineStr">
        <is>
          <t>NORDANSTIG</t>
        </is>
      </c>
      <c r="I1022" t="n">
        <v>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60520-2023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45259</v>
      </c>
      <c r="E1023" s="1" t="n">
        <v>46313</v>
      </c>
      <c r="F1023" t="inlineStr">
        <is>
          <t>GÄVLEBORGS LÄN</t>
        </is>
      </c>
      <c r="G1023" t="inlineStr">
        <is>
          <t>NORDANSTIG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2149-2024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45309</v>
      </c>
      <c r="E1024" s="1" t="n">
        <v>46313</v>
      </c>
      <c r="F1024" t="inlineStr">
        <is>
          <t>GÄVLEBORGS LÄN</t>
        </is>
      </c>
      <c r="G1024" t="inlineStr">
        <is>
          <t>NORDANSTIG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62496-2025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46007</v>
      </c>
      <c r="E1025" s="1" t="n">
        <v>46313</v>
      </c>
      <c r="F1025" t="inlineStr">
        <is>
          <t>GÄVLEBORGS LÄN</t>
        </is>
      </c>
      <c r="G1025" t="inlineStr">
        <is>
          <t>NORDANSTIG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46313</v>
      </c>
      <c r="F1026" t="inlineStr">
        <is>
          <t>GÄVLEBORGS LÄN</t>
        </is>
      </c>
      <c r="G1026" t="inlineStr">
        <is>
          <t>NORDANSTIG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61418-2024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45646</v>
      </c>
      <c r="E1027" s="1" t="n">
        <v>46313</v>
      </c>
      <c r="F1027" t="inlineStr">
        <is>
          <t>GÄVLEBORGS LÄN</t>
        </is>
      </c>
      <c r="G1027" t="inlineStr">
        <is>
          <t>NORDANSTIG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27447-2025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45813</v>
      </c>
      <c r="E1028" s="1" t="n">
        <v>46313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36432-2026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46269</v>
      </c>
      <c r="E1029" s="1" t="n">
        <v>46313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27203-2025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45812</v>
      </c>
      <c r="E1030" s="1" t="n">
        <v>46313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45663</v>
      </c>
      <c r="E1031" s="1" t="n">
        <v>46313</v>
      </c>
      <c r="F1031" t="inlineStr">
        <is>
          <t>GÄVLEBORGS LÄN</t>
        </is>
      </c>
      <c r="G1031" t="inlineStr">
        <is>
          <t>NORDANSTIG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46313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45817</v>
      </c>
      <c r="E1033" s="1" t="n">
        <v>46313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27894-2025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45817</v>
      </c>
      <c r="E1034" s="1" t="n">
        <v>46313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8.6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71442-2021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46313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62495-2025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46007</v>
      </c>
      <c r="E1036" s="1" t="n">
        <v>46313</v>
      </c>
      <c r="F1036" t="inlineStr">
        <is>
          <t>GÄVLEBORGS LÄN</t>
        </is>
      </c>
      <c r="G1036" t="inlineStr">
        <is>
          <t>NORDANSTIG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29275-2025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45824</v>
      </c>
      <c r="E1037" s="1" t="n">
        <v>46313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29741-2025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45825</v>
      </c>
      <c r="E1038" s="1" t="n">
        <v>46313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30022-2025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45826</v>
      </c>
      <c r="E1039" s="1" t="n">
        <v>46313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30291-2025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45827</v>
      </c>
      <c r="E1040" s="1" t="n">
        <v>46313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29878-2025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45826</v>
      </c>
      <c r="E1041" s="1" t="n">
        <v>46313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30870-2025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46313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31197-2025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45832</v>
      </c>
      <c r="E1043" s="1" t="n">
        <v>46313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31031-2025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45832</v>
      </c>
      <c r="E1044" s="1" t="n">
        <v>46313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32082-2025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45835</v>
      </c>
      <c r="E1045" s="1" t="n">
        <v>46313</v>
      </c>
      <c r="F1045" t="inlineStr">
        <is>
          <t>GÄVLEBORGS LÄN</t>
        </is>
      </c>
      <c r="G1045" t="inlineStr">
        <is>
          <t>NORDANSTIG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32105-2025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45835</v>
      </c>
      <c r="E1046" s="1" t="n">
        <v>46313</v>
      </c>
      <c r="F1046" t="inlineStr">
        <is>
          <t>GÄVLEBORGS LÄN</t>
        </is>
      </c>
      <c r="G1046" t="inlineStr">
        <is>
          <t>NORDANSTIG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32092-2025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45835</v>
      </c>
      <c r="E1047" s="1" t="n">
        <v>46313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32736-2025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45839</v>
      </c>
      <c r="E1048" s="1" t="n">
        <v>46313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40104-2024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45554</v>
      </c>
      <c r="E1049" s="1" t="n">
        <v>46313</v>
      </c>
      <c r="F1049" t="inlineStr">
        <is>
          <t>GÄVLEBORGS LÄN</t>
        </is>
      </c>
      <c r="G1049" t="inlineStr">
        <is>
          <t>NORDANSTIG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45840</v>
      </c>
      <c r="E1050" s="1" t="n">
        <v>46313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33532-2025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46313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33339-2025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45841</v>
      </c>
      <c r="E1052" s="1" t="n">
        <v>46313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33355-2025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45841</v>
      </c>
      <c r="E1053" s="1" t="n">
        <v>46313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34342-2025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45846</v>
      </c>
      <c r="E1054" s="1" t="n">
        <v>46313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34311-2025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45846</v>
      </c>
      <c r="E1055" s="1" t="n">
        <v>46313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45848</v>
      </c>
      <c r="E1056" s="1" t="n">
        <v>46313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34728-2025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45848</v>
      </c>
      <c r="E1057" s="1" t="n">
        <v>46313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34788-2025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45848</v>
      </c>
      <c r="E1058" s="1" t="n">
        <v>46313</v>
      </c>
      <c r="F1058" t="inlineStr">
        <is>
          <t>GÄVLEBORGS LÄN</t>
        </is>
      </c>
      <c r="G1058" t="inlineStr">
        <is>
          <t>NORDANSTIG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5968-2025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46313</v>
      </c>
      <c r="F1059" t="inlineStr">
        <is>
          <t>GÄVLEBORGS LÄN</t>
        </is>
      </c>
      <c r="G1059" t="inlineStr">
        <is>
          <t>NORDANSTIG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35707-2025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45860</v>
      </c>
      <c r="E1060" s="1" t="n">
        <v>46313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35733-2025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45860</v>
      </c>
      <c r="E1061" s="1" t="n">
        <v>46313</v>
      </c>
      <c r="F1061" t="inlineStr">
        <is>
          <t>GÄVLEBORGS LÄN</t>
        </is>
      </c>
      <c r="G1061" t="inlineStr">
        <is>
          <t>NORDANSTIG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35652-2025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45859</v>
      </c>
      <c r="E1062" s="1" t="n">
        <v>46313</v>
      </c>
      <c r="F1062" t="inlineStr">
        <is>
          <t>GÄVLEBORGS LÄN</t>
        </is>
      </c>
      <c r="G1062" t="inlineStr">
        <is>
          <t>NORDANSTIG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37848-2025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45881</v>
      </c>
      <c r="E1063" s="1" t="n">
        <v>46313</v>
      </c>
      <c r="F1063" t="inlineStr">
        <is>
          <t>GÄVLEBORGS LÄN</t>
        </is>
      </c>
      <c r="G1063" t="inlineStr">
        <is>
          <t>NORDANSTIG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37728-2025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45880</v>
      </c>
      <c r="E1064" s="1" t="n">
        <v>46313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38295-2025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45883</v>
      </c>
      <c r="E1065" s="1" t="n">
        <v>46313</v>
      </c>
      <c r="F1065" t="inlineStr">
        <is>
          <t>GÄVLEBORGS LÄN</t>
        </is>
      </c>
      <c r="G1065" t="inlineStr">
        <is>
          <t>NORDANSTIG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37563-2025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45880</v>
      </c>
      <c r="E1066" s="1" t="n">
        <v>46313</v>
      </c>
      <c r="F1066" t="inlineStr">
        <is>
          <t>GÄVLEBORGS LÄN</t>
        </is>
      </c>
      <c r="G1066" t="inlineStr">
        <is>
          <t>NORDANSTIG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45882</v>
      </c>
      <c r="E1067" s="1" t="n">
        <v>46313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46313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39.7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3990-2023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46313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10130-2021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44538</v>
      </c>
      <c r="E1070" s="1" t="n">
        <v>46313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3983-2023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131-2025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46313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68.7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25-2023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44929</v>
      </c>
      <c r="E1076" s="1" t="n">
        <v>46313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1008-2024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45386</v>
      </c>
      <c r="E1078" s="1" t="n">
        <v>46313</v>
      </c>
      <c r="F1078" t="inlineStr">
        <is>
          <t>GÄVLEBORGS LÄN</t>
        </is>
      </c>
      <c r="G1078" t="inlineStr">
        <is>
          <t>NORDANSTIG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3989-2023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3994-2023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46313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46313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3991-2023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46313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46313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3992-2023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46313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130.4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46313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49.7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3988-2023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46313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150.6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46313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122-2025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46313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128.2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HYPERLINK("https://klasma.github.io/Logging_2132/knärot/S 122-2025 karta knärot.png", "S 122-2025")</f>
        <v/>
      </c>
      <c r="AA1088">
        <f>HYPERLINK("https://klasma.github.io/Logging_2132/klagomål/S 122-2025 FSC-klagomål.docx", "S 122-2025")</f>
        <v/>
      </c>
      <c r="AB1088">
        <f>HYPERLINK("https://klasma.github.io/Logging_2132/klagomålsmail/S 122-2025 FSC-klagomål mail.docx", "S 122-2025")</f>
        <v/>
      </c>
      <c r="AC1088">
        <f>HYPERLINK("https://klasma.github.io/Logging_2132/tillsyn/S 122-2025 tillsynsbegäran.docx", "S 122-2025")</f>
        <v/>
      </c>
      <c r="AD1088">
        <f>HYPERLINK("https://klasma.github.io/Logging_2132/tillsynsmail/S 122-2025 tillsynsbegäran mail.docx", "S 122-2025")</f>
        <v/>
      </c>
    </row>
    <row r="1089" ht="15" customHeight="1">
      <c r="A1089" t="inlineStr">
        <is>
          <t>S 573-2026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46083</v>
      </c>
      <c r="E1089" s="1" t="n">
        <v>46313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SCA</t>
        </is>
      </c>
      <c r="I1089" t="n">
        <v>64.3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8-2025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45650</v>
      </c>
      <c r="E1090" s="1" t="n">
        <v>46313</v>
      </c>
      <c r="F1090" t="inlineStr">
        <is>
          <t>GÄVLEBORGS LÄN</t>
        </is>
      </c>
      <c r="G1090" t="inlineStr">
        <is>
          <t>NORDANSTIG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2026-10-18T08:05:13Z</dcterms:created>
  <dcterms:modified xmlns:dcterms="http://purl.org/dc/terms/" xmlns:xsi="http://www.w3.org/2001/XMLSchema-instance" xsi:type="dcterms:W3CDTF">2026-10-18T08:05:14Z</dcterms:modified>
</cp:coreProperties>
</file>