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46136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57296-2025</t>
        </is>
      </c>
      <c r="B3" s="1" t="n">
        <v>45979.79126157407</v>
      </c>
      <c r="C3" s="1" t="n">
        <v>46136</v>
      </c>
      <c r="D3" t="inlineStr">
        <is>
          <t>GÄVLEBORGS LÄN</t>
        </is>
      </c>
      <c r="E3" t="inlineStr">
        <is>
          <t>NORDANSTIG</t>
        </is>
      </c>
      <c r="G3" t="n">
        <v>5.4</v>
      </c>
      <c r="H3" t="n">
        <v>7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14</v>
      </c>
      <c r="R3" s="2" t="inlineStr">
        <is>
          <t>Knärot
Raggbock
Garnlav
Granticka
Lunglav
Skogshare
Spillkråka
Talltita
Tretåig hackspett
Bårdlav
Vedticka
Enkelbeckasin
Orre
Tjäder</t>
        </is>
      </c>
      <c r="S3">
        <f>HYPERLINK("https://klasma.github.io/Logging_2132/artfynd/A 57296-2025 artfynd.xlsx", "A 57296-2025")</f>
        <v/>
      </c>
      <c r="T3">
        <f>HYPERLINK("https://klasma.github.io/Logging_2132/kartor/A 57296-2025 karta.png", "A 57296-2025")</f>
        <v/>
      </c>
      <c r="U3">
        <f>HYPERLINK("https://klasma.github.io/Logging_2132/knärot/A 57296-2025 karta knärot.png", "A 57296-2025")</f>
        <v/>
      </c>
      <c r="V3">
        <f>HYPERLINK("https://klasma.github.io/Logging_2132/klagomål/A 57296-2025 FSC-klagomål.docx", "A 57296-2025")</f>
        <v/>
      </c>
      <c r="W3">
        <f>HYPERLINK("https://klasma.github.io/Logging_2132/klagomålsmail/A 57296-2025 FSC-klagomål mail.docx", "A 57296-2025")</f>
        <v/>
      </c>
      <c r="X3">
        <f>HYPERLINK("https://klasma.github.io/Logging_2132/tillsyn/A 57296-2025 tillsynsbegäran.docx", "A 57296-2025")</f>
        <v/>
      </c>
      <c r="Y3">
        <f>HYPERLINK("https://klasma.github.io/Logging_2132/tillsynsmail/A 57296-2025 tillsynsbegäran mail.docx", "A 57296-2025")</f>
        <v/>
      </c>
      <c r="Z3">
        <f>HYPERLINK("https://klasma.github.io/Logging_2132/fåglar/A 57296-2025 prioriterade fågelarter.docx", "A 57296-2025")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46136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 agg.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42890-2025</t>
        </is>
      </c>
      <c r="B5" s="1" t="n">
        <v>45908.65571759259</v>
      </c>
      <c r="C5" s="1" t="n">
        <v>46136</v>
      </c>
      <c r="D5" t="inlineStr">
        <is>
          <t>GÄVLEBORGS LÄN</t>
        </is>
      </c>
      <c r="E5" t="inlineStr">
        <is>
          <t>NORDANSTIG</t>
        </is>
      </c>
      <c r="G5" t="n">
        <v>2.1</v>
      </c>
      <c r="H5" t="n">
        <v>7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Skogsknipprot
Spindelblomster
Fläcknycklar
Nattviol
Blåsippa
Mattlummer
Revlummer</t>
        </is>
      </c>
      <c r="S5">
        <f>HYPERLINK("https://klasma.github.io/Logging_2132/artfynd/A 42890-2025 artfynd.xlsx", "A 42890-2025")</f>
        <v/>
      </c>
      <c r="T5">
        <f>HYPERLINK("https://klasma.github.io/Logging_2132/kartor/A 42890-2025 karta.png", "A 42890-2025")</f>
        <v/>
      </c>
      <c r="V5">
        <f>HYPERLINK("https://klasma.github.io/Logging_2132/klagomål/A 42890-2025 FSC-klagomål.docx", "A 42890-2025")</f>
        <v/>
      </c>
      <c r="W5">
        <f>HYPERLINK("https://klasma.github.io/Logging_2132/klagomålsmail/A 42890-2025 FSC-klagomål mail.docx", "A 42890-2025")</f>
        <v/>
      </c>
      <c r="X5">
        <f>HYPERLINK("https://klasma.github.io/Logging_2132/tillsyn/A 42890-2025 tillsynsbegäran.docx", "A 42890-2025")</f>
        <v/>
      </c>
      <c r="Y5">
        <f>HYPERLINK("https://klasma.github.io/Logging_2132/tillsynsmail/A 42890-2025 tillsynsbegäran mail.docx", "A 42890-2025")</f>
        <v/>
      </c>
    </row>
    <row r="6" ht="15" customHeight="1">
      <c r="A6" t="inlineStr">
        <is>
          <t>A 57970-2022</t>
        </is>
      </c>
      <c r="B6" s="1" t="n">
        <v>44900</v>
      </c>
      <c r="C6" s="1" t="n">
        <v>46136</v>
      </c>
      <c r="D6" t="inlineStr">
        <is>
          <t>GÄVLEBORGS LÄN</t>
        </is>
      </c>
      <c r="E6" t="inlineStr">
        <is>
          <t>NORDANSTIG</t>
        </is>
      </c>
      <c r="G6" t="n">
        <v>5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Gammelgransskål
Lunglav
Rosenticka
Korallblylav
Luddlav
Svavelriska
Ögonpyrola</t>
        </is>
      </c>
      <c r="S6">
        <f>HYPERLINK("https://klasma.github.io/Logging_2132/artfynd/A 57970-2022 artfynd.xlsx", "A 57970-2022")</f>
        <v/>
      </c>
      <c r="T6">
        <f>HYPERLINK("https://klasma.github.io/Logging_2132/kartor/A 57970-2022 karta.png", "A 57970-2022")</f>
        <v/>
      </c>
      <c r="V6">
        <f>HYPERLINK("https://klasma.github.io/Logging_2132/klagomål/A 57970-2022 FSC-klagomål.docx", "A 57970-2022")</f>
        <v/>
      </c>
      <c r="W6">
        <f>HYPERLINK("https://klasma.github.io/Logging_2132/klagomålsmail/A 57970-2022 FSC-klagomål mail.docx", "A 57970-2022")</f>
        <v/>
      </c>
      <c r="X6">
        <f>HYPERLINK("https://klasma.github.io/Logging_2132/tillsyn/A 57970-2022 tillsynsbegäran.docx", "A 57970-2022")</f>
        <v/>
      </c>
      <c r="Y6">
        <f>HYPERLINK("https://klasma.github.io/Logging_2132/tillsynsmail/A 57970-2022 tillsynsbegäran mail.docx", "A 57970-2022")</f>
        <v/>
      </c>
    </row>
    <row r="7" ht="15" customHeight="1">
      <c r="A7" t="inlineStr">
        <is>
          <t>A 53665-2025</t>
        </is>
      </c>
      <c r="B7" s="1" t="n">
        <v>45960.54616898148</v>
      </c>
      <c r="C7" s="1" t="n">
        <v>46136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0.8</v>
      </c>
      <c r="H7" t="n">
        <v>2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Korallrot
Kransrams
Källpraktmossa
Skogshakmossa
Svart trolldruva
Tvåblad</t>
        </is>
      </c>
      <c r="S7">
        <f>HYPERLINK("https://klasma.github.io/Logging_2132/artfynd/A 53665-2025 artfynd.xlsx", "A 53665-2025")</f>
        <v/>
      </c>
      <c r="T7">
        <f>HYPERLINK("https://klasma.github.io/Logging_2132/kartor/A 53665-2025 karta.png", "A 53665-2025")</f>
        <v/>
      </c>
      <c r="V7">
        <f>HYPERLINK("https://klasma.github.io/Logging_2132/klagomål/A 53665-2025 FSC-klagomål.docx", "A 53665-2025")</f>
        <v/>
      </c>
      <c r="W7">
        <f>HYPERLINK("https://klasma.github.io/Logging_2132/klagomålsmail/A 53665-2025 FSC-klagomål mail.docx", "A 53665-2025")</f>
        <v/>
      </c>
      <c r="X7">
        <f>HYPERLINK("https://klasma.github.io/Logging_2132/tillsyn/A 53665-2025 tillsynsbegäran.docx", "A 53665-2025")</f>
        <v/>
      </c>
      <c r="Y7">
        <f>HYPERLINK("https://klasma.github.io/Logging_2132/tillsynsmail/A 53665-2025 tillsynsbegäran mail.docx", "A 53665-2025")</f>
        <v/>
      </c>
    </row>
    <row r="8" ht="15" customHeight="1">
      <c r="A8" t="inlineStr">
        <is>
          <t>A 499-2026</t>
        </is>
      </c>
      <c r="B8" s="1" t="n">
        <v>46029</v>
      </c>
      <c r="C8" s="1" t="n">
        <v>46136</v>
      </c>
      <c r="D8" t="inlineStr">
        <is>
          <t>GÄVLEBORGS LÄN</t>
        </is>
      </c>
      <c r="E8" t="inlineStr">
        <is>
          <t>NORDANSTIG</t>
        </is>
      </c>
      <c r="G8" t="n">
        <v>5.3</v>
      </c>
      <c r="H8" t="n">
        <v>0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Goliatmusseron
Skrovlig taggsvamp
Dropptaggsvamp
Nästlav
Skarp dropptaggsvamp</t>
        </is>
      </c>
      <c r="S8">
        <f>HYPERLINK("https://klasma.github.io/Logging_2132/artfynd/A 499-2026 artfynd.xlsx", "A 499-2026")</f>
        <v/>
      </c>
      <c r="T8">
        <f>HYPERLINK("https://klasma.github.io/Logging_2132/kartor/A 499-2026 karta.png", "A 499-2026")</f>
        <v/>
      </c>
      <c r="V8">
        <f>HYPERLINK("https://klasma.github.io/Logging_2132/klagomål/A 499-2026 FSC-klagomål.docx", "A 499-2026")</f>
        <v/>
      </c>
      <c r="W8">
        <f>HYPERLINK("https://klasma.github.io/Logging_2132/klagomålsmail/A 499-2026 FSC-klagomål mail.docx", "A 499-2026")</f>
        <v/>
      </c>
      <c r="X8">
        <f>HYPERLINK("https://klasma.github.io/Logging_2132/tillsyn/A 499-2026 tillsynsbegäran.docx", "A 499-2026")</f>
        <v/>
      </c>
      <c r="Y8">
        <f>HYPERLINK("https://klasma.github.io/Logging_2132/tillsynsmail/A 499-2026 tillsynsbegäran mail.docx", "A 499-2026")</f>
        <v/>
      </c>
    </row>
    <row r="9" ht="15" customHeight="1">
      <c r="A9" t="inlineStr">
        <is>
          <t>A 382-2024</t>
        </is>
      </c>
      <c r="B9" s="1" t="n">
        <v>45296</v>
      </c>
      <c r="C9" s="1" t="n">
        <v>46136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2.7</v>
      </c>
      <c r="H9" t="n">
        <v>0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Ringlav
Lunglav
Violettgrå tagellav
Stuplav
Vedticka</t>
        </is>
      </c>
      <c r="S9">
        <f>HYPERLINK("https://klasma.github.io/Logging_2132/artfynd/A 382-2024 artfynd.xlsx", "A 382-2024")</f>
        <v/>
      </c>
      <c r="T9">
        <f>HYPERLINK("https://klasma.github.io/Logging_2132/kartor/A 382-2024 karta.png", "A 382-2024")</f>
        <v/>
      </c>
      <c r="V9">
        <f>HYPERLINK("https://klasma.github.io/Logging_2132/klagomål/A 382-2024 FSC-klagomål.docx", "A 382-2024")</f>
        <v/>
      </c>
      <c r="W9">
        <f>HYPERLINK("https://klasma.github.io/Logging_2132/klagomålsmail/A 382-2024 FSC-klagomål mail.docx", "A 382-2024")</f>
        <v/>
      </c>
      <c r="X9">
        <f>HYPERLINK("https://klasma.github.io/Logging_2132/tillsyn/A 382-2024 tillsynsbegäran.docx", "A 382-2024")</f>
        <v/>
      </c>
      <c r="Y9">
        <f>HYPERLINK("https://klasma.github.io/Logging_2132/tillsynsmail/A 382-2024 tillsynsbegäran mail.docx", "A 382-2024")</f>
        <v/>
      </c>
    </row>
    <row r="10" ht="15" customHeight="1">
      <c r="A10" t="inlineStr">
        <is>
          <t>A 44589-2022</t>
        </is>
      </c>
      <c r="B10" s="1" t="n">
        <v>44840.52716435185</v>
      </c>
      <c r="C10" s="1" t="n">
        <v>46136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Gammelgransskål
Vedtrappmossa
Vitgrynig nållav
Bollvitmossa</t>
        </is>
      </c>
      <c r="S10">
        <f>HYPERLINK("https://klasma.github.io/Logging_2132/artfynd/A 44589-2022 artfynd.xlsx", "A 44589-2022")</f>
        <v/>
      </c>
      <c r="T10">
        <f>HYPERLINK("https://klasma.github.io/Logging_2132/kartor/A 44589-2022 karta.png", "A 44589-2022")</f>
        <v/>
      </c>
      <c r="V10">
        <f>HYPERLINK("https://klasma.github.io/Logging_2132/klagomål/A 44589-2022 FSC-klagomål.docx", "A 44589-2022")</f>
        <v/>
      </c>
      <c r="W10">
        <f>HYPERLINK("https://klasma.github.io/Logging_2132/klagomålsmail/A 44589-2022 FSC-klagomål mail.docx", "A 44589-2022")</f>
        <v/>
      </c>
      <c r="X10">
        <f>HYPERLINK("https://klasma.github.io/Logging_2132/tillsyn/A 44589-2022 tillsynsbegäran.docx", "A 44589-2022")</f>
        <v/>
      </c>
      <c r="Y10">
        <f>HYPERLINK("https://klasma.github.io/Logging_2132/tillsynsmail/A 44589-2022 tillsynsbegäran mail.docx", "A 44589-2022")</f>
        <v/>
      </c>
    </row>
    <row r="11" ht="15" customHeight="1">
      <c r="A11" t="inlineStr">
        <is>
          <t>A 49419-2024</t>
        </is>
      </c>
      <c r="B11" s="1" t="n">
        <v>45595.74886574074</v>
      </c>
      <c r="C11" s="1" t="n">
        <v>46136</v>
      </c>
      <c r="D11" t="inlineStr">
        <is>
          <t>GÄVLEBORGS LÄN</t>
        </is>
      </c>
      <c r="E11" t="inlineStr">
        <is>
          <t>NORDANSTIG</t>
        </is>
      </c>
      <c r="G11" t="n">
        <v>1.3</v>
      </c>
      <c r="H11" t="n">
        <v>0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Goliatmusseron
Skrovlig taggsvamp
Dropptaggsvamp
Skarp dropptaggsvamp</t>
        </is>
      </c>
      <c r="S11">
        <f>HYPERLINK("https://klasma.github.io/Logging_2132/artfynd/A 49419-2024 artfynd.xlsx", "A 49419-2024")</f>
        <v/>
      </c>
      <c r="T11">
        <f>HYPERLINK("https://klasma.github.io/Logging_2132/kartor/A 49419-2024 karta.png", "A 49419-2024")</f>
        <v/>
      </c>
      <c r="V11">
        <f>HYPERLINK("https://klasma.github.io/Logging_2132/klagomål/A 49419-2024 FSC-klagomål.docx", "A 49419-2024")</f>
        <v/>
      </c>
      <c r="W11">
        <f>HYPERLINK("https://klasma.github.io/Logging_2132/klagomålsmail/A 49419-2024 FSC-klagomål mail.docx", "A 49419-2024")</f>
        <v/>
      </c>
      <c r="X11">
        <f>HYPERLINK("https://klasma.github.io/Logging_2132/tillsyn/A 49419-2024 tillsynsbegäran.docx", "A 49419-2024")</f>
        <v/>
      </c>
      <c r="Y11">
        <f>HYPERLINK("https://klasma.github.io/Logging_2132/tillsynsmail/A 49419-2024 tillsynsbegäran mail.docx", "A 49419-2024")</f>
        <v/>
      </c>
    </row>
    <row r="12" ht="15" customHeight="1">
      <c r="A12" t="inlineStr">
        <is>
          <t>A 13824-2026</t>
        </is>
      </c>
      <c r="B12" s="1" t="n">
        <v>46098.34416666667</v>
      </c>
      <c r="C12" s="1" t="n">
        <v>46136</v>
      </c>
      <c r="D12" t="inlineStr">
        <is>
          <t>GÄVLEBORGS LÄN</t>
        </is>
      </c>
      <c r="E12" t="inlineStr">
        <is>
          <t>NORDANSTIG</t>
        </is>
      </c>
      <c r="G12" t="n">
        <v>25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Garnlav
Skrovellav
Tjäder
Fläcknycklar</t>
        </is>
      </c>
      <c r="S12">
        <f>HYPERLINK("https://klasma.github.io/Logging_2132/artfynd/A 13824-2026 artfynd.xlsx", "A 13824-2026")</f>
        <v/>
      </c>
      <c r="T12">
        <f>HYPERLINK("https://klasma.github.io/Logging_2132/kartor/A 13824-2026 karta.png", "A 13824-2026")</f>
        <v/>
      </c>
      <c r="V12">
        <f>HYPERLINK("https://klasma.github.io/Logging_2132/klagomål/A 13824-2026 FSC-klagomål.docx", "A 13824-2026")</f>
        <v/>
      </c>
      <c r="W12">
        <f>HYPERLINK("https://klasma.github.io/Logging_2132/klagomålsmail/A 13824-2026 FSC-klagomål mail.docx", "A 13824-2026")</f>
        <v/>
      </c>
      <c r="X12">
        <f>HYPERLINK("https://klasma.github.io/Logging_2132/tillsyn/A 13824-2026 tillsynsbegäran.docx", "A 13824-2026")</f>
        <v/>
      </c>
      <c r="Y12">
        <f>HYPERLINK("https://klasma.github.io/Logging_2132/tillsynsmail/A 13824-2026 tillsynsbegäran mail.docx", "A 13824-2026")</f>
        <v/>
      </c>
      <c r="Z12">
        <f>HYPERLINK("https://klasma.github.io/Logging_2132/fåglar/A 13824-2026 prioriterade fågelarter.docx", "A 13824-2026")</f>
        <v/>
      </c>
    </row>
    <row r="13" ht="15" customHeight="1">
      <c r="A13" t="inlineStr">
        <is>
          <t>A 6798-2026</t>
        </is>
      </c>
      <c r="B13" s="1" t="n">
        <v>46057</v>
      </c>
      <c r="C13" s="1" t="n">
        <v>46136</v>
      </c>
      <c r="D13" t="inlineStr">
        <is>
          <t>GÄVLEBORGS LÄN</t>
        </is>
      </c>
      <c r="E13" t="inlineStr">
        <is>
          <t>NORDANSTIG</t>
        </is>
      </c>
      <c r="G13" t="n">
        <v>5.6</v>
      </c>
      <c r="H13" t="n">
        <v>3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Spillkråka
Ögonpyrola
Blåsippa</t>
        </is>
      </c>
      <c r="S13">
        <f>HYPERLINK("https://klasma.github.io/Logging_2132/artfynd/A 6798-2026 artfynd.xlsx", "A 6798-2026")</f>
        <v/>
      </c>
      <c r="T13">
        <f>HYPERLINK("https://klasma.github.io/Logging_2132/kartor/A 6798-2026 karta.png", "A 6798-2026")</f>
        <v/>
      </c>
      <c r="U13">
        <f>HYPERLINK("https://klasma.github.io/Logging_2132/knärot/A 6798-2026 karta knärot.png", "A 6798-2026")</f>
        <v/>
      </c>
      <c r="V13">
        <f>HYPERLINK("https://klasma.github.io/Logging_2132/klagomål/A 6798-2026 FSC-klagomål.docx", "A 6798-2026")</f>
        <v/>
      </c>
      <c r="W13">
        <f>HYPERLINK("https://klasma.github.io/Logging_2132/klagomålsmail/A 6798-2026 FSC-klagomål mail.docx", "A 6798-2026")</f>
        <v/>
      </c>
      <c r="X13">
        <f>HYPERLINK("https://klasma.github.io/Logging_2132/tillsyn/A 6798-2026 tillsynsbegäran.docx", "A 6798-2026")</f>
        <v/>
      </c>
      <c r="Y13">
        <f>HYPERLINK("https://klasma.github.io/Logging_2132/tillsynsmail/A 6798-2026 tillsynsbegäran mail.docx", "A 6798-2026")</f>
        <v/>
      </c>
      <c r="Z13">
        <f>HYPERLINK("https://klasma.github.io/Logging_2132/fåglar/A 6798-2026 prioriterade fågelarter.docx", "A 6798-2026")</f>
        <v/>
      </c>
    </row>
    <row r="14" ht="15" customHeight="1">
      <c r="A14" t="inlineStr">
        <is>
          <t>A 63804-2025</t>
        </is>
      </c>
      <c r="B14" s="1" t="n">
        <v>46019</v>
      </c>
      <c r="C14" s="1" t="n">
        <v>46136</v>
      </c>
      <c r="D14" t="inlineStr">
        <is>
          <t>GÄVLEBORGS LÄN</t>
        </is>
      </c>
      <c r="E14" t="inlineStr">
        <is>
          <t>NORDANSTIG</t>
        </is>
      </c>
      <c r="G14" t="n">
        <v>31.4</v>
      </c>
      <c r="H14" t="n">
        <v>4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Kråka
Spillkråka
Talltita
Kungsfågel</t>
        </is>
      </c>
      <c r="S14">
        <f>HYPERLINK("https://klasma.github.io/Logging_2132/artfynd/A 63804-2025 artfynd.xlsx", "A 63804-2025")</f>
        <v/>
      </c>
      <c r="T14">
        <f>HYPERLINK("https://klasma.github.io/Logging_2132/kartor/A 63804-2025 karta.png", "A 63804-2025")</f>
        <v/>
      </c>
      <c r="V14">
        <f>HYPERLINK("https://klasma.github.io/Logging_2132/klagomål/A 63804-2025 FSC-klagomål.docx", "A 63804-2025")</f>
        <v/>
      </c>
      <c r="W14">
        <f>HYPERLINK("https://klasma.github.io/Logging_2132/klagomålsmail/A 63804-2025 FSC-klagomål mail.docx", "A 63804-2025")</f>
        <v/>
      </c>
      <c r="X14">
        <f>HYPERLINK("https://klasma.github.io/Logging_2132/tillsyn/A 63804-2025 tillsynsbegäran.docx", "A 63804-2025")</f>
        <v/>
      </c>
      <c r="Y14">
        <f>HYPERLINK("https://klasma.github.io/Logging_2132/tillsynsmail/A 63804-2025 tillsynsbegäran mail.docx", "A 63804-2025")</f>
        <v/>
      </c>
      <c r="Z14">
        <f>HYPERLINK("https://klasma.github.io/Logging_2132/fåglar/A 63804-2025 prioriterade fågelarter.docx", "A 63804-2025")</f>
        <v/>
      </c>
    </row>
    <row r="15" ht="15" customHeight="1">
      <c r="A15" t="inlineStr">
        <is>
          <t>A 51489-2025</t>
        </is>
      </c>
      <c r="B15" s="1" t="n">
        <v>45950.63325231482</v>
      </c>
      <c r="C15" s="1" t="n">
        <v>46136</v>
      </c>
      <c r="D15" t="inlineStr">
        <is>
          <t>GÄVLEBORGS LÄN</t>
        </is>
      </c>
      <c r="E15" t="inlineStr">
        <is>
          <t>NORDANSTIG</t>
        </is>
      </c>
      <c r="G15" t="n">
        <v>8.5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Brunklöver
Slåtterfibbla
Tibast
Revlummer</t>
        </is>
      </c>
      <c r="S15">
        <f>HYPERLINK("https://klasma.github.io/Logging_2132/artfynd/A 51489-2025 artfynd.xlsx", "A 51489-2025")</f>
        <v/>
      </c>
      <c r="T15">
        <f>HYPERLINK("https://klasma.github.io/Logging_2132/kartor/A 51489-2025 karta.png", "A 51489-2025")</f>
        <v/>
      </c>
      <c r="V15">
        <f>HYPERLINK("https://klasma.github.io/Logging_2132/klagomål/A 51489-2025 FSC-klagomål.docx", "A 51489-2025")</f>
        <v/>
      </c>
      <c r="W15">
        <f>HYPERLINK("https://klasma.github.io/Logging_2132/klagomålsmail/A 51489-2025 FSC-klagomål mail.docx", "A 51489-2025")</f>
        <v/>
      </c>
      <c r="X15">
        <f>HYPERLINK("https://klasma.github.io/Logging_2132/tillsyn/A 51489-2025 tillsynsbegäran.docx", "A 51489-2025")</f>
        <v/>
      </c>
      <c r="Y15">
        <f>HYPERLINK("https://klasma.github.io/Logging_2132/tillsynsmail/A 51489-2025 tillsynsbegäran mail.docx", "A 51489-2025")</f>
        <v/>
      </c>
    </row>
    <row r="16" ht="15" customHeight="1">
      <c r="A16" t="inlineStr">
        <is>
          <t>A 31054-2024</t>
        </is>
      </c>
      <c r="B16" s="1" t="n">
        <v>45502.36863425926</v>
      </c>
      <c r="C16" s="1" t="n">
        <v>46136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Rosenticka
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57253-2023</t>
        </is>
      </c>
      <c r="B17" s="1" t="n">
        <v>45245</v>
      </c>
      <c r="C17" s="1" t="n">
        <v>46136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16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Mörk husmossa
Svart trolldruva
Ögonpyrola</t>
        </is>
      </c>
      <c r="S17">
        <f>HYPERLINK("https://klasma.github.io/Logging_2132/artfynd/A 57253-2023 artfynd.xlsx", "A 57253-2023")</f>
        <v/>
      </c>
      <c r="T17">
        <f>HYPERLINK("https://klasma.github.io/Logging_2132/kartor/A 57253-2023 karta.png", "A 57253-2023")</f>
        <v/>
      </c>
      <c r="V17">
        <f>HYPERLINK("https://klasma.github.io/Logging_2132/klagomål/A 57253-2023 FSC-klagomål.docx", "A 57253-2023")</f>
        <v/>
      </c>
      <c r="W17">
        <f>HYPERLINK("https://klasma.github.io/Logging_2132/klagomålsmail/A 57253-2023 FSC-klagomål mail.docx", "A 57253-2023")</f>
        <v/>
      </c>
      <c r="X17">
        <f>HYPERLINK("https://klasma.github.io/Logging_2132/tillsyn/A 57253-2023 tillsynsbegäran.docx", "A 57253-2023")</f>
        <v/>
      </c>
      <c r="Y17">
        <f>HYPERLINK("https://klasma.github.io/Logging_2132/tillsynsmail/A 57253-2023 tillsynsbegäran mail.docx", "A 57253-2023")</f>
        <v/>
      </c>
    </row>
    <row r="18" ht="15" customHeight="1">
      <c r="A18" t="inlineStr">
        <is>
          <t>A 60173-2025</t>
        </is>
      </c>
      <c r="B18" s="1" t="n">
        <v>45994.44869212963</v>
      </c>
      <c r="C18" s="1" t="n">
        <v>46136</v>
      </c>
      <c r="D18" t="inlineStr">
        <is>
          <t>GÄVLEBORGS LÄN</t>
        </is>
      </c>
      <c r="E18" t="inlineStr">
        <is>
          <t>NORDANSTIG</t>
        </is>
      </c>
      <c r="F18" t="inlineStr">
        <is>
          <t>SCA</t>
        </is>
      </c>
      <c r="G18" t="n">
        <v>6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Blå taggsvamp
Talltaggsvamp
Dropptaggsvamp</t>
        </is>
      </c>
      <c r="S18">
        <f>HYPERLINK("https://klasma.github.io/Logging_2132/artfynd/A 60173-2025 artfynd.xlsx", "A 60173-2025")</f>
        <v/>
      </c>
      <c r="T18">
        <f>HYPERLINK("https://klasma.github.io/Logging_2132/kartor/A 60173-2025 karta.png", "A 60173-2025")</f>
        <v/>
      </c>
      <c r="V18">
        <f>HYPERLINK("https://klasma.github.io/Logging_2132/klagomål/A 60173-2025 FSC-klagomål.docx", "A 60173-2025")</f>
        <v/>
      </c>
      <c r="W18">
        <f>HYPERLINK("https://klasma.github.io/Logging_2132/klagomålsmail/A 60173-2025 FSC-klagomål mail.docx", "A 60173-2025")</f>
        <v/>
      </c>
      <c r="X18">
        <f>HYPERLINK("https://klasma.github.io/Logging_2132/tillsyn/A 60173-2025 tillsynsbegäran.docx", "A 60173-2025")</f>
        <v/>
      </c>
      <c r="Y18">
        <f>HYPERLINK("https://klasma.github.io/Logging_2132/tillsynsmail/A 60173-2025 tillsynsbegäran mail.docx", "A 60173-2025")</f>
        <v/>
      </c>
    </row>
    <row r="19" ht="15" customHeight="1">
      <c r="A19" t="inlineStr">
        <is>
          <t>A 72433-2021</t>
        </is>
      </c>
      <c r="B19" s="1" t="n">
        <v>44545</v>
      </c>
      <c r="C19" s="1" t="n">
        <v>46136</v>
      </c>
      <c r="D19" t="inlineStr">
        <is>
          <t>GÄVLEBORGS LÄN</t>
        </is>
      </c>
      <c r="E19" t="inlineStr">
        <is>
          <t>NORDANSTIG</t>
        </is>
      </c>
      <c r="G19" t="n">
        <v>6.1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Järpe
Grönsiska
Tjäder</t>
        </is>
      </c>
      <c r="S19">
        <f>HYPERLINK("https://klasma.github.io/Logging_2132/artfynd/A 72433-2021 artfynd.xlsx", "A 72433-2021")</f>
        <v/>
      </c>
      <c r="T19">
        <f>HYPERLINK("https://klasma.github.io/Logging_2132/kartor/A 72433-2021 karta.png", "A 72433-2021")</f>
        <v/>
      </c>
      <c r="V19">
        <f>HYPERLINK("https://klasma.github.io/Logging_2132/klagomål/A 72433-2021 FSC-klagomål.docx", "A 72433-2021")</f>
        <v/>
      </c>
      <c r="W19">
        <f>HYPERLINK("https://klasma.github.io/Logging_2132/klagomålsmail/A 72433-2021 FSC-klagomål mail.docx", "A 72433-2021")</f>
        <v/>
      </c>
      <c r="X19">
        <f>HYPERLINK("https://klasma.github.io/Logging_2132/tillsyn/A 72433-2021 tillsynsbegäran.docx", "A 72433-2021")</f>
        <v/>
      </c>
      <c r="Y19">
        <f>HYPERLINK("https://klasma.github.io/Logging_2132/tillsynsmail/A 72433-2021 tillsynsbegäran mail.docx", "A 72433-2021")</f>
        <v/>
      </c>
      <c r="Z19">
        <f>HYPERLINK("https://klasma.github.io/Logging_2132/fåglar/A 72433-2021 prioriterade fågelarter.docx", "A 72433-2021")</f>
        <v/>
      </c>
    </row>
    <row r="20" ht="15" customHeight="1">
      <c r="A20" t="inlineStr">
        <is>
          <t>A 36310-2024</t>
        </is>
      </c>
      <c r="B20" s="1" t="n">
        <v>45534.62892361111</v>
      </c>
      <c r="C20" s="1" t="n">
        <v>46136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6.5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Nästlav
Revlummer</t>
        </is>
      </c>
      <c r="S20">
        <f>HYPERLINK("https://klasma.github.io/Logging_2132/artfynd/A 36310-2024 artfynd.xlsx", "A 36310-2024")</f>
        <v/>
      </c>
      <c r="T20">
        <f>HYPERLINK("https://klasma.github.io/Logging_2132/kartor/A 36310-2024 karta.png", "A 36310-2024")</f>
        <v/>
      </c>
      <c r="V20">
        <f>HYPERLINK("https://klasma.github.io/Logging_2132/klagomål/A 36310-2024 FSC-klagomål.docx", "A 36310-2024")</f>
        <v/>
      </c>
      <c r="W20">
        <f>HYPERLINK("https://klasma.github.io/Logging_2132/klagomålsmail/A 36310-2024 FSC-klagomål mail.docx", "A 36310-2024")</f>
        <v/>
      </c>
      <c r="X20">
        <f>HYPERLINK("https://klasma.github.io/Logging_2132/tillsyn/A 36310-2024 tillsynsbegäran.docx", "A 36310-2024")</f>
        <v/>
      </c>
      <c r="Y20">
        <f>HYPERLINK("https://klasma.github.io/Logging_2132/tillsynsmail/A 36310-2024 tillsynsbegäran mail.docx", "A 36310-2024")</f>
        <v/>
      </c>
    </row>
    <row r="21" ht="15" customHeight="1">
      <c r="A21" t="inlineStr">
        <is>
          <t>A 62767-2022</t>
        </is>
      </c>
      <c r="B21" s="1" t="n">
        <v>44884</v>
      </c>
      <c r="C21" s="1" t="n">
        <v>46136</v>
      </c>
      <c r="D21" t="inlineStr">
        <is>
          <t>GÄVLEBORGS LÄN</t>
        </is>
      </c>
      <c r="E21" t="inlineStr">
        <is>
          <t>NORDANSTIG</t>
        </is>
      </c>
      <c r="F21" t="inlineStr">
        <is>
          <t>SCA</t>
        </is>
      </c>
      <c r="G21" t="n">
        <v>13.3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Skogsknipprot
Törnskata</t>
        </is>
      </c>
      <c r="S21">
        <f>HYPERLINK("https://klasma.github.io/Logging_2132/artfynd/A 62767-2022 artfynd.xlsx", "A 62767-2022")</f>
        <v/>
      </c>
      <c r="T21">
        <f>HYPERLINK("https://klasma.github.io/Logging_2132/kartor/A 62767-2022 karta.png", "A 62767-2022")</f>
        <v/>
      </c>
      <c r="V21">
        <f>HYPERLINK("https://klasma.github.io/Logging_2132/klagomål/A 62767-2022 FSC-klagomål.docx", "A 62767-2022")</f>
        <v/>
      </c>
      <c r="W21">
        <f>HYPERLINK("https://klasma.github.io/Logging_2132/klagomålsmail/A 62767-2022 FSC-klagomål mail.docx", "A 62767-2022")</f>
        <v/>
      </c>
      <c r="X21">
        <f>HYPERLINK("https://klasma.github.io/Logging_2132/tillsyn/A 62767-2022 tillsynsbegäran.docx", "A 62767-2022")</f>
        <v/>
      </c>
      <c r="Y21">
        <f>HYPERLINK("https://klasma.github.io/Logging_2132/tillsynsmail/A 62767-2022 tillsynsbegäran mail.docx", "A 62767-2022")</f>
        <v/>
      </c>
      <c r="Z21">
        <f>HYPERLINK("https://klasma.github.io/Logging_2132/fåglar/A 62767-2022 prioriterade fågelarter.docx", "A 62767-2022")</f>
        <v/>
      </c>
    </row>
    <row r="22" ht="15" customHeight="1">
      <c r="A22" t="inlineStr">
        <is>
          <t>A 18926-2022</t>
        </is>
      </c>
      <c r="B22" s="1" t="n">
        <v>44690.64179398148</v>
      </c>
      <c r="C22" s="1" t="n">
        <v>46136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11.4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Trana</t>
        </is>
      </c>
      <c r="S22">
        <f>HYPERLINK("https://klasma.github.io/Logging_2132/artfynd/A 18926-2022 artfynd.xlsx", "A 18926-2022")</f>
        <v/>
      </c>
      <c r="T22">
        <f>HYPERLINK("https://klasma.github.io/Logging_2132/kartor/A 18926-2022 karta.png", "A 18926-2022")</f>
        <v/>
      </c>
      <c r="V22">
        <f>HYPERLINK("https://klasma.github.io/Logging_2132/klagomål/A 18926-2022 FSC-klagomål.docx", "A 18926-2022")</f>
        <v/>
      </c>
      <c r="W22">
        <f>HYPERLINK("https://klasma.github.io/Logging_2132/klagomålsmail/A 18926-2022 FSC-klagomål mail.docx", "A 18926-2022")</f>
        <v/>
      </c>
      <c r="X22">
        <f>HYPERLINK("https://klasma.github.io/Logging_2132/tillsyn/A 18926-2022 tillsynsbegäran.docx", "A 18926-2022")</f>
        <v/>
      </c>
      <c r="Y22">
        <f>HYPERLINK("https://klasma.github.io/Logging_2132/tillsynsmail/A 18926-2022 tillsynsbegäran mail.docx", "A 18926-2022")</f>
        <v/>
      </c>
      <c r="Z22">
        <f>HYPERLINK("https://klasma.github.io/Logging_2132/fåglar/A 18926-2022 prioriterade fågelarter.docx", "A 18926-2022")</f>
        <v/>
      </c>
    </row>
    <row r="23" ht="15" customHeight="1">
      <c r="A23" t="inlineStr">
        <is>
          <t>A 9973-2026</t>
        </is>
      </c>
      <c r="B23" s="1" t="n">
        <v>46073.52119212963</v>
      </c>
      <c r="C23" s="1" t="n">
        <v>46136</v>
      </c>
      <c r="D23" t="inlineStr">
        <is>
          <t>GÄVLEBORGS LÄN</t>
        </is>
      </c>
      <c r="E23" t="inlineStr">
        <is>
          <t>NORDANSTIG</t>
        </is>
      </c>
      <c r="G23" t="n">
        <v>17.9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Zontaggsvamp
Blåsippa</t>
        </is>
      </c>
      <c r="S23">
        <f>HYPERLINK("https://klasma.github.io/Logging_2132/artfynd/A 9973-2026 artfynd.xlsx", "A 9973-2026")</f>
        <v/>
      </c>
      <c r="T23">
        <f>HYPERLINK("https://klasma.github.io/Logging_2132/kartor/A 9973-2026 karta.png", "A 9973-2026")</f>
        <v/>
      </c>
      <c r="V23">
        <f>HYPERLINK("https://klasma.github.io/Logging_2132/klagomål/A 9973-2026 FSC-klagomål.docx", "A 9973-2026")</f>
        <v/>
      </c>
      <c r="W23">
        <f>HYPERLINK("https://klasma.github.io/Logging_2132/klagomålsmail/A 9973-2026 FSC-klagomål mail.docx", "A 9973-2026")</f>
        <v/>
      </c>
      <c r="X23">
        <f>HYPERLINK("https://klasma.github.io/Logging_2132/tillsyn/A 9973-2026 tillsynsbegäran.docx", "A 9973-2026")</f>
        <v/>
      </c>
      <c r="Y23">
        <f>HYPERLINK("https://klasma.github.io/Logging_2132/tillsynsmail/A 9973-2026 tillsynsbegäran mail.docx", "A 9973-2026")</f>
        <v/>
      </c>
    </row>
    <row r="24" ht="15" customHeight="1">
      <c r="A24" t="inlineStr">
        <is>
          <t>A 13026-2022</t>
        </is>
      </c>
      <c r="B24" s="1" t="n">
        <v>44643</v>
      </c>
      <c r="C24" s="1" t="n">
        <v>46136</v>
      </c>
      <c r="D24" t="inlineStr">
        <is>
          <t>GÄVLEBORGS LÄN</t>
        </is>
      </c>
      <c r="E24" t="inlineStr">
        <is>
          <t>NORDANSTIG</t>
        </is>
      </c>
      <c r="G24" t="n">
        <v>17.3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Talltita</t>
        </is>
      </c>
      <c r="S24">
        <f>HYPERLINK("https://klasma.github.io/Logging_2132/artfynd/A 13026-2022 artfynd.xlsx", "A 13026-2022")</f>
        <v/>
      </c>
      <c r="T24">
        <f>HYPERLINK("https://klasma.github.io/Logging_2132/kartor/A 13026-2022 karta.png", "A 13026-2022")</f>
        <v/>
      </c>
      <c r="V24">
        <f>HYPERLINK("https://klasma.github.io/Logging_2132/klagomål/A 13026-2022 FSC-klagomål.docx", "A 13026-2022")</f>
        <v/>
      </c>
      <c r="W24">
        <f>HYPERLINK("https://klasma.github.io/Logging_2132/klagomålsmail/A 13026-2022 FSC-klagomål mail.docx", "A 13026-2022")</f>
        <v/>
      </c>
      <c r="X24">
        <f>HYPERLINK("https://klasma.github.io/Logging_2132/tillsyn/A 13026-2022 tillsynsbegäran.docx", "A 13026-2022")</f>
        <v/>
      </c>
      <c r="Y24">
        <f>HYPERLINK("https://klasma.github.io/Logging_2132/tillsynsmail/A 13026-2022 tillsynsbegäran mail.docx", "A 13026-2022")</f>
        <v/>
      </c>
      <c r="Z24">
        <f>HYPERLINK("https://klasma.github.io/Logging_2132/fåglar/A 13026-2022 prioriterade fågelarter.docx", "A 13026-2022")</f>
        <v/>
      </c>
    </row>
    <row r="25" ht="15" customHeight="1">
      <c r="A25" t="inlineStr">
        <is>
          <t>A 31053-2024</t>
        </is>
      </c>
      <c r="B25" s="1" t="n">
        <v>45502.36028935185</v>
      </c>
      <c r="C25" s="1" t="n">
        <v>46136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5.5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Smal svampklubba
Fläcknycklar</t>
        </is>
      </c>
      <c r="S25">
        <f>HYPERLINK("https://klasma.github.io/Logging_2132/artfynd/A 31053-2024 artfynd.xlsx", "A 31053-2024")</f>
        <v/>
      </c>
      <c r="T25">
        <f>HYPERLINK("https://klasma.github.io/Logging_2132/kartor/A 31053-2024 karta.png", "A 31053-2024")</f>
        <v/>
      </c>
      <c r="V25">
        <f>HYPERLINK("https://klasma.github.io/Logging_2132/klagomål/A 31053-2024 FSC-klagomål.docx", "A 31053-2024")</f>
        <v/>
      </c>
      <c r="W25">
        <f>HYPERLINK("https://klasma.github.io/Logging_2132/klagomålsmail/A 31053-2024 FSC-klagomål mail.docx", "A 31053-2024")</f>
        <v/>
      </c>
      <c r="X25">
        <f>HYPERLINK("https://klasma.github.io/Logging_2132/tillsyn/A 31053-2024 tillsynsbegäran.docx", "A 31053-2024")</f>
        <v/>
      </c>
      <c r="Y25">
        <f>HYPERLINK("https://klasma.github.io/Logging_2132/tillsynsmail/A 31053-2024 tillsynsbegäran mail.docx", "A 31053-2024")</f>
        <v/>
      </c>
    </row>
    <row r="26" ht="15" customHeight="1">
      <c r="A26" t="inlineStr">
        <is>
          <t>A 60231-2025</t>
        </is>
      </c>
      <c r="B26" s="1" t="n">
        <v>45994.57239583333</v>
      </c>
      <c r="C26" s="1" t="n">
        <v>46136</v>
      </c>
      <c r="D26" t="inlineStr">
        <is>
          <t>GÄVLEBORGS LÄN</t>
        </is>
      </c>
      <c r="E26" t="inlineStr">
        <is>
          <t>NORDANSTIG</t>
        </is>
      </c>
      <c r="G26" t="n">
        <v>5.2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Dropptaggsvamp
Revlummer</t>
        </is>
      </c>
      <c r="S26">
        <f>HYPERLINK("https://klasma.github.io/Logging_2132/artfynd/A 60231-2025 artfynd.xlsx", "A 60231-2025")</f>
        <v/>
      </c>
      <c r="T26">
        <f>HYPERLINK("https://klasma.github.io/Logging_2132/kartor/A 60231-2025 karta.png", "A 60231-2025")</f>
        <v/>
      </c>
      <c r="V26">
        <f>HYPERLINK("https://klasma.github.io/Logging_2132/klagomål/A 60231-2025 FSC-klagomål.docx", "A 60231-2025")</f>
        <v/>
      </c>
      <c r="W26">
        <f>HYPERLINK("https://klasma.github.io/Logging_2132/klagomålsmail/A 60231-2025 FSC-klagomål mail.docx", "A 60231-2025")</f>
        <v/>
      </c>
      <c r="X26">
        <f>HYPERLINK("https://klasma.github.io/Logging_2132/tillsyn/A 60231-2025 tillsynsbegäran.docx", "A 60231-2025")</f>
        <v/>
      </c>
      <c r="Y26">
        <f>HYPERLINK("https://klasma.github.io/Logging_2132/tillsynsmail/A 60231-2025 tillsynsbegäran mail.docx", "A 60231-2025")</f>
        <v/>
      </c>
    </row>
    <row r="27" ht="15" customHeight="1">
      <c r="A27" t="inlineStr">
        <is>
          <t>A 26325-2023</t>
        </is>
      </c>
      <c r="B27" s="1" t="n">
        <v>45091</v>
      </c>
      <c r="C27" s="1" t="n">
        <v>46136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9.9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Ringlav
Rosenticka</t>
        </is>
      </c>
      <c r="S27">
        <f>HYPERLINK("https://klasma.github.io/Logging_2132/artfynd/A 26325-2023 artfynd.xlsx", "A 26325-2023")</f>
        <v/>
      </c>
      <c r="T27">
        <f>HYPERLINK("https://klasma.github.io/Logging_2132/kartor/A 26325-2023 karta.png", "A 26325-2023")</f>
        <v/>
      </c>
      <c r="V27">
        <f>HYPERLINK("https://klasma.github.io/Logging_2132/klagomål/A 26325-2023 FSC-klagomål.docx", "A 26325-2023")</f>
        <v/>
      </c>
      <c r="W27">
        <f>HYPERLINK("https://klasma.github.io/Logging_2132/klagomålsmail/A 26325-2023 FSC-klagomål mail.docx", "A 26325-2023")</f>
        <v/>
      </c>
      <c r="X27">
        <f>HYPERLINK("https://klasma.github.io/Logging_2132/tillsyn/A 26325-2023 tillsynsbegäran.docx", "A 26325-2023")</f>
        <v/>
      </c>
      <c r="Y27">
        <f>HYPERLINK("https://klasma.github.io/Logging_2132/tillsynsmail/A 26325-2023 tillsynsbegäran mail.docx", "A 26325-2023")</f>
        <v/>
      </c>
    </row>
    <row r="28" ht="15" customHeight="1">
      <c r="A28" t="inlineStr">
        <is>
          <t>A 60875-2023</t>
        </is>
      </c>
      <c r="B28" s="1" t="n">
        <v>45261.29287037037</v>
      </c>
      <c r="C28" s="1" t="n">
        <v>46136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Skogshakmossa
Strutbräken</t>
        </is>
      </c>
      <c r="S28">
        <f>HYPERLINK("https://klasma.github.io/Logging_2132/artfynd/A 60875-2023 artfynd.xlsx", "A 60875-2023")</f>
        <v/>
      </c>
      <c r="T28">
        <f>HYPERLINK("https://klasma.github.io/Logging_2132/kartor/A 60875-2023 karta.png", "A 60875-2023")</f>
        <v/>
      </c>
      <c r="V28">
        <f>HYPERLINK("https://klasma.github.io/Logging_2132/klagomål/A 60875-2023 FSC-klagomål.docx", "A 60875-2023")</f>
        <v/>
      </c>
      <c r="W28">
        <f>HYPERLINK("https://klasma.github.io/Logging_2132/klagomålsmail/A 60875-2023 FSC-klagomål mail.docx", "A 60875-2023")</f>
        <v/>
      </c>
      <c r="X28">
        <f>HYPERLINK("https://klasma.github.io/Logging_2132/tillsyn/A 60875-2023 tillsynsbegäran.docx", "A 60875-2023")</f>
        <v/>
      </c>
      <c r="Y28">
        <f>HYPERLINK("https://klasma.github.io/Logging_2132/tillsynsmail/A 60875-2023 tillsynsbegäran mail.docx", "A 60875-2023")</f>
        <v/>
      </c>
    </row>
    <row r="29" ht="15" customHeight="1">
      <c r="A29" t="inlineStr">
        <is>
          <t>A 7608-2023</t>
        </is>
      </c>
      <c r="B29" s="1" t="n">
        <v>44972</v>
      </c>
      <c r="C29" s="1" t="n">
        <v>46136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13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Mindre märgborre</t>
        </is>
      </c>
      <c r="S29">
        <f>HYPERLINK("https://klasma.github.io/Logging_2132/artfynd/A 7608-2023 artfynd.xlsx", "A 7608-2023")</f>
        <v/>
      </c>
      <c r="T29">
        <f>HYPERLINK("https://klasma.github.io/Logging_2132/kartor/A 7608-2023 karta.png", "A 7608-2023")</f>
        <v/>
      </c>
      <c r="V29">
        <f>HYPERLINK("https://klasma.github.io/Logging_2132/klagomål/A 7608-2023 FSC-klagomål.docx", "A 7608-2023")</f>
        <v/>
      </c>
      <c r="W29">
        <f>HYPERLINK("https://klasma.github.io/Logging_2132/klagomålsmail/A 7608-2023 FSC-klagomål mail.docx", "A 7608-2023")</f>
        <v/>
      </c>
      <c r="X29">
        <f>HYPERLINK("https://klasma.github.io/Logging_2132/tillsyn/A 7608-2023 tillsynsbegäran.docx", "A 7608-2023")</f>
        <v/>
      </c>
      <c r="Y29">
        <f>HYPERLINK("https://klasma.github.io/Logging_2132/tillsynsmail/A 7608-2023 tillsynsbegäran mail.docx", "A 7608-2023")</f>
        <v/>
      </c>
    </row>
    <row r="30" ht="15" customHeight="1">
      <c r="A30" t="inlineStr">
        <is>
          <t>A 38159-2022</t>
        </is>
      </c>
      <c r="B30" s="1" t="n">
        <v>44812.37486111111</v>
      </c>
      <c r="C30" s="1" t="n">
        <v>46136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1.4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HYPERLINK("https://klasma.github.io/Logging_2132/artfynd/A 38159-2022 artfynd.xlsx", "A 38159-2022")</f>
        <v/>
      </c>
      <c r="T30">
        <f>HYPERLINK("https://klasma.github.io/Logging_2132/kartor/A 38159-2022 karta.png", "A 38159-2022")</f>
        <v/>
      </c>
      <c r="V30">
        <f>HYPERLINK("https://klasma.github.io/Logging_2132/klagomål/A 38159-2022 FSC-klagomål.docx", "A 38159-2022")</f>
        <v/>
      </c>
      <c r="W30">
        <f>HYPERLINK("https://klasma.github.io/Logging_2132/klagomålsmail/A 38159-2022 FSC-klagomål mail.docx", "A 38159-2022")</f>
        <v/>
      </c>
      <c r="X30">
        <f>HYPERLINK("https://klasma.github.io/Logging_2132/tillsyn/A 38159-2022 tillsynsbegäran.docx", "A 38159-2022")</f>
        <v/>
      </c>
      <c r="Y30">
        <f>HYPERLINK("https://klasma.github.io/Logging_2132/tillsynsmail/A 38159-2022 tillsynsbegäran mail.docx", "A 38159-2022")</f>
        <v/>
      </c>
    </row>
    <row r="31" ht="15" customHeight="1">
      <c r="A31" t="inlineStr">
        <is>
          <t>A 3387-2024</t>
        </is>
      </c>
      <c r="B31" s="1" t="n">
        <v>45317</v>
      </c>
      <c r="C31" s="1" t="n">
        <v>46136</v>
      </c>
      <c r="D31" t="inlineStr">
        <is>
          <t>GÄVLEBORGS LÄN</t>
        </is>
      </c>
      <c r="E31" t="inlineStr">
        <is>
          <t>NORDANSTIG</t>
        </is>
      </c>
      <c r="F31" t="inlineStr">
        <is>
          <t>SCA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HYPERLINK("https://klasma.github.io/Logging_2132/artfynd/A 3387-2024 artfynd.xlsx", "A 3387-2024")</f>
        <v/>
      </c>
      <c r="T31">
        <f>HYPERLINK("https://klasma.github.io/Logging_2132/kartor/A 3387-2024 karta.png", "A 3387-2024")</f>
        <v/>
      </c>
      <c r="V31">
        <f>HYPERLINK("https://klasma.github.io/Logging_2132/klagomål/A 3387-2024 FSC-klagomål.docx", "A 3387-2024")</f>
        <v/>
      </c>
      <c r="W31">
        <f>HYPERLINK("https://klasma.github.io/Logging_2132/klagomålsmail/A 3387-2024 FSC-klagomål mail.docx", "A 3387-2024")</f>
        <v/>
      </c>
      <c r="X31">
        <f>HYPERLINK("https://klasma.github.io/Logging_2132/tillsyn/A 3387-2024 tillsynsbegäran.docx", "A 3387-2024")</f>
        <v/>
      </c>
      <c r="Y31">
        <f>HYPERLINK("https://klasma.github.io/Logging_2132/tillsynsmail/A 3387-2024 tillsynsbegäran mail.docx", "A 3387-2024")</f>
        <v/>
      </c>
    </row>
    <row r="32" ht="15" customHeight="1">
      <c r="A32" t="inlineStr">
        <is>
          <t>A 28587-2024</t>
        </is>
      </c>
      <c r="B32" s="1" t="n">
        <v>45478.41214120371</v>
      </c>
      <c r="C32" s="1" t="n">
        <v>46136</v>
      </c>
      <c r="D32" t="inlineStr">
        <is>
          <t>GÄVLEBORGS LÄN</t>
        </is>
      </c>
      <c r="E32" t="inlineStr">
        <is>
          <t>NORDANSTIG</t>
        </is>
      </c>
      <c r="G32" t="n">
        <v>26.3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HYPERLINK("https://klasma.github.io/Logging_2132/artfynd/A 28587-2024 artfynd.xlsx", "A 28587-2024")</f>
        <v/>
      </c>
      <c r="T32">
        <f>HYPERLINK("https://klasma.github.io/Logging_2132/kartor/A 28587-2024 karta.png", "A 28587-2024")</f>
        <v/>
      </c>
      <c r="V32">
        <f>HYPERLINK("https://klasma.github.io/Logging_2132/klagomål/A 28587-2024 FSC-klagomål.docx", "A 28587-2024")</f>
        <v/>
      </c>
      <c r="W32">
        <f>HYPERLINK("https://klasma.github.io/Logging_2132/klagomålsmail/A 28587-2024 FSC-klagomål mail.docx", "A 28587-2024")</f>
        <v/>
      </c>
      <c r="X32">
        <f>HYPERLINK("https://klasma.github.io/Logging_2132/tillsyn/A 28587-2024 tillsynsbegäran.docx", "A 28587-2024")</f>
        <v/>
      </c>
      <c r="Y32">
        <f>HYPERLINK("https://klasma.github.io/Logging_2132/tillsynsmail/A 28587-2024 tillsynsbegäran mail.docx", "A 28587-2024")</f>
        <v/>
      </c>
    </row>
    <row r="33" ht="15" customHeight="1">
      <c r="A33" t="inlineStr">
        <is>
          <t>A 1708-2026</t>
        </is>
      </c>
      <c r="B33" s="1" t="n">
        <v>46034.60042824074</v>
      </c>
      <c r="C33" s="1" t="n">
        <v>46136</v>
      </c>
      <c r="D33" t="inlineStr">
        <is>
          <t>GÄVLEBORGS LÄN</t>
        </is>
      </c>
      <c r="E33" t="inlineStr">
        <is>
          <t>NORDANSTIG</t>
        </is>
      </c>
      <c r="G33" t="n">
        <v>8.699999999999999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HYPERLINK("https://klasma.github.io/Logging_2132/artfynd/A 1708-2026 artfynd.xlsx", "A 1708-2026")</f>
        <v/>
      </c>
      <c r="T33">
        <f>HYPERLINK("https://klasma.github.io/Logging_2132/kartor/A 1708-2026 karta.png", "A 1708-2026")</f>
        <v/>
      </c>
      <c r="V33">
        <f>HYPERLINK("https://klasma.github.io/Logging_2132/klagomål/A 1708-2026 FSC-klagomål.docx", "A 1708-2026")</f>
        <v/>
      </c>
      <c r="W33">
        <f>HYPERLINK("https://klasma.github.io/Logging_2132/klagomålsmail/A 1708-2026 FSC-klagomål mail.docx", "A 1708-2026")</f>
        <v/>
      </c>
      <c r="X33">
        <f>HYPERLINK("https://klasma.github.io/Logging_2132/tillsyn/A 1708-2026 tillsynsbegäran.docx", "A 1708-2026")</f>
        <v/>
      </c>
      <c r="Y33">
        <f>HYPERLINK("https://klasma.github.io/Logging_2132/tillsynsmail/A 1708-2026 tillsynsbegäran mail.docx", "A 1708-2026")</f>
        <v/>
      </c>
    </row>
    <row r="34" ht="15" customHeight="1">
      <c r="A34" t="inlineStr">
        <is>
          <t>A 44032-2023</t>
        </is>
      </c>
      <c r="B34" s="1" t="n">
        <v>45188.36288194444</v>
      </c>
      <c r="C34" s="1" t="n">
        <v>46136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5.3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HYPERLINK("https://klasma.github.io/Logging_2132/artfynd/A 44032-2023 artfynd.xlsx", "A 44032-2023")</f>
        <v/>
      </c>
      <c r="T34">
        <f>HYPERLINK("https://klasma.github.io/Logging_2132/kartor/A 44032-2023 karta.png", "A 44032-2023")</f>
        <v/>
      </c>
      <c r="V34">
        <f>HYPERLINK("https://klasma.github.io/Logging_2132/klagomål/A 44032-2023 FSC-klagomål.docx", "A 44032-2023")</f>
        <v/>
      </c>
      <c r="W34">
        <f>HYPERLINK("https://klasma.github.io/Logging_2132/klagomålsmail/A 44032-2023 FSC-klagomål mail.docx", "A 44032-2023")</f>
        <v/>
      </c>
      <c r="X34">
        <f>HYPERLINK("https://klasma.github.io/Logging_2132/tillsyn/A 44032-2023 tillsynsbegäran.docx", "A 44032-2023")</f>
        <v/>
      </c>
      <c r="Y34">
        <f>HYPERLINK("https://klasma.github.io/Logging_2132/tillsynsmail/A 44032-2023 tillsynsbegäran mail.docx", "A 44032-2023")</f>
        <v/>
      </c>
    </row>
    <row r="35" ht="15" customHeight="1">
      <c r="A35" t="inlineStr">
        <is>
          <t>A 2878-2026</t>
        </is>
      </c>
      <c r="B35" s="1" t="n">
        <v>46038.53079861111</v>
      </c>
      <c r="C35" s="1" t="n">
        <v>46136</v>
      </c>
      <c r="D35" t="inlineStr">
        <is>
          <t>GÄVLEBORGS LÄN</t>
        </is>
      </c>
      <c r="E35" t="inlineStr">
        <is>
          <t>NORDANSTIG</t>
        </is>
      </c>
      <c r="G35" t="n">
        <v>3.4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Mindre hackspett</t>
        </is>
      </c>
      <c r="S35">
        <f>HYPERLINK("https://klasma.github.io/Logging_2132/artfynd/A 2878-2026 artfynd.xlsx", "A 2878-2026")</f>
        <v/>
      </c>
      <c r="T35">
        <f>HYPERLINK("https://klasma.github.io/Logging_2132/kartor/A 2878-2026 karta.png", "A 2878-2026")</f>
        <v/>
      </c>
      <c r="V35">
        <f>HYPERLINK("https://klasma.github.io/Logging_2132/klagomål/A 2878-2026 FSC-klagomål.docx", "A 2878-2026")</f>
        <v/>
      </c>
      <c r="W35">
        <f>HYPERLINK("https://klasma.github.io/Logging_2132/klagomålsmail/A 2878-2026 FSC-klagomål mail.docx", "A 2878-2026")</f>
        <v/>
      </c>
      <c r="X35">
        <f>HYPERLINK("https://klasma.github.io/Logging_2132/tillsyn/A 2878-2026 tillsynsbegäran.docx", "A 2878-2026")</f>
        <v/>
      </c>
      <c r="Y35">
        <f>HYPERLINK("https://klasma.github.io/Logging_2132/tillsynsmail/A 2878-2026 tillsynsbegäran mail.docx", "A 2878-2026")</f>
        <v/>
      </c>
      <c r="Z35">
        <f>HYPERLINK("https://klasma.github.io/Logging_2132/fåglar/A 2878-2026 prioriterade fågelarter.docx", "A 2878-2026")</f>
        <v/>
      </c>
    </row>
    <row r="36" ht="15" customHeight="1">
      <c r="A36" t="inlineStr">
        <is>
          <t>A 3781-2026</t>
        </is>
      </c>
      <c r="B36" s="1" t="n">
        <v>46043.56984953704</v>
      </c>
      <c r="C36" s="1" t="n">
        <v>46136</v>
      </c>
      <c r="D36" t="inlineStr">
        <is>
          <t>GÄVLEBORGS LÄN</t>
        </is>
      </c>
      <c r="E36" t="inlineStr">
        <is>
          <t>NORDANSTIG</t>
        </is>
      </c>
      <c r="G36" t="n">
        <v>31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HYPERLINK("https://klasma.github.io/Logging_2132/artfynd/A 3781-2026 artfynd.xlsx", "A 3781-2026")</f>
        <v/>
      </c>
      <c r="T36">
        <f>HYPERLINK("https://klasma.github.io/Logging_2132/kartor/A 3781-2026 karta.png", "A 3781-2026")</f>
        <v/>
      </c>
      <c r="V36">
        <f>HYPERLINK("https://klasma.github.io/Logging_2132/klagomål/A 3781-2026 FSC-klagomål.docx", "A 3781-2026")</f>
        <v/>
      </c>
      <c r="W36">
        <f>HYPERLINK("https://klasma.github.io/Logging_2132/klagomålsmail/A 3781-2026 FSC-klagomål mail.docx", "A 3781-2026")</f>
        <v/>
      </c>
      <c r="X36">
        <f>HYPERLINK("https://klasma.github.io/Logging_2132/tillsyn/A 3781-2026 tillsynsbegäran.docx", "A 3781-2026")</f>
        <v/>
      </c>
      <c r="Y36">
        <f>HYPERLINK("https://klasma.github.io/Logging_2132/tillsynsmail/A 3781-2026 tillsynsbegäran mail.docx", "A 3781-2026")</f>
        <v/>
      </c>
    </row>
    <row r="37" ht="15" customHeight="1">
      <c r="A37" t="inlineStr">
        <is>
          <t>A 3755-2023</t>
        </is>
      </c>
      <c r="B37" s="1" t="n">
        <v>44951</v>
      </c>
      <c r="C37" s="1" t="n">
        <v>46136</v>
      </c>
      <c r="D37" t="inlineStr">
        <is>
          <t>GÄVLEBORGS LÄN</t>
        </is>
      </c>
      <c r="E37" t="inlineStr">
        <is>
          <t>NORDANSTIG</t>
        </is>
      </c>
      <c r="G37" t="n">
        <v>8.199999999999999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Bredgentiana</t>
        </is>
      </c>
      <c r="S37">
        <f>HYPERLINK("https://klasma.github.io/Logging_2132/artfynd/A 3755-2023 artfynd.xlsx", "A 3755-2023")</f>
        <v/>
      </c>
      <c r="T37">
        <f>HYPERLINK("https://klasma.github.io/Logging_2132/kartor/A 3755-2023 karta.png", "A 3755-2023")</f>
        <v/>
      </c>
      <c r="V37">
        <f>HYPERLINK("https://klasma.github.io/Logging_2132/klagomål/A 3755-2023 FSC-klagomål.docx", "A 3755-2023")</f>
        <v/>
      </c>
      <c r="W37">
        <f>HYPERLINK("https://klasma.github.io/Logging_2132/klagomålsmail/A 3755-2023 FSC-klagomål mail.docx", "A 3755-2023")</f>
        <v/>
      </c>
      <c r="X37">
        <f>HYPERLINK("https://klasma.github.io/Logging_2132/tillsyn/A 3755-2023 tillsynsbegäran.docx", "A 3755-2023")</f>
        <v/>
      </c>
      <c r="Y37">
        <f>HYPERLINK("https://klasma.github.io/Logging_2132/tillsynsmail/A 3755-2023 tillsynsbegäran mail.docx", "A 3755-2023")</f>
        <v/>
      </c>
    </row>
    <row r="38" ht="15" customHeight="1">
      <c r="A38" t="inlineStr">
        <is>
          <t>A 16809-2022</t>
        </is>
      </c>
      <c r="B38" s="1" t="n">
        <v>44673</v>
      </c>
      <c r="C38" s="1" t="n">
        <v>46136</v>
      </c>
      <c r="D38" t="inlineStr">
        <is>
          <t>GÄVLEBORGS LÄN</t>
        </is>
      </c>
      <c r="E38" t="inlineStr">
        <is>
          <t>NORDANSTIG</t>
        </is>
      </c>
      <c r="G38" t="n">
        <v>4.4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HYPERLINK("https://klasma.github.io/Logging_2132/artfynd/A 16809-2022 artfynd.xlsx", "A 16809-2022")</f>
        <v/>
      </c>
      <c r="T38">
        <f>HYPERLINK("https://klasma.github.io/Logging_2132/kartor/A 16809-2022 karta.png", "A 16809-2022")</f>
        <v/>
      </c>
      <c r="V38">
        <f>HYPERLINK("https://klasma.github.io/Logging_2132/klagomål/A 16809-2022 FSC-klagomål.docx", "A 16809-2022")</f>
        <v/>
      </c>
      <c r="W38">
        <f>HYPERLINK("https://klasma.github.io/Logging_2132/klagomålsmail/A 16809-2022 FSC-klagomål mail.docx", "A 16809-2022")</f>
        <v/>
      </c>
      <c r="X38">
        <f>HYPERLINK("https://klasma.github.io/Logging_2132/tillsyn/A 16809-2022 tillsynsbegäran.docx", "A 16809-2022")</f>
        <v/>
      </c>
      <c r="Y38">
        <f>HYPERLINK("https://klasma.github.io/Logging_2132/tillsynsmail/A 16809-2022 tillsynsbegäran mail.docx", "A 16809-2022")</f>
        <v/>
      </c>
    </row>
    <row r="39" ht="15" customHeight="1">
      <c r="A39" t="inlineStr">
        <is>
          <t>A 14350-2026</t>
        </is>
      </c>
      <c r="B39" s="1" t="n">
        <v>46100.3446875</v>
      </c>
      <c r="C39" s="1" t="n">
        <v>46136</v>
      </c>
      <c r="D39" t="inlineStr">
        <is>
          <t>GÄVLEBORGS LÄN</t>
        </is>
      </c>
      <c r="E39" t="inlineStr">
        <is>
          <t>NORDANSTIG</t>
        </is>
      </c>
      <c r="F39" t="inlineStr">
        <is>
          <t>SCA</t>
        </is>
      </c>
      <c r="G39" t="n">
        <v>1.6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HYPERLINK("https://klasma.github.io/Logging_2132/artfynd/A 14350-2026 artfynd.xlsx", "A 14350-2026")</f>
        <v/>
      </c>
      <c r="T39">
        <f>HYPERLINK("https://klasma.github.io/Logging_2132/kartor/A 14350-2026 karta.png", "A 14350-2026")</f>
        <v/>
      </c>
      <c r="U39">
        <f>HYPERLINK("https://klasma.github.io/Logging_2132/knärot/A 14350-2026 karta knärot.png", "A 14350-2026")</f>
        <v/>
      </c>
      <c r="V39">
        <f>HYPERLINK("https://klasma.github.io/Logging_2132/klagomål/A 14350-2026 FSC-klagomål.docx", "A 14350-2026")</f>
        <v/>
      </c>
      <c r="W39">
        <f>HYPERLINK("https://klasma.github.io/Logging_2132/klagomålsmail/A 14350-2026 FSC-klagomål mail.docx", "A 14350-2026")</f>
        <v/>
      </c>
      <c r="X39">
        <f>HYPERLINK("https://klasma.github.io/Logging_2132/tillsyn/A 14350-2026 tillsynsbegäran.docx", "A 14350-2026")</f>
        <v/>
      </c>
      <c r="Y39">
        <f>HYPERLINK("https://klasma.github.io/Logging_2132/tillsynsmail/A 14350-2026 tillsynsbegäran mail.docx", "A 14350-2026")</f>
        <v/>
      </c>
    </row>
    <row r="40" ht="15" customHeight="1">
      <c r="A40" t="inlineStr">
        <is>
          <t>A 32035-2025</t>
        </is>
      </c>
      <c r="B40" s="1" t="n">
        <v>45835.42466435185</v>
      </c>
      <c r="C40" s="1" t="n">
        <v>46136</v>
      </c>
      <c r="D40" t="inlineStr">
        <is>
          <t>GÄVLEBORGS LÄN</t>
        </is>
      </c>
      <c r="E40" t="inlineStr">
        <is>
          <t>NORDANSTIG</t>
        </is>
      </c>
      <c r="G40" t="n">
        <v>6.6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HYPERLINK("https://klasma.github.io/Logging_2132/artfynd/A 32035-2025 artfynd.xlsx", "A 32035-2025")</f>
        <v/>
      </c>
      <c r="T40">
        <f>HYPERLINK("https://klasma.github.io/Logging_2132/kartor/A 32035-2025 karta.png", "A 32035-2025")</f>
        <v/>
      </c>
      <c r="V40">
        <f>HYPERLINK("https://klasma.github.io/Logging_2132/klagomål/A 32035-2025 FSC-klagomål.docx", "A 32035-2025")</f>
        <v/>
      </c>
      <c r="W40">
        <f>HYPERLINK("https://klasma.github.io/Logging_2132/klagomålsmail/A 32035-2025 FSC-klagomål mail.docx", "A 32035-2025")</f>
        <v/>
      </c>
      <c r="X40">
        <f>HYPERLINK("https://klasma.github.io/Logging_2132/tillsyn/A 32035-2025 tillsynsbegäran.docx", "A 32035-2025")</f>
        <v/>
      </c>
      <c r="Y40">
        <f>HYPERLINK("https://klasma.github.io/Logging_2132/tillsynsmail/A 32035-2025 tillsynsbegäran mail.docx", "A 32035-2025")</f>
        <v/>
      </c>
    </row>
    <row r="41" ht="15" customHeight="1">
      <c r="A41" t="inlineStr">
        <is>
          <t>A 17006-2026</t>
        </is>
      </c>
      <c r="B41" s="1" t="n">
        <v>46114.42888888889</v>
      </c>
      <c r="C41" s="1" t="n">
        <v>46136</v>
      </c>
      <c r="D41" t="inlineStr">
        <is>
          <t>GÄVLEBORGS LÄN</t>
        </is>
      </c>
      <c r="E41" t="inlineStr">
        <is>
          <t>NORDANSTIG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HYPERLINK("https://klasma.github.io/Logging_2132/artfynd/A 17006-2026 artfynd.xlsx", "A 17006-2026")</f>
        <v/>
      </c>
      <c r="T41">
        <f>HYPERLINK("https://klasma.github.io/Logging_2132/kartor/A 17006-2026 karta.png", "A 17006-2026")</f>
        <v/>
      </c>
      <c r="V41">
        <f>HYPERLINK("https://klasma.github.io/Logging_2132/klagomål/A 17006-2026 FSC-klagomål.docx", "A 17006-2026")</f>
        <v/>
      </c>
      <c r="W41">
        <f>HYPERLINK("https://klasma.github.io/Logging_2132/klagomålsmail/A 17006-2026 FSC-klagomål mail.docx", "A 17006-2026")</f>
        <v/>
      </c>
      <c r="X41">
        <f>HYPERLINK("https://klasma.github.io/Logging_2132/tillsyn/A 17006-2026 tillsynsbegäran.docx", "A 17006-2026")</f>
        <v/>
      </c>
      <c r="Y41">
        <f>HYPERLINK("https://klasma.github.io/Logging_2132/tillsynsmail/A 17006-2026 tillsynsbegäran mail.docx", "A 17006-2026")</f>
        <v/>
      </c>
    </row>
    <row r="42" ht="15" customHeight="1">
      <c r="A42" t="inlineStr">
        <is>
          <t>A 38050-2024</t>
        </is>
      </c>
      <c r="B42" s="1" t="n">
        <v>45544</v>
      </c>
      <c r="C42" s="1" t="n">
        <v>46136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3.1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HYPERLINK("https://klasma.github.io/Logging_2132/artfynd/A 38050-2024 artfynd.xlsx", "A 38050-2024")</f>
        <v/>
      </c>
      <c r="T42">
        <f>HYPERLINK("https://klasma.github.io/Logging_2132/kartor/A 38050-2024 karta.png", "A 38050-2024")</f>
        <v/>
      </c>
      <c r="U42">
        <f>HYPERLINK("https://klasma.github.io/Logging_2132/knärot/A 38050-2024 karta knärot.png", "A 38050-2024")</f>
        <v/>
      </c>
      <c r="V42">
        <f>HYPERLINK("https://klasma.github.io/Logging_2132/klagomål/A 38050-2024 FSC-klagomål.docx", "A 38050-2024")</f>
        <v/>
      </c>
      <c r="W42">
        <f>HYPERLINK("https://klasma.github.io/Logging_2132/klagomålsmail/A 38050-2024 FSC-klagomål mail.docx", "A 38050-2024")</f>
        <v/>
      </c>
      <c r="X42">
        <f>HYPERLINK("https://klasma.github.io/Logging_2132/tillsyn/A 38050-2024 tillsynsbegäran.docx", "A 38050-2024")</f>
        <v/>
      </c>
      <c r="Y42">
        <f>HYPERLINK("https://klasma.github.io/Logging_2132/tillsynsmail/A 38050-2024 tillsynsbegäran mail.docx", "A 38050-2024")</f>
        <v/>
      </c>
    </row>
    <row r="43" ht="15" customHeight="1">
      <c r="A43" t="inlineStr">
        <is>
          <t>A 20441-2023</t>
        </is>
      </c>
      <c r="B43" s="1" t="n">
        <v>45056.82412037037</v>
      </c>
      <c r="C43" s="1" t="n">
        <v>46136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3.7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Orre</t>
        </is>
      </c>
      <c r="S43">
        <f>HYPERLINK("https://klasma.github.io/Logging_2132/artfynd/A 20441-2023 artfynd.xlsx", "A 20441-2023")</f>
        <v/>
      </c>
      <c r="T43">
        <f>HYPERLINK("https://klasma.github.io/Logging_2132/kartor/A 20441-2023 karta.png", "A 20441-2023")</f>
        <v/>
      </c>
      <c r="V43">
        <f>HYPERLINK("https://klasma.github.io/Logging_2132/klagomål/A 20441-2023 FSC-klagomål.docx", "A 20441-2023")</f>
        <v/>
      </c>
      <c r="W43">
        <f>HYPERLINK("https://klasma.github.io/Logging_2132/klagomålsmail/A 20441-2023 FSC-klagomål mail.docx", "A 20441-2023")</f>
        <v/>
      </c>
      <c r="X43">
        <f>HYPERLINK("https://klasma.github.io/Logging_2132/tillsyn/A 20441-2023 tillsynsbegäran.docx", "A 20441-2023")</f>
        <v/>
      </c>
      <c r="Y43">
        <f>HYPERLINK("https://klasma.github.io/Logging_2132/tillsynsmail/A 20441-2023 tillsynsbegäran mail.docx", "A 20441-2023")</f>
        <v/>
      </c>
      <c r="Z43">
        <f>HYPERLINK("https://klasma.github.io/Logging_2132/fåglar/A 20441-2023 prioriterade fågelarter.docx", "A 20441-2023")</f>
        <v/>
      </c>
    </row>
    <row r="44" ht="15" customHeight="1">
      <c r="A44" t="inlineStr">
        <is>
          <t>A 31066-2024</t>
        </is>
      </c>
      <c r="B44" s="1" t="n">
        <v>45502.42929398148</v>
      </c>
      <c r="C44" s="1" t="n">
        <v>46136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4.7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HYPERLINK("https://klasma.github.io/Logging_2132/artfynd/A 31066-2024 artfynd.xlsx", "A 31066-2024")</f>
        <v/>
      </c>
      <c r="T44">
        <f>HYPERLINK("https://klasma.github.io/Logging_2132/kartor/A 31066-2024 karta.png", "A 31066-2024")</f>
        <v/>
      </c>
      <c r="V44">
        <f>HYPERLINK("https://klasma.github.io/Logging_2132/klagomål/A 31066-2024 FSC-klagomål.docx", "A 31066-2024")</f>
        <v/>
      </c>
      <c r="W44">
        <f>HYPERLINK("https://klasma.github.io/Logging_2132/klagomålsmail/A 31066-2024 FSC-klagomål mail.docx", "A 31066-2024")</f>
        <v/>
      </c>
      <c r="X44">
        <f>HYPERLINK("https://klasma.github.io/Logging_2132/tillsyn/A 31066-2024 tillsynsbegäran.docx", "A 31066-2024")</f>
        <v/>
      </c>
      <c r="Y44">
        <f>HYPERLINK("https://klasma.github.io/Logging_2132/tillsynsmail/A 31066-2024 tillsynsbegäran mail.docx", "A 31066-2024")</f>
        <v/>
      </c>
    </row>
    <row r="45" ht="15" customHeight="1">
      <c r="A45" t="inlineStr">
        <is>
          <t>A 31068-2024</t>
        </is>
      </c>
      <c r="B45" s="1" t="n">
        <v>45502.43518518518</v>
      </c>
      <c r="C45" s="1" t="n">
        <v>46136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4.6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HYPERLINK("https://klasma.github.io/Logging_2132/artfynd/A 31068-2024 artfynd.xlsx", "A 31068-2024")</f>
        <v/>
      </c>
      <c r="T45">
        <f>HYPERLINK("https://klasma.github.io/Logging_2132/kartor/A 31068-2024 karta.png", "A 31068-2024")</f>
        <v/>
      </c>
      <c r="V45">
        <f>HYPERLINK("https://klasma.github.io/Logging_2132/klagomål/A 31068-2024 FSC-klagomål.docx", "A 31068-2024")</f>
        <v/>
      </c>
      <c r="W45">
        <f>HYPERLINK("https://klasma.github.io/Logging_2132/klagomålsmail/A 31068-2024 FSC-klagomål mail.docx", "A 31068-2024")</f>
        <v/>
      </c>
      <c r="X45">
        <f>HYPERLINK("https://klasma.github.io/Logging_2132/tillsyn/A 31068-2024 tillsynsbegäran.docx", "A 31068-2024")</f>
        <v/>
      </c>
      <c r="Y45">
        <f>HYPERLINK("https://klasma.github.io/Logging_2132/tillsynsmail/A 31068-2024 tillsynsbegäran mail.docx", "A 31068-2024")</f>
        <v/>
      </c>
    </row>
    <row r="46" ht="15" customHeight="1">
      <c r="A46" t="inlineStr">
        <is>
          <t>A 470-2024</t>
        </is>
      </c>
      <c r="B46" s="1" t="n">
        <v>45297.70762731481</v>
      </c>
      <c r="C46" s="1" t="n">
        <v>46136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4.1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Duvhök</t>
        </is>
      </c>
      <c r="S46">
        <f>HYPERLINK("https://klasma.github.io/Logging_2132/artfynd/A 470-2024 artfynd.xlsx", "A 470-2024")</f>
        <v/>
      </c>
      <c r="T46">
        <f>HYPERLINK("https://klasma.github.io/Logging_2132/kartor/A 470-2024 karta.png", "A 470-2024")</f>
        <v/>
      </c>
      <c r="V46">
        <f>HYPERLINK("https://klasma.github.io/Logging_2132/klagomål/A 470-2024 FSC-klagomål.docx", "A 470-2024")</f>
        <v/>
      </c>
      <c r="W46">
        <f>HYPERLINK("https://klasma.github.io/Logging_2132/klagomålsmail/A 470-2024 FSC-klagomål mail.docx", "A 470-2024")</f>
        <v/>
      </c>
      <c r="X46">
        <f>HYPERLINK("https://klasma.github.io/Logging_2132/tillsyn/A 470-2024 tillsynsbegäran.docx", "A 470-2024")</f>
        <v/>
      </c>
      <c r="Y46">
        <f>HYPERLINK("https://klasma.github.io/Logging_2132/tillsynsmail/A 470-2024 tillsynsbegäran mail.docx", "A 470-2024")</f>
        <v/>
      </c>
      <c r="Z46">
        <f>HYPERLINK("https://klasma.github.io/Logging_2132/fåglar/A 470-2024 prioriterade fågelarter.docx", "A 470-2024")</f>
        <v/>
      </c>
    </row>
    <row r="47" ht="15" customHeight="1">
      <c r="A47" t="inlineStr">
        <is>
          <t>A 47605-2025</t>
        </is>
      </c>
      <c r="B47" s="1" t="n">
        <v>45931.46359953703</v>
      </c>
      <c r="C47" s="1" t="n">
        <v>46136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11.7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HYPERLINK("https://klasma.github.io/Logging_2132/artfynd/A 47605-2025 artfynd.xlsx", "A 47605-2025")</f>
        <v/>
      </c>
      <c r="T47">
        <f>HYPERLINK("https://klasma.github.io/Logging_2132/kartor/A 47605-2025 karta.png", "A 47605-2025")</f>
        <v/>
      </c>
      <c r="V47">
        <f>HYPERLINK("https://klasma.github.io/Logging_2132/klagomål/A 47605-2025 FSC-klagomål.docx", "A 47605-2025")</f>
        <v/>
      </c>
      <c r="W47">
        <f>HYPERLINK("https://klasma.github.io/Logging_2132/klagomålsmail/A 47605-2025 FSC-klagomål mail.docx", "A 47605-2025")</f>
        <v/>
      </c>
      <c r="X47">
        <f>HYPERLINK("https://klasma.github.io/Logging_2132/tillsyn/A 47605-2025 tillsynsbegäran.docx", "A 47605-2025")</f>
        <v/>
      </c>
      <c r="Y47">
        <f>HYPERLINK("https://klasma.github.io/Logging_2132/tillsynsmail/A 47605-2025 tillsynsbegäran mail.docx", "A 47605-2025")</f>
        <v/>
      </c>
      <c r="Z47">
        <f>HYPERLINK("https://klasma.github.io/Logging_2132/fåglar/A 47605-2025 prioriterade fågelarter.docx", "A 47605-2025")</f>
        <v/>
      </c>
    </row>
    <row r="48" ht="15" customHeight="1">
      <c r="A48" t="inlineStr">
        <is>
          <t>A 28822-2024</t>
        </is>
      </c>
      <c r="B48" s="1" t="n">
        <v>45478</v>
      </c>
      <c r="C48" s="1" t="n">
        <v>46136</v>
      </c>
      <c r="D48" t="inlineStr">
        <is>
          <t>GÄVLEBORGS LÄN</t>
        </is>
      </c>
      <c r="E48" t="inlineStr">
        <is>
          <t>NORDANSTIG</t>
        </is>
      </c>
      <c r="G48" t="n">
        <v>7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Aspgelélav</t>
        </is>
      </c>
      <c r="S48">
        <f>HYPERLINK("https://klasma.github.io/Logging_2132/artfynd/A 28822-2024 artfynd.xlsx", "A 28822-2024")</f>
        <v/>
      </c>
      <c r="T48">
        <f>HYPERLINK("https://klasma.github.io/Logging_2132/kartor/A 28822-2024 karta.png", "A 28822-2024")</f>
        <v/>
      </c>
      <c r="V48">
        <f>HYPERLINK("https://klasma.github.io/Logging_2132/klagomål/A 28822-2024 FSC-klagomål.docx", "A 28822-2024")</f>
        <v/>
      </c>
      <c r="W48">
        <f>HYPERLINK("https://klasma.github.io/Logging_2132/klagomålsmail/A 28822-2024 FSC-klagomål mail.docx", "A 28822-2024")</f>
        <v/>
      </c>
      <c r="X48">
        <f>HYPERLINK("https://klasma.github.io/Logging_2132/tillsyn/A 28822-2024 tillsynsbegäran.docx", "A 28822-2024")</f>
        <v/>
      </c>
      <c r="Y48">
        <f>HYPERLINK("https://klasma.github.io/Logging_2132/tillsynsmail/A 28822-2024 tillsynsbegäran mail.docx", "A 28822-2024")</f>
        <v/>
      </c>
    </row>
    <row r="49" ht="15" customHeight="1">
      <c r="A49" t="inlineStr">
        <is>
          <t>A 55476-2025</t>
        </is>
      </c>
      <c r="B49" s="1" t="n">
        <v>45971.55649305556</v>
      </c>
      <c r="C49" s="1" t="n">
        <v>46136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6.9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HYPERLINK("https://klasma.github.io/Logging_2132/artfynd/A 55476-2025 artfynd.xlsx", "A 55476-2025")</f>
        <v/>
      </c>
      <c r="T49">
        <f>HYPERLINK("https://klasma.github.io/Logging_2132/kartor/A 55476-2025 karta.png", "A 55476-2025")</f>
        <v/>
      </c>
      <c r="V49">
        <f>HYPERLINK("https://klasma.github.io/Logging_2132/klagomål/A 55476-2025 FSC-klagomål.docx", "A 55476-2025")</f>
        <v/>
      </c>
      <c r="W49">
        <f>HYPERLINK("https://klasma.github.io/Logging_2132/klagomålsmail/A 55476-2025 FSC-klagomål mail.docx", "A 55476-2025")</f>
        <v/>
      </c>
      <c r="X49">
        <f>HYPERLINK("https://klasma.github.io/Logging_2132/tillsyn/A 55476-2025 tillsynsbegäran.docx", "A 55476-2025")</f>
        <v/>
      </c>
      <c r="Y49">
        <f>HYPERLINK("https://klasma.github.io/Logging_2132/tillsynsmail/A 55476-2025 tillsynsbegäran mail.docx", "A 55476-2025")</f>
        <v/>
      </c>
    </row>
    <row r="50" ht="15" customHeight="1">
      <c r="A50" t="inlineStr">
        <is>
          <t>A 2254-2025</t>
        </is>
      </c>
      <c r="B50" s="1" t="n">
        <v>45673.50789351852</v>
      </c>
      <c r="C50" s="1" t="n">
        <v>46136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1.3</v>
      </c>
      <c r="H50" t="n">
        <v>1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Bredgentiana</t>
        </is>
      </c>
      <c r="S50">
        <f>HYPERLINK("https://klasma.github.io/Logging_2132/artfynd/A 2254-2025 artfynd.xlsx", "A 2254-2025")</f>
        <v/>
      </c>
      <c r="T50">
        <f>HYPERLINK("https://klasma.github.io/Logging_2132/kartor/A 2254-2025 karta.png", "A 2254-2025")</f>
        <v/>
      </c>
      <c r="V50">
        <f>HYPERLINK("https://klasma.github.io/Logging_2132/klagomål/A 2254-2025 FSC-klagomål.docx", "A 2254-2025")</f>
        <v/>
      </c>
      <c r="W50">
        <f>HYPERLINK("https://klasma.github.io/Logging_2132/klagomålsmail/A 2254-2025 FSC-klagomål mail.docx", "A 2254-2025")</f>
        <v/>
      </c>
      <c r="X50">
        <f>HYPERLINK("https://klasma.github.io/Logging_2132/tillsyn/A 2254-2025 tillsynsbegäran.docx", "A 2254-2025")</f>
        <v/>
      </c>
      <c r="Y50">
        <f>HYPERLINK("https://klasma.github.io/Logging_2132/tillsynsmail/A 2254-2025 tillsynsbegäran mail.docx", "A 2254-2025")</f>
        <v/>
      </c>
    </row>
    <row r="51" ht="15" customHeight="1">
      <c r="A51" t="inlineStr">
        <is>
          <t>A 14392-2025</t>
        </is>
      </c>
      <c r="B51" s="1" t="n">
        <v>45741.43090277778</v>
      </c>
      <c r="C51" s="1" t="n">
        <v>46136</v>
      </c>
      <c r="D51" t="inlineStr">
        <is>
          <t>GÄVLEBORGS LÄN</t>
        </is>
      </c>
      <c r="E51" t="inlineStr">
        <is>
          <t>NORDANSTIG</t>
        </is>
      </c>
      <c r="G51" t="n">
        <v>28.6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Violettgrå tagellav</t>
        </is>
      </c>
      <c r="S51">
        <f>HYPERLINK("https://klasma.github.io/Logging_2132/artfynd/A 14392-2025 artfynd.xlsx", "A 14392-2025")</f>
        <v/>
      </c>
      <c r="T51">
        <f>HYPERLINK("https://klasma.github.io/Logging_2132/kartor/A 14392-2025 karta.png", "A 14392-2025")</f>
        <v/>
      </c>
      <c r="V51">
        <f>HYPERLINK("https://klasma.github.io/Logging_2132/klagomål/A 14392-2025 FSC-klagomål.docx", "A 14392-2025")</f>
        <v/>
      </c>
      <c r="W51">
        <f>HYPERLINK("https://klasma.github.io/Logging_2132/klagomålsmail/A 14392-2025 FSC-klagomål mail.docx", "A 14392-2025")</f>
        <v/>
      </c>
      <c r="X51">
        <f>HYPERLINK("https://klasma.github.io/Logging_2132/tillsyn/A 14392-2025 tillsynsbegäran.docx", "A 14392-2025")</f>
        <v/>
      </c>
      <c r="Y51">
        <f>HYPERLINK("https://klasma.github.io/Logging_2132/tillsynsmail/A 14392-2025 tillsynsbegäran mail.docx", "A 14392-2025")</f>
        <v/>
      </c>
    </row>
    <row r="52" ht="15" customHeight="1">
      <c r="A52" t="inlineStr">
        <is>
          <t>A 51227-2023</t>
        </is>
      </c>
      <c r="B52" s="1" t="n">
        <v>45219.46030092592</v>
      </c>
      <c r="C52" s="1" t="n">
        <v>46136</v>
      </c>
      <c r="D52" t="inlineStr">
        <is>
          <t>GÄVLEBORGS LÄN</t>
        </is>
      </c>
      <c r="E52" t="inlineStr">
        <is>
          <t>NORDANSTIG</t>
        </is>
      </c>
      <c r="G52" t="n">
        <v>10.2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HYPERLINK("https://klasma.github.io/Logging_2132/artfynd/A 51227-2023 artfynd.xlsx", "A 51227-2023")</f>
        <v/>
      </c>
      <c r="T52">
        <f>HYPERLINK("https://klasma.github.io/Logging_2132/kartor/A 51227-2023 karta.png", "A 51227-2023")</f>
        <v/>
      </c>
      <c r="V52">
        <f>HYPERLINK("https://klasma.github.io/Logging_2132/klagomål/A 51227-2023 FSC-klagomål.docx", "A 51227-2023")</f>
        <v/>
      </c>
      <c r="W52">
        <f>HYPERLINK("https://klasma.github.io/Logging_2132/klagomålsmail/A 51227-2023 FSC-klagomål mail.docx", "A 51227-2023")</f>
        <v/>
      </c>
      <c r="X52">
        <f>HYPERLINK("https://klasma.github.io/Logging_2132/tillsyn/A 51227-2023 tillsynsbegäran.docx", "A 51227-2023")</f>
        <v/>
      </c>
      <c r="Y52">
        <f>HYPERLINK("https://klasma.github.io/Logging_2132/tillsynsmail/A 51227-2023 tillsynsbegäran mail.docx", "A 51227-2023")</f>
        <v/>
      </c>
    </row>
    <row r="53" ht="15" customHeight="1">
      <c r="A53" t="inlineStr">
        <is>
          <t>A 29578-2023</t>
        </is>
      </c>
      <c r="B53" s="1" t="n">
        <v>45106</v>
      </c>
      <c r="C53" s="1" t="n">
        <v>46136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5.3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HYPERLINK("https://klasma.github.io/Logging_2132/artfynd/A 29578-2023 artfynd.xlsx", "A 29578-2023")</f>
        <v/>
      </c>
      <c r="T53">
        <f>HYPERLINK("https://klasma.github.io/Logging_2132/kartor/A 29578-2023 karta.png", "A 29578-2023")</f>
        <v/>
      </c>
      <c r="V53">
        <f>HYPERLINK("https://klasma.github.io/Logging_2132/klagomål/A 29578-2023 FSC-klagomål.docx", "A 29578-2023")</f>
        <v/>
      </c>
      <c r="W53">
        <f>HYPERLINK("https://klasma.github.io/Logging_2132/klagomålsmail/A 29578-2023 FSC-klagomål mail.docx", "A 29578-2023")</f>
        <v/>
      </c>
      <c r="X53">
        <f>HYPERLINK("https://klasma.github.io/Logging_2132/tillsyn/A 29578-2023 tillsynsbegäran.docx", "A 29578-2023")</f>
        <v/>
      </c>
      <c r="Y53">
        <f>HYPERLINK("https://klasma.github.io/Logging_2132/tillsynsmail/A 29578-2023 tillsynsbegäran mail.docx", "A 29578-2023")</f>
        <v/>
      </c>
    </row>
    <row r="54" ht="15" customHeight="1">
      <c r="A54" t="inlineStr">
        <is>
          <t>A 377-2024</t>
        </is>
      </c>
      <c r="B54" s="1" t="n">
        <v>45296.35038194444</v>
      </c>
      <c r="C54" s="1" t="n">
        <v>46136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2.2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HYPERLINK("https://klasma.github.io/Logging_2132/artfynd/A 377-2024 artfynd.xlsx", "A 377-2024")</f>
        <v/>
      </c>
      <c r="T54">
        <f>HYPERLINK("https://klasma.github.io/Logging_2132/kartor/A 377-2024 karta.png", "A 377-2024")</f>
        <v/>
      </c>
      <c r="V54">
        <f>HYPERLINK("https://klasma.github.io/Logging_2132/klagomål/A 377-2024 FSC-klagomål.docx", "A 377-2024")</f>
        <v/>
      </c>
      <c r="W54">
        <f>HYPERLINK("https://klasma.github.io/Logging_2132/klagomålsmail/A 377-2024 FSC-klagomål mail.docx", "A 377-2024")</f>
        <v/>
      </c>
      <c r="X54">
        <f>HYPERLINK("https://klasma.github.io/Logging_2132/tillsyn/A 377-2024 tillsynsbegäran.docx", "A 377-2024")</f>
        <v/>
      </c>
      <c r="Y54">
        <f>HYPERLINK("https://klasma.github.io/Logging_2132/tillsynsmail/A 377-2024 tillsynsbegäran mail.docx", "A 377-2024")</f>
        <v/>
      </c>
      <c r="Z54">
        <f>HYPERLINK("https://klasma.github.io/Logging_2132/fåglar/A 377-2024 prioriterade fågelarter.docx", "A 377-2024")</f>
        <v/>
      </c>
    </row>
    <row r="55" ht="15" customHeight="1">
      <c r="A55" t="inlineStr">
        <is>
          <t>A 21921-2025</t>
        </is>
      </c>
      <c r="B55" s="1" t="n">
        <v>45784.52148148148</v>
      </c>
      <c r="C55" s="1" t="n">
        <v>46136</v>
      </c>
      <c r="D55" t="inlineStr">
        <is>
          <t>GÄVLEBORGS LÄN</t>
        </is>
      </c>
      <c r="E55" t="inlineStr">
        <is>
          <t>NORDANSTIG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Stubbspretmossa</t>
        </is>
      </c>
      <c r="S55">
        <f>HYPERLINK("https://klasma.github.io/Logging_2132/artfynd/A 21921-2025 artfynd.xlsx", "A 21921-2025")</f>
        <v/>
      </c>
      <c r="T55">
        <f>HYPERLINK("https://klasma.github.io/Logging_2132/kartor/A 21921-2025 karta.png", "A 21921-2025")</f>
        <v/>
      </c>
      <c r="V55">
        <f>HYPERLINK("https://klasma.github.io/Logging_2132/klagomål/A 21921-2025 FSC-klagomål.docx", "A 21921-2025")</f>
        <v/>
      </c>
      <c r="W55">
        <f>HYPERLINK("https://klasma.github.io/Logging_2132/klagomålsmail/A 21921-2025 FSC-klagomål mail.docx", "A 21921-2025")</f>
        <v/>
      </c>
      <c r="X55">
        <f>HYPERLINK("https://klasma.github.io/Logging_2132/tillsyn/A 21921-2025 tillsynsbegäran.docx", "A 21921-2025")</f>
        <v/>
      </c>
      <c r="Y55">
        <f>HYPERLINK("https://klasma.github.io/Logging_2132/tillsynsmail/A 21921-2025 tillsynsbegäran mail.docx", "A 21921-2025")</f>
        <v/>
      </c>
    </row>
    <row r="56" ht="15" customHeight="1">
      <c r="A56" t="inlineStr">
        <is>
          <t>A 23333-2025</t>
        </is>
      </c>
      <c r="B56" s="1" t="n">
        <v>45791.65094907407</v>
      </c>
      <c r="C56" s="1" t="n">
        <v>46136</v>
      </c>
      <c r="D56" t="inlineStr">
        <is>
          <t>GÄVLEBORGS LÄN</t>
        </is>
      </c>
      <c r="E56" t="inlineStr">
        <is>
          <t>NORDANSTIG</t>
        </is>
      </c>
      <c r="F56" t="inlineStr">
        <is>
          <t>Holmen skog AB</t>
        </is>
      </c>
      <c r="G56" t="n">
        <v>19.1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HYPERLINK("https://klasma.github.io/Logging_2132/artfynd/A 23333-2025 artfynd.xlsx", "A 23333-2025")</f>
        <v/>
      </c>
      <c r="T56">
        <f>HYPERLINK("https://klasma.github.io/Logging_2132/kartor/A 23333-2025 karta.png", "A 23333-2025")</f>
        <v/>
      </c>
      <c r="V56">
        <f>HYPERLINK("https://klasma.github.io/Logging_2132/klagomål/A 23333-2025 FSC-klagomål.docx", "A 23333-2025")</f>
        <v/>
      </c>
      <c r="W56">
        <f>HYPERLINK("https://klasma.github.io/Logging_2132/klagomålsmail/A 23333-2025 FSC-klagomål mail.docx", "A 23333-2025")</f>
        <v/>
      </c>
      <c r="X56">
        <f>HYPERLINK("https://klasma.github.io/Logging_2132/tillsyn/A 23333-2025 tillsynsbegäran.docx", "A 23333-2025")</f>
        <v/>
      </c>
      <c r="Y56">
        <f>HYPERLINK("https://klasma.github.io/Logging_2132/tillsynsmail/A 23333-2025 tillsynsbegäran mail.docx", "A 23333-2025")</f>
        <v/>
      </c>
      <c r="Z56">
        <f>HYPERLINK("https://klasma.github.io/Logging_2132/fåglar/A 23333-2025 prioriterade fågelarter.docx", "A 23333-2025")</f>
        <v/>
      </c>
    </row>
    <row r="57" ht="15" customHeight="1">
      <c r="A57" t="inlineStr">
        <is>
          <t>A 59267-2021</t>
        </is>
      </c>
      <c r="B57" s="1" t="n">
        <v>44490</v>
      </c>
      <c r="C57" s="1" t="n">
        <v>46136</v>
      </c>
      <c r="D57" t="inlineStr">
        <is>
          <t>GÄVLEBORGS LÄN</t>
        </is>
      </c>
      <c r="E57" t="inlineStr">
        <is>
          <t>NORDANSTIG</t>
        </is>
      </c>
      <c r="G57" t="n">
        <v>10.3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41161-2022</t>
        </is>
      </c>
      <c r="B58" s="1" t="n">
        <v>44825</v>
      </c>
      <c r="C58" s="1" t="n">
        <v>46136</v>
      </c>
      <c r="D58" t="inlineStr">
        <is>
          <t>GÄVLEBORGS LÄN</t>
        </is>
      </c>
      <c r="E58" t="inlineStr">
        <is>
          <t>NORDANSTIG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21873-2022</t>
        </is>
      </c>
      <c r="B59" s="1" t="n">
        <v>44711.40037037037</v>
      </c>
      <c r="C59" s="1" t="n">
        <v>46136</v>
      </c>
      <c r="D59" t="inlineStr">
        <is>
          <t>GÄVLEBORGS LÄN</t>
        </is>
      </c>
      <c r="E59" t="inlineStr">
        <is>
          <t>NORDANSTIG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30857-2022</t>
        </is>
      </c>
      <c r="B60" s="1" t="n">
        <v>44767</v>
      </c>
      <c r="C60" s="1" t="n">
        <v>46136</v>
      </c>
      <c r="D60" t="inlineStr">
        <is>
          <t>GÄVLEBORGS LÄN</t>
        </is>
      </c>
      <c r="E60" t="inlineStr">
        <is>
          <t>NORDANSTIG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31432-2022</t>
        </is>
      </c>
      <c r="B61" s="1" t="n">
        <v>44774.92493055556</v>
      </c>
      <c r="C61" s="1" t="n">
        <v>46136</v>
      </c>
      <c r="D61" t="inlineStr">
        <is>
          <t>GÄVLEBORGS LÄN</t>
        </is>
      </c>
      <c r="E61" t="inlineStr">
        <is>
          <t>NORDANSTIG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53079-2022</t>
        </is>
      </c>
      <c r="B62" s="1" t="n">
        <v>44876</v>
      </c>
      <c r="C62" s="1" t="n">
        <v>46136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72815-2021</t>
        </is>
      </c>
      <c r="B63" s="1" t="n">
        <v>44547.40262731481</v>
      </c>
      <c r="C63" s="1" t="n">
        <v>46136</v>
      </c>
      <c r="D63" t="inlineStr">
        <is>
          <t>GÄVLEBORGS LÄN</t>
        </is>
      </c>
      <c r="E63" t="inlineStr">
        <is>
          <t>NORDANSTIG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40764-2021</t>
        </is>
      </c>
      <c r="B64" s="1" t="n">
        <v>44420.91974537037</v>
      </c>
      <c r="C64" s="1" t="n">
        <v>46136</v>
      </c>
      <c r="D64" t="inlineStr">
        <is>
          <t>GÄVLEBORGS LÄN</t>
        </is>
      </c>
      <c r="E64" t="inlineStr">
        <is>
          <t>NORDANSTIG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37965-2022</t>
        </is>
      </c>
      <c r="B65" s="1" t="n">
        <v>44811.50528935185</v>
      </c>
      <c r="C65" s="1" t="n">
        <v>46136</v>
      </c>
      <c r="D65" t="inlineStr">
        <is>
          <t>GÄVLEBORGS LÄN</t>
        </is>
      </c>
      <c r="E65" t="inlineStr">
        <is>
          <t>NORDANSTIG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24997-2022</t>
        </is>
      </c>
      <c r="B66" s="1" t="n">
        <v>44728.92792824074</v>
      </c>
      <c r="C66" s="1" t="n">
        <v>46136</v>
      </c>
      <c r="D66" t="inlineStr">
        <is>
          <t>GÄVLEBORGS LÄN</t>
        </is>
      </c>
      <c r="E66" t="inlineStr">
        <is>
          <t>NORDANSTIG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29828-2021</t>
        </is>
      </c>
      <c r="B67" s="1" t="n">
        <v>44362</v>
      </c>
      <c r="C67" s="1" t="n">
        <v>46136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48731-2021</t>
        </is>
      </c>
      <c r="B68" s="1" t="n">
        <v>44452.60431712963</v>
      </c>
      <c r="C68" s="1" t="n">
        <v>46136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28760-2021</t>
        </is>
      </c>
      <c r="B69" s="1" t="n">
        <v>44357.52563657407</v>
      </c>
      <c r="C69" s="1" t="n">
        <v>46136</v>
      </c>
      <c r="D69" t="inlineStr">
        <is>
          <t>GÄVLEBORGS LÄN</t>
        </is>
      </c>
      <c r="E69" t="inlineStr">
        <is>
          <t>NORDANSTIG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18516-2022</t>
        </is>
      </c>
      <c r="B70" s="1" t="n">
        <v>44686</v>
      </c>
      <c r="C70" s="1" t="n">
        <v>46136</v>
      </c>
      <c r="D70" t="inlineStr">
        <is>
          <t>GÄVLEBORGS LÄN</t>
        </is>
      </c>
      <c r="E70" t="inlineStr">
        <is>
          <t>NORDANSTIG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32342-2022</t>
        </is>
      </c>
      <c r="B71" s="1" t="n">
        <v>44781.83763888889</v>
      </c>
      <c r="C71" s="1" t="n">
        <v>46136</v>
      </c>
      <c r="D71" t="inlineStr">
        <is>
          <t>GÄVLEBORGS LÄN</t>
        </is>
      </c>
      <c r="E71" t="inlineStr">
        <is>
          <t>NORDANSTIG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46198-2021</t>
        </is>
      </c>
      <c r="B72" s="1" t="n">
        <v>44442</v>
      </c>
      <c r="C72" s="1" t="n">
        <v>46136</v>
      </c>
      <c r="D72" t="inlineStr">
        <is>
          <t>GÄVLEBORGS LÄN</t>
        </is>
      </c>
      <c r="E72" t="inlineStr">
        <is>
          <t>NORDANSTIG</t>
        </is>
      </c>
      <c r="F72" t="inlineStr">
        <is>
          <t>Holmen skog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  <c r="U72">
        <f>HYPERLINK("https://klasma.github.io/Logging_2132/knärot/A 46198-2021 karta knärot.png", "A 46198-2021")</f>
        <v/>
      </c>
      <c r="V72">
        <f>HYPERLINK("https://klasma.github.io/Logging_2132/klagomål/A 46198-2021 FSC-klagomål.docx", "A 46198-2021")</f>
        <v/>
      </c>
      <c r="W72">
        <f>HYPERLINK("https://klasma.github.io/Logging_2132/klagomålsmail/A 46198-2021 FSC-klagomål mail.docx", "A 46198-2021")</f>
        <v/>
      </c>
      <c r="X72">
        <f>HYPERLINK("https://klasma.github.io/Logging_2132/tillsyn/A 46198-2021 tillsynsbegäran.docx", "A 46198-2021")</f>
        <v/>
      </c>
      <c r="Y72">
        <f>HYPERLINK("https://klasma.github.io/Logging_2132/tillsynsmail/A 46198-2021 tillsynsbegäran mail.docx", "A 46198-2021")</f>
        <v/>
      </c>
    </row>
    <row r="73" ht="15" customHeight="1">
      <c r="A73" t="inlineStr">
        <is>
          <t>A 30817-2022</t>
        </is>
      </c>
      <c r="B73" s="1" t="n">
        <v>44765.52855324074</v>
      </c>
      <c r="C73" s="1" t="n">
        <v>46136</v>
      </c>
      <c r="D73" t="inlineStr">
        <is>
          <t>GÄVLEBORGS LÄN</t>
        </is>
      </c>
      <c r="E73" t="inlineStr">
        <is>
          <t>NORDANSTIG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7183-2022</t>
        </is>
      </c>
      <c r="B74" s="1" t="n">
        <v>44605</v>
      </c>
      <c r="C74" s="1" t="n">
        <v>46136</v>
      </c>
      <c r="D74" t="inlineStr">
        <is>
          <t>GÄVLEBORGS LÄN</t>
        </is>
      </c>
      <c r="E74" t="inlineStr">
        <is>
          <t>NORDANSTIG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32043-2021</t>
        </is>
      </c>
      <c r="B75" s="1" t="n">
        <v>44370.68188657407</v>
      </c>
      <c r="C75" s="1" t="n">
        <v>46136</v>
      </c>
      <c r="D75" t="inlineStr">
        <is>
          <t>GÄVLEBORGS LÄN</t>
        </is>
      </c>
      <c r="E75" t="inlineStr">
        <is>
          <t>NORDANSTIG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43441-2021</t>
        </is>
      </c>
      <c r="B76" s="1" t="n">
        <v>44432.66142361111</v>
      </c>
      <c r="C76" s="1" t="n">
        <v>46136</v>
      </c>
      <c r="D76" t="inlineStr">
        <is>
          <t>GÄVLEBORGS LÄN</t>
        </is>
      </c>
      <c r="E76" t="inlineStr">
        <is>
          <t>NORDANSTIG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67716-2021</t>
        </is>
      </c>
      <c r="B77" s="1" t="n">
        <v>44525</v>
      </c>
      <c r="C77" s="1" t="n">
        <v>46136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51721-2021</t>
        </is>
      </c>
      <c r="B78" s="1" t="n">
        <v>44462</v>
      </c>
      <c r="C78" s="1" t="n">
        <v>46136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45879-2021</t>
        </is>
      </c>
      <c r="B79" s="1" t="n">
        <v>44441.58484953704</v>
      </c>
      <c r="C79" s="1" t="n">
        <v>46136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13.6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22361-2022</t>
        </is>
      </c>
      <c r="B80" s="1" t="n">
        <v>44713</v>
      </c>
      <c r="C80" s="1" t="n">
        <v>46136</v>
      </c>
      <c r="D80" t="inlineStr">
        <is>
          <t>GÄVLEBORGS LÄN</t>
        </is>
      </c>
      <c r="E80" t="inlineStr">
        <is>
          <t>NORDANSTIG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30515-2021</t>
        </is>
      </c>
      <c r="B81" s="1" t="n">
        <v>44364</v>
      </c>
      <c r="C81" s="1" t="n">
        <v>46136</v>
      </c>
      <c r="D81" t="inlineStr">
        <is>
          <t>GÄVLEBORGS LÄN</t>
        </is>
      </c>
      <c r="E81" t="inlineStr">
        <is>
          <t>NORDANSTIG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39687-2021</t>
        </is>
      </c>
      <c r="B82" s="1" t="n">
        <v>44417.45212962963</v>
      </c>
      <c r="C82" s="1" t="n">
        <v>46136</v>
      </c>
      <c r="D82" t="inlineStr">
        <is>
          <t>GÄVLEBORGS LÄN</t>
        </is>
      </c>
      <c r="E82" t="inlineStr">
        <is>
          <t>NORDANSTIG</t>
        </is>
      </c>
      <c r="G82" t="n">
        <v>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50036-2021</t>
        </is>
      </c>
      <c r="B83" s="1" t="n">
        <v>44456.49701388889</v>
      </c>
      <c r="C83" s="1" t="n">
        <v>46136</v>
      </c>
      <c r="D83" t="inlineStr">
        <is>
          <t>GÄVLEBORGS LÄN</t>
        </is>
      </c>
      <c r="E83" t="inlineStr">
        <is>
          <t>NORDANSTIG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48080-2022</t>
        </is>
      </c>
      <c r="B84" s="1" t="n">
        <v>44855</v>
      </c>
      <c r="C84" s="1" t="n">
        <v>46136</v>
      </c>
      <c r="D84" t="inlineStr">
        <is>
          <t>GÄVLEBORGS LÄN</t>
        </is>
      </c>
      <c r="E84" t="inlineStr">
        <is>
          <t>NORDANSTIG</t>
        </is>
      </c>
      <c r="F84" t="inlineStr">
        <is>
          <t>SCA</t>
        </is>
      </c>
      <c r="G84" t="n">
        <v>12.1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55314-2021</t>
        </is>
      </c>
      <c r="B85" s="1" t="n">
        <v>44475</v>
      </c>
      <c r="C85" s="1" t="n">
        <v>46136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44513-2021</t>
        </is>
      </c>
      <c r="B86" s="1" t="n">
        <v>44435.61856481482</v>
      </c>
      <c r="C86" s="1" t="n">
        <v>46136</v>
      </c>
      <c r="D86" t="inlineStr">
        <is>
          <t>GÄVLEBORGS LÄN</t>
        </is>
      </c>
      <c r="E86" t="inlineStr">
        <is>
          <t>NORDANSTIG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40342-2022</t>
        </is>
      </c>
      <c r="B87" s="1" t="n">
        <v>44823.3633912037</v>
      </c>
      <c r="C87" s="1" t="n">
        <v>46136</v>
      </c>
      <c r="D87" t="inlineStr">
        <is>
          <t>GÄVLEBORGS LÄN</t>
        </is>
      </c>
      <c r="E87" t="inlineStr">
        <is>
          <t>NORDANSTIG</t>
        </is>
      </c>
      <c r="F87" t="inlineStr">
        <is>
          <t>Holmen skog AB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53673-2022</t>
        </is>
      </c>
      <c r="B88" s="1" t="n">
        <v>44879</v>
      </c>
      <c r="C88" s="1" t="n">
        <v>46136</v>
      </c>
      <c r="D88" t="inlineStr">
        <is>
          <t>GÄVLEBORGS LÄN</t>
        </is>
      </c>
      <c r="E88" t="inlineStr">
        <is>
          <t>NORDANSTIG</t>
        </is>
      </c>
      <c r="F88" t="inlineStr">
        <is>
          <t>SCA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42629-2022</t>
        </is>
      </c>
      <c r="B89" s="1" t="n">
        <v>44831.92733796296</v>
      </c>
      <c r="C89" s="1" t="n">
        <v>46136</v>
      </c>
      <c r="D89" t="inlineStr">
        <is>
          <t>GÄVLEBORGS LÄN</t>
        </is>
      </c>
      <c r="E89" t="inlineStr">
        <is>
          <t>NORDANSTIG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23881-2022</t>
        </is>
      </c>
      <c r="B90" s="1" t="n">
        <v>44722.5656712963</v>
      </c>
      <c r="C90" s="1" t="n">
        <v>46136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42404-2022</t>
        </is>
      </c>
      <c r="B91" s="1" t="n">
        <v>44831.43390046297</v>
      </c>
      <c r="C91" s="1" t="n">
        <v>46136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38800-2022</t>
        </is>
      </c>
      <c r="B92" s="1" t="n">
        <v>44816.44962962963</v>
      </c>
      <c r="C92" s="1" t="n">
        <v>46136</v>
      </c>
      <c r="D92" t="inlineStr">
        <is>
          <t>GÄVLEBORGS LÄN</t>
        </is>
      </c>
      <c r="E92" t="inlineStr">
        <is>
          <t>NORDANSTIG</t>
        </is>
      </c>
      <c r="F92" t="inlineStr">
        <is>
          <t>Holmen skog AB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19496-2021</t>
        </is>
      </c>
      <c r="B93" s="1" t="n">
        <v>44312</v>
      </c>
      <c r="C93" s="1" t="n">
        <v>46136</v>
      </c>
      <c r="D93" t="inlineStr">
        <is>
          <t>GÄVLEBORGS LÄN</t>
        </is>
      </c>
      <c r="E93" t="inlineStr">
        <is>
          <t>NORDANSTIG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27276-2022</t>
        </is>
      </c>
      <c r="B94" s="1" t="n">
        <v>44741.92570601852</v>
      </c>
      <c r="C94" s="1" t="n">
        <v>46136</v>
      </c>
      <c r="D94" t="inlineStr">
        <is>
          <t>GÄVLEBORGS LÄN</t>
        </is>
      </c>
      <c r="E94" t="inlineStr">
        <is>
          <t>NORDANSTIG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38348-2022</t>
        </is>
      </c>
      <c r="B95" s="1" t="n">
        <v>44812.63510416666</v>
      </c>
      <c r="C95" s="1" t="n">
        <v>46136</v>
      </c>
      <c r="D95" t="inlineStr">
        <is>
          <t>GÄVLEBORGS LÄN</t>
        </is>
      </c>
      <c r="E95" t="inlineStr">
        <is>
          <t>NORDANSTIG</t>
        </is>
      </c>
      <c r="F95" t="inlineStr">
        <is>
          <t>Holmen skog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34286-2021</t>
        </is>
      </c>
      <c r="B96" s="1" t="n">
        <v>44379</v>
      </c>
      <c r="C96" s="1" t="n">
        <v>46136</v>
      </c>
      <c r="D96" t="inlineStr">
        <is>
          <t>GÄVLEBORGS LÄN</t>
        </is>
      </c>
      <c r="E96" t="inlineStr">
        <is>
          <t>NORDANSTIG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72594-2021</t>
        </is>
      </c>
      <c r="B97" s="1" t="n">
        <v>44546.48967592593</v>
      </c>
      <c r="C97" s="1" t="n">
        <v>46136</v>
      </c>
      <c r="D97" t="inlineStr">
        <is>
          <t>GÄVLEBORGS LÄN</t>
        </is>
      </c>
      <c r="E97" t="inlineStr">
        <is>
          <t>NORDANSTIG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50811-2021</t>
        </is>
      </c>
      <c r="B98" s="1" t="n">
        <v>44460</v>
      </c>
      <c r="C98" s="1" t="n">
        <v>46136</v>
      </c>
      <c r="D98" t="inlineStr">
        <is>
          <t>GÄVLEBORGS LÄN</t>
        </is>
      </c>
      <c r="E98" t="inlineStr">
        <is>
          <t>NORDANSTIG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31923-2021</t>
        </is>
      </c>
      <c r="B99" s="1" t="n">
        <v>44370.48982638889</v>
      </c>
      <c r="C99" s="1" t="n">
        <v>46136</v>
      </c>
      <c r="D99" t="inlineStr">
        <is>
          <t>GÄVLEBORGS LÄN</t>
        </is>
      </c>
      <c r="E99" t="inlineStr">
        <is>
          <t>NORDANSTIG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54496-2021</t>
        </is>
      </c>
      <c r="B100" s="1" t="n">
        <v>44473.50452546297</v>
      </c>
      <c r="C100" s="1" t="n">
        <v>46136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62111-2021</t>
        </is>
      </c>
      <c r="B101" s="1" t="n">
        <v>44502.64059027778</v>
      </c>
      <c r="C101" s="1" t="n">
        <v>46136</v>
      </c>
      <c r="D101" t="inlineStr">
        <is>
          <t>GÄVLEBORGS LÄN</t>
        </is>
      </c>
      <c r="E101" t="inlineStr">
        <is>
          <t>NORDANSTIG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54570-2021</t>
        </is>
      </c>
      <c r="B102" s="1" t="n">
        <v>44473.57443287037</v>
      </c>
      <c r="C102" s="1" t="n">
        <v>46136</v>
      </c>
      <c r="D102" t="inlineStr">
        <is>
          <t>GÄVLEBORGS LÄN</t>
        </is>
      </c>
      <c r="E102" t="inlineStr">
        <is>
          <t>NORDANSTIG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14246-2022</t>
        </is>
      </c>
      <c r="B103" s="1" t="n">
        <v>44651.68858796296</v>
      </c>
      <c r="C103" s="1" t="n">
        <v>46136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46592-2022</t>
        </is>
      </c>
      <c r="B104" s="1" t="n">
        <v>44848.71773148148</v>
      </c>
      <c r="C104" s="1" t="n">
        <v>46136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72080-2021</t>
        </is>
      </c>
      <c r="B105" s="1" t="n">
        <v>44544.51302083334</v>
      </c>
      <c r="C105" s="1" t="n">
        <v>46136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51223-2021</t>
        </is>
      </c>
      <c r="B106" s="1" t="n">
        <v>44461</v>
      </c>
      <c r="C106" s="1" t="n">
        <v>46136</v>
      </c>
      <c r="D106" t="inlineStr">
        <is>
          <t>GÄVLEBORGS LÄN</t>
        </is>
      </c>
      <c r="E106" t="inlineStr">
        <is>
          <t>NORDANSTIG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63656-2021</t>
        </is>
      </c>
      <c r="B107" s="1" t="n">
        <v>44509.35530092593</v>
      </c>
      <c r="C107" s="1" t="n">
        <v>46136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26547-2022</t>
        </is>
      </c>
      <c r="B108" s="1" t="n">
        <v>44739</v>
      </c>
      <c r="C108" s="1" t="n">
        <v>46136</v>
      </c>
      <c r="D108" t="inlineStr">
        <is>
          <t>GÄVLEBORGS LÄN</t>
        </is>
      </c>
      <c r="E108" t="inlineStr">
        <is>
          <t>NORDANSTIG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19233-2022</t>
        </is>
      </c>
      <c r="B109" s="1" t="n">
        <v>44692</v>
      </c>
      <c r="C109" s="1" t="n">
        <v>46136</v>
      </c>
      <c r="D109" t="inlineStr">
        <is>
          <t>GÄVLEBORGS LÄN</t>
        </is>
      </c>
      <c r="E109" t="inlineStr">
        <is>
          <t>NORDANSTIG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19182-2022</t>
        </is>
      </c>
      <c r="B110" s="1" t="n">
        <v>44691.71042824074</v>
      </c>
      <c r="C110" s="1" t="n">
        <v>46136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35129-2022</t>
        </is>
      </c>
      <c r="B111" s="1" t="n">
        <v>44797.47615740741</v>
      </c>
      <c r="C111" s="1" t="n">
        <v>46136</v>
      </c>
      <c r="D111" t="inlineStr">
        <is>
          <t>GÄVLEBORGS LÄN</t>
        </is>
      </c>
      <c r="E111" t="inlineStr">
        <is>
          <t>NORDANSTIG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39052-2021</t>
        </is>
      </c>
      <c r="B112" s="1" t="n">
        <v>44412.52725694444</v>
      </c>
      <c r="C112" s="1" t="n">
        <v>46136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45272-2021</t>
        </is>
      </c>
      <c r="B113" s="1" t="n">
        <v>44439.64534722222</v>
      </c>
      <c r="C113" s="1" t="n">
        <v>46136</v>
      </c>
      <c r="D113" t="inlineStr">
        <is>
          <t>GÄVLEBORGS LÄN</t>
        </is>
      </c>
      <c r="E113" t="inlineStr">
        <is>
          <t>NORDANSTIG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71973-2021</t>
        </is>
      </c>
      <c r="B114" s="1" t="n">
        <v>44544</v>
      </c>
      <c r="C114" s="1" t="n">
        <v>46136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21869-2022</t>
        </is>
      </c>
      <c r="B115" s="1" t="n">
        <v>44711</v>
      </c>
      <c r="C115" s="1" t="n">
        <v>46136</v>
      </c>
      <c r="D115" t="inlineStr">
        <is>
          <t>GÄVLEBORGS LÄN</t>
        </is>
      </c>
      <c r="E115" t="inlineStr">
        <is>
          <t>NORDANSTIG</t>
        </is>
      </c>
      <c r="F115" t="inlineStr">
        <is>
          <t>Holmen skog AB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5294-2022</t>
        </is>
      </c>
      <c r="B116" s="1" t="n">
        <v>44594.62877314815</v>
      </c>
      <c r="C116" s="1" t="n">
        <v>46136</v>
      </c>
      <c r="D116" t="inlineStr">
        <is>
          <t>GÄVLEBORGS LÄN</t>
        </is>
      </c>
      <c r="E116" t="inlineStr">
        <is>
          <t>NORDANSTIG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47589-2022</t>
        </is>
      </c>
      <c r="B117" s="1" t="n">
        <v>44853.97255787037</v>
      </c>
      <c r="C117" s="1" t="n">
        <v>46136</v>
      </c>
      <c r="D117" t="inlineStr">
        <is>
          <t>GÄVLEBORGS LÄN</t>
        </is>
      </c>
      <c r="E117" t="inlineStr">
        <is>
          <t>NORDANSTIG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33377-2022</t>
        </is>
      </c>
      <c r="B118" s="1" t="n">
        <v>44788.54135416666</v>
      </c>
      <c r="C118" s="1" t="n">
        <v>46136</v>
      </c>
      <c r="D118" t="inlineStr">
        <is>
          <t>GÄVLEBORGS LÄN</t>
        </is>
      </c>
      <c r="E118" t="inlineStr">
        <is>
          <t>NORDANSTIG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72435-2021</t>
        </is>
      </c>
      <c r="B119" s="1" t="n">
        <v>44545</v>
      </c>
      <c r="C119" s="1" t="n">
        <v>46136</v>
      </c>
      <c r="D119" t="inlineStr">
        <is>
          <t>GÄVLEBORGS LÄN</t>
        </is>
      </c>
      <c r="E119" t="inlineStr">
        <is>
          <t>NORDANSTIG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35859-2021</t>
        </is>
      </c>
      <c r="B120" s="1" t="n">
        <v>44386</v>
      </c>
      <c r="C120" s="1" t="n">
        <v>46136</v>
      </c>
      <c r="D120" t="inlineStr">
        <is>
          <t>GÄVLEBORGS LÄN</t>
        </is>
      </c>
      <c r="E120" t="inlineStr">
        <is>
          <t>NORDANSTIG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11706-2022</t>
        </is>
      </c>
      <c r="B121" s="1" t="n">
        <v>44634.41484953704</v>
      </c>
      <c r="C121" s="1" t="n">
        <v>46136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25460-2022</t>
        </is>
      </c>
      <c r="B122" s="1" t="n">
        <v>44732.51826388889</v>
      </c>
      <c r="C122" s="1" t="n">
        <v>46136</v>
      </c>
      <c r="D122" t="inlineStr">
        <is>
          <t>GÄVLEBORGS LÄN</t>
        </is>
      </c>
      <c r="E122" t="inlineStr">
        <is>
          <t>NORDANSTIG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48179-2022</t>
        </is>
      </c>
      <c r="B123" s="1" t="n">
        <v>44858.39075231482</v>
      </c>
      <c r="C123" s="1" t="n">
        <v>46136</v>
      </c>
      <c r="D123" t="inlineStr">
        <is>
          <t>GÄVLEBORGS LÄN</t>
        </is>
      </c>
      <c r="E123" t="inlineStr">
        <is>
          <t>NORDANSTIG</t>
        </is>
      </c>
      <c r="F123" t="inlineStr">
        <is>
          <t>Holmen skog AB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59270-2021</t>
        </is>
      </c>
      <c r="B124" s="1" t="n">
        <v>44490</v>
      </c>
      <c r="C124" s="1" t="n">
        <v>46136</v>
      </c>
      <c r="D124" t="inlineStr">
        <is>
          <t>GÄVLEBORGS LÄN</t>
        </is>
      </c>
      <c r="E124" t="inlineStr">
        <is>
          <t>NORDANSTIG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67931-2021</t>
        </is>
      </c>
      <c r="B125" s="1" t="n">
        <v>44525.61733796296</v>
      </c>
      <c r="C125" s="1" t="n">
        <v>46136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28878-2021</t>
        </is>
      </c>
      <c r="B126" s="1" t="n">
        <v>44357</v>
      </c>
      <c r="C126" s="1" t="n">
        <v>46136</v>
      </c>
      <c r="D126" t="inlineStr">
        <is>
          <t>GÄVLEBORGS LÄN</t>
        </is>
      </c>
      <c r="E126" t="inlineStr">
        <is>
          <t>NORDANSTIG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42129-2022</t>
        </is>
      </c>
      <c r="B127" s="1" t="n">
        <v>44830.575</v>
      </c>
      <c r="C127" s="1" t="n">
        <v>46136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9899-2022</t>
        </is>
      </c>
      <c r="B128" s="1" t="n">
        <v>44620.64556712963</v>
      </c>
      <c r="C128" s="1" t="n">
        <v>46136</v>
      </c>
      <c r="D128" t="inlineStr">
        <is>
          <t>GÄVLEBORGS LÄN</t>
        </is>
      </c>
      <c r="E128" t="inlineStr">
        <is>
          <t>NORDANSTIG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19374-2022</t>
        </is>
      </c>
      <c r="B129" s="1" t="n">
        <v>44692.75837962963</v>
      </c>
      <c r="C129" s="1" t="n">
        <v>46136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27695-2022</t>
        </is>
      </c>
      <c r="B130" s="1" t="n">
        <v>44743.45225694445</v>
      </c>
      <c r="C130" s="1" t="n">
        <v>46136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44765-2022</t>
        </is>
      </c>
      <c r="B131" s="1" t="n">
        <v>44840.95450231482</v>
      </c>
      <c r="C131" s="1" t="n">
        <v>46136</v>
      </c>
      <c r="D131" t="inlineStr">
        <is>
          <t>GÄVLEBORGS LÄN</t>
        </is>
      </c>
      <c r="E131" t="inlineStr">
        <is>
          <t>NORDANSTIG</t>
        </is>
      </c>
      <c r="F131" t="inlineStr">
        <is>
          <t>SCA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21871-2022</t>
        </is>
      </c>
      <c r="B132" s="1" t="n">
        <v>44711.39554398148</v>
      </c>
      <c r="C132" s="1" t="n">
        <v>46136</v>
      </c>
      <c r="D132" t="inlineStr">
        <is>
          <t>GÄVLEBORGS LÄN</t>
        </is>
      </c>
      <c r="E132" t="inlineStr">
        <is>
          <t>NORDANSTIG</t>
        </is>
      </c>
      <c r="G132" t="n">
        <v>8.800000000000001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30779-2022</t>
        </is>
      </c>
      <c r="B133" s="1" t="n">
        <v>44764.59569444445</v>
      </c>
      <c r="C133" s="1" t="n">
        <v>46136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52990-2021</t>
        </is>
      </c>
      <c r="B134" s="1" t="n">
        <v>44467.63489583333</v>
      </c>
      <c r="C134" s="1" t="n">
        <v>46136</v>
      </c>
      <c r="D134" t="inlineStr">
        <is>
          <t>GÄVLEBORGS LÄN</t>
        </is>
      </c>
      <c r="E134" t="inlineStr">
        <is>
          <t>NORDANSTIG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73725-2021</t>
        </is>
      </c>
      <c r="B135" s="1" t="n">
        <v>44552.54694444445</v>
      </c>
      <c r="C135" s="1" t="n">
        <v>46136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25001-2022</t>
        </is>
      </c>
      <c r="B136" s="1" t="n">
        <v>44728</v>
      </c>
      <c r="C136" s="1" t="n">
        <v>46136</v>
      </c>
      <c r="D136" t="inlineStr">
        <is>
          <t>GÄVLEBORGS LÄN</t>
        </is>
      </c>
      <c r="E136" t="inlineStr">
        <is>
          <t>NORDANSTIG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59583-2021</t>
        </is>
      </c>
      <c r="B137" s="1" t="n">
        <v>44491.63751157407</v>
      </c>
      <c r="C137" s="1" t="n">
        <v>46136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42469-2022</t>
        </is>
      </c>
      <c r="B138" s="1" t="n">
        <v>44831.5209837963</v>
      </c>
      <c r="C138" s="1" t="n">
        <v>46136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13.2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25200-2022</t>
        </is>
      </c>
      <c r="B139" s="1" t="n">
        <v>44729.65466435185</v>
      </c>
      <c r="C139" s="1" t="n">
        <v>46136</v>
      </c>
      <c r="D139" t="inlineStr">
        <is>
          <t>GÄVLEBORGS LÄN</t>
        </is>
      </c>
      <c r="E139" t="inlineStr">
        <is>
          <t>NORDANSTIG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23066-2021</t>
        </is>
      </c>
      <c r="B140" s="1" t="n">
        <v>44329</v>
      </c>
      <c r="C140" s="1" t="n">
        <v>46136</v>
      </c>
      <c r="D140" t="inlineStr">
        <is>
          <t>GÄVLEBORGS LÄN</t>
        </is>
      </c>
      <c r="E140" t="inlineStr">
        <is>
          <t>NORDANSTIG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24996-2022</t>
        </is>
      </c>
      <c r="B141" s="1" t="n">
        <v>44728.92789351852</v>
      </c>
      <c r="C141" s="1" t="n">
        <v>46136</v>
      </c>
      <c r="D141" t="inlineStr">
        <is>
          <t>GÄVLEBORGS LÄN</t>
        </is>
      </c>
      <c r="E141" t="inlineStr">
        <is>
          <t>NORDANSTIG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26869-2021</t>
        </is>
      </c>
      <c r="B142" s="1" t="n">
        <v>44349</v>
      </c>
      <c r="C142" s="1" t="n">
        <v>46136</v>
      </c>
      <c r="D142" t="inlineStr">
        <is>
          <t>GÄVLEBORGS LÄN</t>
        </is>
      </c>
      <c r="E142" t="inlineStr">
        <is>
          <t>NORDANSTIG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960-2022</t>
        </is>
      </c>
      <c r="B143" s="1" t="n">
        <v>44571.56971064815</v>
      </c>
      <c r="C143" s="1" t="n">
        <v>46136</v>
      </c>
      <c r="D143" t="inlineStr">
        <is>
          <t>GÄVLEBORGS LÄN</t>
        </is>
      </c>
      <c r="E143" t="inlineStr">
        <is>
          <t>NORDANSTIG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62065-2021</t>
        </is>
      </c>
      <c r="B144" s="1" t="n">
        <v>44502.59028935185</v>
      </c>
      <c r="C144" s="1" t="n">
        <v>46136</v>
      </c>
      <c r="D144" t="inlineStr">
        <is>
          <t>GÄVLEBORGS LÄN</t>
        </is>
      </c>
      <c r="E144" t="inlineStr">
        <is>
          <t>NORDANSTIG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34542-2021</t>
        </is>
      </c>
      <c r="B145" s="1" t="n">
        <v>44382.43252314815</v>
      </c>
      <c r="C145" s="1" t="n">
        <v>46136</v>
      </c>
      <c r="D145" t="inlineStr">
        <is>
          <t>GÄVLEBORGS LÄN</t>
        </is>
      </c>
      <c r="E145" t="inlineStr">
        <is>
          <t>NORDANSTIG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40110-2022</t>
        </is>
      </c>
      <c r="B146" s="1" t="n">
        <v>44820.49546296296</v>
      </c>
      <c r="C146" s="1" t="n">
        <v>46136</v>
      </c>
      <c r="D146" t="inlineStr">
        <is>
          <t>GÄVLEBORGS LÄN</t>
        </is>
      </c>
      <c r="E146" t="inlineStr">
        <is>
          <t>NORDANSTIG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3632-2022</t>
        </is>
      </c>
      <c r="B147" s="1" t="n">
        <v>44586</v>
      </c>
      <c r="C147" s="1" t="n">
        <v>46136</v>
      </c>
      <c r="D147" t="inlineStr">
        <is>
          <t>GÄVLEBORGS LÄN</t>
        </is>
      </c>
      <c r="E147" t="inlineStr">
        <is>
          <t>NORDANSTIG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51543-2021</t>
        </is>
      </c>
      <c r="B148" s="1" t="n">
        <v>44461</v>
      </c>
      <c r="C148" s="1" t="n">
        <v>46136</v>
      </c>
      <c r="D148" t="inlineStr">
        <is>
          <t>GÄVLEBORGS LÄN</t>
        </is>
      </c>
      <c r="E148" t="inlineStr">
        <is>
          <t>NORDANSTIG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25002-2022</t>
        </is>
      </c>
      <c r="B149" s="1" t="n">
        <v>44728</v>
      </c>
      <c r="C149" s="1" t="n">
        <v>46136</v>
      </c>
      <c r="D149" t="inlineStr">
        <is>
          <t>GÄVLEBORGS LÄN</t>
        </is>
      </c>
      <c r="E149" t="inlineStr">
        <is>
          <t>NORDANSTIG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33109-2022</t>
        </is>
      </c>
      <c r="B150" s="1" t="n">
        <v>44785.50188657407</v>
      </c>
      <c r="C150" s="1" t="n">
        <v>46136</v>
      </c>
      <c r="D150" t="inlineStr">
        <is>
          <t>GÄVLEBORGS LÄN</t>
        </is>
      </c>
      <c r="E150" t="inlineStr">
        <is>
          <t>NORDANSTIG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18306-2022</t>
        </is>
      </c>
      <c r="B151" s="1" t="n">
        <v>44685</v>
      </c>
      <c r="C151" s="1" t="n">
        <v>46136</v>
      </c>
      <c r="D151" t="inlineStr">
        <is>
          <t>GÄVLEBORGS LÄN</t>
        </is>
      </c>
      <c r="E151" t="inlineStr">
        <is>
          <t>NORDANSTIG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69127-2021</t>
        </is>
      </c>
      <c r="B152" s="1" t="n">
        <v>44530.92103009259</v>
      </c>
      <c r="C152" s="1" t="n">
        <v>46136</v>
      </c>
      <c r="D152" t="inlineStr">
        <is>
          <t>GÄVLEBORGS LÄN</t>
        </is>
      </c>
      <c r="E152" t="inlineStr">
        <is>
          <t>NORDANSTIG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62450-2021</t>
        </is>
      </c>
      <c r="B153" s="1" t="n">
        <v>44503</v>
      </c>
      <c r="C153" s="1" t="n">
        <v>46136</v>
      </c>
      <c r="D153" t="inlineStr">
        <is>
          <t>GÄVLEBORGS LÄN</t>
        </is>
      </c>
      <c r="E153" t="inlineStr">
        <is>
          <t>NORDANSTIG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22027-2022</t>
        </is>
      </c>
      <c r="B154" s="1" t="n">
        <v>44711.6125462963</v>
      </c>
      <c r="C154" s="1" t="n">
        <v>46136</v>
      </c>
      <c r="D154" t="inlineStr">
        <is>
          <t>GÄVLEBORGS LÄN</t>
        </is>
      </c>
      <c r="E154" t="inlineStr">
        <is>
          <t>NORDANSTIG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575-2022</t>
        </is>
      </c>
      <c r="B155" s="1" t="n">
        <v>44566.92070601852</v>
      </c>
      <c r="C155" s="1" t="n">
        <v>46136</v>
      </c>
      <c r="D155" t="inlineStr">
        <is>
          <t>GÄVLEBORGS LÄN</t>
        </is>
      </c>
      <c r="E155" t="inlineStr">
        <is>
          <t>NORDANSTIG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31930-2021</t>
        </is>
      </c>
      <c r="B156" s="1" t="n">
        <v>44370.49515046296</v>
      </c>
      <c r="C156" s="1" t="n">
        <v>46136</v>
      </c>
      <c r="D156" t="inlineStr">
        <is>
          <t>GÄVLEBORGS LÄN</t>
        </is>
      </c>
      <c r="E156" t="inlineStr">
        <is>
          <t>NORDANSTIG</t>
        </is>
      </c>
      <c r="G156" t="n">
        <v>9.4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18167-2022</t>
        </is>
      </c>
      <c r="B157" s="1" t="n">
        <v>44684</v>
      </c>
      <c r="C157" s="1" t="n">
        <v>46136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19279-2022</t>
        </is>
      </c>
      <c r="B158" s="1" t="n">
        <v>44692</v>
      </c>
      <c r="C158" s="1" t="n">
        <v>46136</v>
      </c>
      <c r="D158" t="inlineStr">
        <is>
          <t>GÄVLEBORGS LÄN</t>
        </is>
      </c>
      <c r="E158" t="inlineStr">
        <is>
          <t>NORDANSTIG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26113-2022</t>
        </is>
      </c>
      <c r="B159" s="1" t="n">
        <v>44734</v>
      </c>
      <c r="C159" s="1" t="n">
        <v>46136</v>
      </c>
      <c r="D159" t="inlineStr">
        <is>
          <t>GÄVLEBORGS LÄN</t>
        </is>
      </c>
      <c r="E159" t="inlineStr">
        <is>
          <t>NORDANSTIG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25005-2022</t>
        </is>
      </c>
      <c r="B160" s="1" t="n">
        <v>44728.92844907408</v>
      </c>
      <c r="C160" s="1" t="n">
        <v>46136</v>
      </c>
      <c r="D160" t="inlineStr">
        <is>
          <t>GÄVLEBORGS LÄN</t>
        </is>
      </c>
      <c r="E160" t="inlineStr">
        <is>
          <t>NORDANSTIG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21189-2022</t>
        </is>
      </c>
      <c r="B161" s="1" t="n">
        <v>44704.92618055556</v>
      </c>
      <c r="C161" s="1" t="n">
        <v>46136</v>
      </c>
      <c r="D161" t="inlineStr">
        <is>
          <t>GÄVLEBORGS LÄN</t>
        </is>
      </c>
      <c r="E161" t="inlineStr">
        <is>
          <t>NORDANSTIG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50326-2023</t>
        </is>
      </c>
      <c r="B162" s="1" t="n">
        <v>45216.55601851852</v>
      </c>
      <c r="C162" s="1" t="n">
        <v>46136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8805-2025</t>
        </is>
      </c>
      <c r="B163" s="1" t="n">
        <v>45712.66641203704</v>
      </c>
      <c r="C163" s="1" t="n">
        <v>46136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33974-2022</t>
        </is>
      </c>
      <c r="B164" s="1" t="n">
        <v>44790</v>
      </c>
      <c r="C164" s="1" t="n">
        <v>46136</v>
      </c>
      <c r="D164" t="inlineStr">
        <is>
          <t>GÄVLEBORGS LÄN</t>
        </is>
      </c>
      <c r="E164" t="inlineStr">
        <is>
          <t>NORDANSTIG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4255-2024</t>
        </is>
      </c>
      <c r="B165" s="1" t="n">
        <v>45324.48376157408</v>
      </c>
      <c r="C165" s="1" t="n">
        <v>46136</v>
      </c>
      <c r="D165" t="inlineStr">
        <is>
          <t>GÄVLEBORGS LÄN</t>
        </is>
      </c>
      <c r="E165" t="inlineStr">
        <is>
          <t>NORDANSTIG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10137-2024</t>
        </is>
      </c>
      <c r="B166" s="1" t="n">
        <v>45364.60462962963</v>
      </c>
      <c r="C166" s="1" t="n">
        <v>46136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43400-2023</t>
        </is>
      </c>
      <c r="B167" s="1" t="n">
        <v>45183.92178240741</v>
      </c>
      <c r="C167" s="1" t="n">
        <v>46136</v>
      </c>
      <c r="D167" t="inlineStr">
        <is>
          <t>GÄVLEBORGS LÄN</t>
        </is>
      </c>
      <c r="E167" t="inlineStr">
        <is>
          <t>NORDANSTIG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33559-2022</t>
        </is>
      </c>
      <c r="B168" s="1" t="n">
        <v>44789</v>
      </c>
      <c r="C168" s="1" t="n">
        <v>46136</v>
      </c>
      <c r="D168" t="inlineStr">
        <is>
          <t>GÄVLEBORGS LÄN</t>
        </is>
      </c>
      <c r="E168" t="inlineStr">
        <is>
          <t>NORDANSTIG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14415-2025</t>
        </is>
      </c>
      <c r="B169" s="1" t="n">
        <v>45741.47692129629</v>
      </c>
      <c r="C169" s="1" t="n">
        <v>46136</v>
      </c>
      <c r="D169" t="inlineStr">
        <is>
          <t>GÄVLEBORGS LÄN</t>
        </is>
      </c>
      <c r="E169" t="inlineStr">
        <is>
          <t>NORDANSTIG</t>
        </is>
      </c>
      <c r="G169" t="n">
        <v>16.7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30816-2022</t>
        </is>
      </c>
      <c r="B170" s="1" t="n">
        <v>44765.52364583333</v>
      </c>
      <c r="C170" s="1" t="n">
        <v>46136</v>
      </c>
      <c r="D170" t="inlineStr">
        <is>
          <t>GÄVLEBORGS LÄN</t>
        </is>
      </c>
      <c r="E170" t="inlineStr">
        <is>
          <t>NORDANSTIG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18638-2023</t>
        </is>
      </c>
      <c r="B171" s="1" t="n">
        <v>45043.49929398148</v>
      </c>
      <c r="C171" s="1" t="n">
        <v>46136</v>
      </c>
      <c r="D171" t="inlineStr">
        <is>
          <t>GÄVLEBORGS LÄN</t>
        </is>
      </c>
      <c r="E171" t="inlineStr">
        <is>
          <t>NORDANSTIG</t>
        </is>
      </c>
      <c r="G171" t="n">
        <v>11.3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46588-2022</t>
        </is>
      </c>
      <c r="B172" s="1" t="n">
        <v>44848.69696759259</v>
      </c>
      <c r="C172" s="1" t="n">
        <v>46136</v>
      </c>
      <c r="D172" t="inlineStr">
        <is>
          <t>GÄVLEBORGS LÄN</t>
        </is>
      </c>
      <c r="E172" t="inlineStr">
        <is>
          <t>NORDANSTIG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17887-2024</t>
        </is>
      </c>
      <c r="B173" s="1" t="n">
        <v>45419.4737962963</v>
      </c>
      <c r="C173" s="1" t="n">
        <v>46136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55206-2022</t>
        </is>
      </c>
      <c r="B174" s="1" t="n">
        <v>44886</v>
      </c>
      <c r="C174" s="1" t="n">
        <v>46136</v>
      </c>
      <c r="D174" t="inlineStr">
        <is>
          <t>GÄVLEBORGS LÄN</t>
        </is>
      </c>
      <c r="E174" t="inlineStr">
        <is>
          <t>NORDANSTIG</t>
        </is>
      </c>
      <c r="F174" t="inlineStr">
        <is>
          <t>SCA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37686-2024</t>
        </is>
      </c>
      <c r="B175" s="1" t="n">
        <v>45541.59466435185</v>
      </c>
      <c r="C175" s="1" t="n">
        <v>46136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45310-2022</t>
        </is>
      </c>
      <c r="B176" s="1" t="n">
        <v>44844.57421296297</v>
      </c>
      <c r="C176" s="1" t="n">
        <v>46136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13018-2025</t>
        </is>
      </c>
      <c r="B177" s="1" t="n">
        <v>45734.54376157407</v>
      </c>
      <c r="C177" s="1" t="n">
        <v>46136</v>
      </c>
      <c r="D177" t="inlineStr">
        <is>
          <t>GÄVLEBORGS LÄN</t>
        </is>
      </c>
      <c r="E177" t="inlineStr">
        <is>
          <t>NORDANSTIG</t>
        </is>
      </c>
      <c r="G177" t="n">
        <v>33.1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50365-2023</t>
        </is>
      </c>
      <c r="B178" s="1" t="n">
        <v>45216.60457175926</v>
      </c>
      <c r="C178" s="1" t="n">
        <v>46136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18761-2024</t>
        </is>
      </c>
      <c r="B179" s="1" t="n">
        <v>45426.54793981482</v>
      </c>
      <c r="C179" s="1" t="n">
        <v>46136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42253-2024</t>
        </is>
      </c>
      <c r="B180" s="1" t="n">
        <v>45562.58115740741</v>
      </c>
      <c r="C180" s="1" t="n">
        <v>46136</v>
      </c>
      <c r="D180" t="inlineStr">
        <is>
          <t>GÄVLEBORGS LÄN</t>
        </is>
      </c>
      <c r="E180" t="inlineStr">
        <is>
          <t>NORDANSTIG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13174-2024</t>
        </is>
      </c>
      <c r="B181" s="1" t="n">
        <v>45386.41466435185</v>
      </c>
      <c r="C181" s="1" t="n">
        <v>46136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13179-2024</t>
        </is>
      </c>
      <c r="B182" s="1" t="n">
        <v>45386.42899305555</v>
      </c>
      <c r="C182" s="1" t="n">
        <v>46136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42717-2024</t>
        </is>
      </c>
      <c r="B183" s="1" t="n">
        <v>45566.45481481482</v>
      </c>
      <c r="C183" s="1" t="n">
        <v>46136</v>
      </c>
      <c r="D183" t="inlineStr">
        <is>
          <t>GÄVLEBORGS LÄN</t>
        </is>
      </c>
      <c r="E183" t="inlineStr">
        <is>
          <t>NORDANSTIG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43589-2021</t>
        </is>
      </c>
      <c r="B184" s="1" t="n">
        <v>44433</v>
      </c>
      <c r="C184" s="1" t="n">
        <v>46136</v>
      </c>
      <c r="D184" t="inlineStr">
        <is>
          <t>GÄVLEBORGS LÄN</t>
        </is>
      </c>
      <c r="E184" t="inlineStr">
        <is>
          <t>NORDANSTIG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18525-2025</t>
        </is>
      </c>
      <c r="B185" s="1" t="n">
        <v>45763.40003472222</v>
      </c>
      <c r="C185" s="1" t="n">
        <v>46136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2986-2023</t>
        </is>
      </c>
      <c r="B186" s="1" t="n">
        <v>44945</v>
      </c>
      <c r="C186" s="1" t="n">
        <v>46136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42780-2022</t>
        </is>
      </c>
      <c r="B187" s="1" t="n">
        <v>44832.5190625</v>
      </c>
      <c r="C187" s="1" t="n">
        <v>46136</v>
      </c>
      <c r="D187" t="inlineStr">
        <is>
          <t>GÄVLEBORGS LÄN</t>
        </is>
      </c>
      <c r="E187" t="inlineStr">
        <is>
          <t>NORDANSTIG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42947-2022</t>
        </is>
      </c>
      <c r="B188" s="1" t="n">
        <v>44833.38618055556</v>
      </c>
      <c r="C188" s="1" t="n">
        <v>46136</v>
      </c>
      <c r="D188" t="inlineStr">
        <is>
          <t>GÄVLEBORGS LÄN</t>
        </is>
      </c>
      <c r="E188" t="inlineStr">
        <is>
          <t>NORDANSTIG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25724-2024</t>
        </is>
      </c>
      <c r="B189" s="1" t="n">
        <v>45463.95799768518</v>
      </c>
      <c r="C189" s="1" t="n">
        <v>46136</v>
      </c>
      <c r="D189" t="inlineStr">
        <is>
          <t>GÄVLEBORGS LÄN</t>
        </is>
      </c>
      <c r="E189" t="inlineStr">
        <is>
          <t>NORDANSTIG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32722-2023</t>
        </is>
      </c>
      <c r="B190" s="1" t="n">
        <v>45121.92335648148</v>
      </c>
      <c r="C190" s="1" t="n">
        <v>46136</v>
      </c>
      <c r="D190" t="inlineStr">
        <is>
          <t>GÄVLEBORGS LÄN</t>
        </is>
      </c>
      <c r="E190" t="inlineStr">
        <is>
          <t>NORDANSTIG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73748-2021</t>
        </is>
      </c>
      <c r="B191" s="1" t="n">
        <v>44552.57103009259</v>
      </c>
      <c r="C191" s="1" t="n">
        <v>46136</v>
      </c>
      <c r="D191" t="inlineStr">
        <is>
          <t>GÄVLEBORGS LÄN</t>
        </is>
      </c>
      <c r="E191" t="inlineStr">
        <is>
          <t>NORDANSTIG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34339-2023</t>
        </is>
      </c>
      <c r="B192" s="1" t="n">
        <v>45139.35453703703</v>
      </c>
      <c r="C192" s="1" t="n">
        <v>46136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30150-2024</t>
        </is>
      </c>
      <c r="B193" s="1" t="n">
        <v>45489.60886574074</v>
      </c>
      <c r="C193" s="1" t="n">
        <v>46136</v>
      </c>
      <c r="D193" t="inlineStr">
        <is>
          <t>GÄVLEBORGS LÄN</t>
        </is>
      </c>
      <c r="E193" t="inlineStr">
        <is>
          <t>NORDANSTIG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24374-2024</t>
        </is>
      </c>
      <c r="B194" s="1" t="n">
        <v>45457.61493055556</v>
      </c>
      <c r="C194" s="1" t="n">
        <v>46136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49607-2022</t>
        </is>
      </c>
      <c r="B195" s="1" t="n">
        <v>44862.41356481481</v>
      </c>
      <c r="C195" s="1" t="n">
        <v>46136</v>
      </c>
      <c r="D195" t="inlineStr">
        <is>
          <t>GÄVLEBORGS LÄN</t>
        </is>
      </c>
      <c r="E195" t="inlineStr">
        <is>
          <t>NORDANSTIG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34560-2023</t>
        </is>
      </c>
      <c r="B196" s="1" t="n">
        <v>45140.51533564815</v>
      </c>
      <c r="C196" s="1" t="n">
        <v>46136</v>
      </c>
      <c r="D196" t="inlineStr">
        <is>
          <t>GÄVLEBORGS LÄN</t>
        </is>
      </c>
      <c r="E196" t="inlineStr">
        <is>
          <t>NORDANSTIG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36694-2024</t>
        </is>
      </c>
      <c r="B197" s="1" t="n">
        <v>45537.67020833334</v>
      </c>
      <c r="C197" s="1" t="n">
        <v>46136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32602-2024</t>
        </is>
      </c>
      <c r="B198" s="1" t="n">
        <v>45513.62717592593</v>
      </c>
      <c r="C198" s="1" t="n">
        <v>46136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31270-2024</t>
        </is>
      </c>
      <c r="B199" s="1" t="n">
        <v>45504.36773148148</v>
      </c>
      <c r="C199" s="1" t="n">
        <v>46136</v>
      </c>
      <c r="D199" t="inlineStr">
        <is>
          <t>GÄVLEBORGS LÄN</t>
        </is>
      </c>
      <c r="E199" t="inlineStr">
        <is>
          <t>NORDANSTIG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30969-2024</t>
        </is>
      </c>
      <c r="B200" s="1" t="n">
        <v>45499.45839120371</v>
      </c>
      <c r="C200" s="1" t="n">
        <v>46136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30978-2024</t>
        </is>
      </c>
      <c r="B201" s="1" t="n">
        <v>45499.48480324074</v>
      </c>
      <c r="C201" s="1" t="n">
        <v>46136</v>
      </c>
      <c r="D201" t="inlineStr">
        <is>
          <t>GÄVLEBORGS LÄN</t>
        </is>
      </c>
      <c r="E201" t="inlineStr">
        <is>
          <t>NORDANSTIG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41701-2023</t>
        </is>
      </c>
      <c r="B202" s="1" t="n">
        <v>45176.37850694444</v>
      </c>
      <c r="C202" s="1" t="n">
        <v>46136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51222-2024</t>
        </is>
      </c>
      <c r="B203" s="1" t="n">
        <v>45603.65320601852</v>
      </c>
      <c r="C203" s="1" t="n">
        <v>46136</v>
      </c>
      <c r="D203" t="inlineStr">
        <is>
          <t>GÄVLEBORGS LÄN</t>
        </is>
      </c>
      <c r="E203" t="inlineStr">
        <is>
          <t>NORDANSTIG</t>
        </is>
      </c>
      <c r="G203" t="n">
        <v>15.1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51230-2024</t>
        </is>
      </c>
      <c r="B204" s="1" t="n">
        <v>45603.65864583333</v>
      </c>
      <c r="C204" s="1" t="n">
        <v>46136</v>
      </c>
      <c r="D204" t="inlineStr">
        <is>
          <t>GÄVLEBORGS LÄN</t>
        </is>
      </c>
      <c r="E204" t="inlineStr">
        <is>
          <t>NORDANSTIG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2861-2023</t>
        </is>
      </c>
      <c r="B205" s="1" t="n">
        <v>44945.41037037037</v>
      </c>
      <c r="C205" s="1" t="n">
        <v>46136</v>
      </c>
      <c r="D205" t="inlineStr">
        <is>
          <t>GÄVLEBORGS LÄN</t>
        </is>
      </c>
      <c r="E205" t="inlineStr">
        <is>
          <t>NORDANSTIG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25068-2025</t>
        </is>
      </c>
      <c r="B206" s="1" t="n">
        <v>45799.72726851852</v>
      </c>
      <c r="C206" s="1" t="n">
        <v>46136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16.7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33-2026</t>
        </is>
      </c>
      <c r="B207" s="1" t="n">
        <v>46024.3759375</v>
      </c>
      <c r="C207" s="1" t="n">
        <v>46136</v>
      </c>
      <c r="D207" t="inlineStr">
        <is>
          <t>GÄVLEBORGS LÄN</t>
        </is>
      </c>
      <c r="E207" t="inlineStr">
        <is>
          <t>NORDANSTIG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321-2024</t>
        </is>
      </c>
      <c r="B208" s="1" t="n">
        <v>45295</v>
      </c>
      <c r="C208" s="1" t="n">
        <v>46136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45-2026</t>
        </is>
      </c>
      <c r="B209" s="1" t="n">
        <v>46024</v>
      </c>
      <c r="C209" s="1" t="n">
        <v>46136</v>
      </c>
      <c r="D209" t="inlineStr">
        <is>
          <t>GÄVLEBORGS LÄN</t>
        </is>
      </c>
      <c r="E209" t="inlineStr">
        <is>
          <t>NORDANSTIG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8993-2026</t>
        </is>
      </c>
      <c r="B210" s="1" t="n">
        <v>46069.4649074074</v>
      </c>
      <c r="C210" s="1" t="n">
        <v>46136</v>
      </c>
      <c r="D210" t="inlineStr">
        <is>
          <t>GÄVLEBORGS LÄN</t>
        </is>
      </c>
      <c r="E210" t="inlineStr">
        <is>
          <t>NORDANSTIG</t>
        </is>
      </c>
      <c r="G210" t="n">
        <v>7.3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224-2026</t>
        </is>
      </c>
      <c r="B211" s="1" t="n">
        <v>46026</v>
      </c>
      <c r="C211" s="1" t="n">
        <v>46136</v>
      </c>
      <c r="D211" t="inlineStr">
        <is>
          <t>GÄVLEBORGS LÄN</t>
        </is>
      </c>
      <c r="E211" t="inlineStr">
        <is>
          <t>NORDANSTIG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2105-2023</t>
        </is>
      </c>
      <c r="B212" s="1" t="n">
        <v>44939.9237037037</v>
      </c>
      <c r="C212" s="1" t="n">
        <v>46136</v>
      </c>
      <c r="D212" t="inlineStr">
        <is>
          <t>GÄVLEBORGS LÄN</t>
        </is>
      </c>
      <c r="E212" t="inlineStr">
        <is>
          <t>NORDANSTIG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24758-2025</t>
        </is>
      </c>
      <c r="B213" s="1" t="n">
        <v>45799.3827662037</v>
      </c>
      <c r="C213" s="1" t="n">
        <v>46136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23.2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  <c r="U213">
        <f>HYPERLINK("https://klasma.github.io/Logging_2132/knärot/A 24758-2025 karta knärot.png", "A 24758-2025")</f>
        <v/>
      </c>
      <c r="V213">
        <f>HYPERLINK("https://klasma.github.io/Logging_2132/klagomål/A 24758-2025 FSC-klagomål.docx", "A 24758-2025")</f>
        <v/>
      </c>
      <c r="W213">
        <f>HYPERLINK("https://klasma.github.io/Logging_2132/klagomålsmail/A 24758-2025 FSC-klagomål mail.docx", "A 24758-2025")</f>
        <v/>
      </c>
      <c r="X213">
        <f>HYPERLINK("https://klasma.github.io/Logging_2132/tillsyn/A 24758-2025 tillsynsbegäran.docx", "A 24758-2025")</f>
        <v/>
      </c>
      <c r="Y213">
        <f>HYPERLINK("https://klasma.github.io/Logging_2132/tillsynsmail/A 24758-2025 tillsynsbegäran mail.docx", "A 24758-2025")</f>
        <v/>
      </c>
    </row>
    <row r="214" ht="15" customHeight="1">
      <c r="A214" t="inlineStr">
        <is>
          <t>A 227-2026</t>
        </is>
      </c>
      <c r="B214" s="1" t="n">
        <v>46026</v>
      </c>
      <c r="C214" s="1" t="n">
        <v>46136</v>
      </c>
      <c r="D214" t="inlineStr">
        <is>
          <t>GÄVLEBORGS LÄN</t>
        </is>
      </c>
      <c r="E214" t="inlineStr">
        <is>
          <t>NORDANSTIG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24938-2025</t>
        </is>
      </c>
      <c r="B215" s="1" t="n">
        <v>45799.55915509259</v>
      </c>
      <c r="C215" s="1" t="n">
        <v>46136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30.1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675-2023</t>
        </is>
      </c>
      <c r="B216" s="1" t="n">
        <v>44930.69663194445</v>
      </c>
      <c r="C216" s="1" t="n">
        <v>46136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226-2026</t>
        </is>
      </c>
      <c r="B217" s="1" t="n">
        <v>46026</v>
      </c>
      <c r="C217" s="1" t="n">
        <v>46136</v>
      </c>
      <c r="D217" t="inlineStr">
        <is>
          <t>GÄVLEBORGS LÄN</t>
        </is>
      </c>
      <c r="E217" t="inlineStr">
        <is>
          <t>NORDANSTIG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25080-2025</t>
        </is>
      </c>
      <c r="B218" s="1" t="n">
        <v>45799.91233796296</v>
      </c>
      <c r="C218" s="1" t="n">
        <v>46136</v>
      </c>
      <c r="D218" t="inlineStr">
        <is>
          <t>GÄVLEBORGS LÄN</t>
        </is>
      </c>
      <c r="E218" t="inlineStr">
        <is>
          <t>NORDANSTIG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25468-2025</t>
        </is>
      </c>
      <c r="B219" s="1" t="n">
        <v>45802.68767361111</v>
      </c>
      <c r="C219" s="1" t="n">
        <v>46136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25724-2025</t>
        </is>
      </c>
      <c r="B220" s="1" t="n">
        <v>45803.71337962963</v>
      </c>
      <c r="C220" s="1" t="n">
        <v>46136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10.1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1063-2026</t>
        </is>
      </c>
      <c r="B221" s="1" t="n">
        <v>46030</v>
      </c>
      <c r="C221" s="1" t="n">
        <v>46136</v>
      </c>
      <c r="D221" t="inlineStr">
        <is>
          <t>GÄVLEBORGS LÄN</t>
        </is>
      </c>
      <c r="E221" t="inlineStr">
        <is>
          <t>NORDANSTIG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37563-2025</t>
        </is>
      </c>
      <c r="B222" s="1" t="n">
        <v>45880</v>
      </c>
      <c r="C222" s="1" t="n">
        <v>46136</v>
      </c>
      <c r="D222" t="inlineStr">
        <is>
          <t>GÄVLEBORGS LÄN</t>
        </is>
      </c>
      <c r="E222" t="inlineStr">
        <is>
          <t>NORDANSTIG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55450-2024</t>
        </is>
      </c>
      <c r="B223" s="1" t="n">
        <v>45622</v>
      </c>
      <c r="C223" s="1" t="n">
        <v>46136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11762-2023</t>
        </is>
      </c>
      <c r="B224" s="1" t="n">
        <v>44994</v>
      </c>
      <c r="C224" s="1" t="n">
        <v>46136</v>
      </c>
      <c r="D224" t="inlineStr">
        <is>
          <t>GÄVLEBORGS LÄN</t>
        </is>
      </c>
      <c r="E224" t="inlineStr">
        <is>
          <t>NORDANSTIG</t>
        </is>
      </c>
      <c r="G224" t="n">
        <v>9.5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54896-2024</t>
        </is>
      </c>
      <c r="B225" s="1" t="n">
        <v>45618.63685185185</v>
      </c>
      <c r="C225" s="1" t="n">
        <v>46136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25467-2025</t>
        </is>
      </c>
      <c r="B226" s="1" t="n">
        <v>45802.66018518519</v>
      </c>
      <c r="C226" s="1" t="n">
        <v>46136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12266-2025</t>
        </is>
      </c>
      <c r="B227" s="1" t="n">
        <v>45729.63112268518</v>
      </c>
      <c r="C227" s="1" t="n">
        <v>46136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615-2026</t>
        </is>
      </c>
      <c r="B228" s="1" t="n">
        <v>46029.5419212963</v>
      </c>
      <c r="C228" s="1" t="n">
        <v>46136</v>
      </c>
      <c r="D228" t="inlineStr">
        <is>
          <t>GÄVLEBORGS LÄN</t>
        </is>
      </c>
      <c r="E228" t="inlineStr">
        <is>
          <t>NORDANSTIG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5981-2026</t>
        </is>
      </c>
      <c r="B229" s="1" t="n">
        <v>46052</v>
      </c>
      <c r="C229" s="1" t="n">
        <v>46136</v>
      </c>
      <c r="D229" t="inlineStr">
        <is>
          <t>GÄVLEBORGS LÄN</t>
        </is>
      </c>
      <c r="E229" t="inlineStr">
        <is>
          <t>NORDANSTIG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74460-2021</t>
        </is>
      </c>
      <c r="B230" s="1" t="n">
        <v>44560.51326388889</v>
      </c>
      <c r="C230" s="1" t="n">
        <v>46136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1053-2026</t>
        </is>
      </c>
      <c r="B231" s="1" t="n">
        <v>46030</v>
      </c>
      <c r="C231" s="1" t="n">
        <v>46136</v>
      </c>
      <c r="D231" t="inlineStr">
        <is>
          <t>GÄVLEBORGS LÄN</t>
        </is>
      </c>
      <c r="E231" t="inlineStr">
        <is>
          <t>NORDANSTIG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25469-2025</t>
        </is>
      </c>
      <c r="B232" s="1" t="n">
        <v>45802.70565972223</v>
      </c>
      <c r="C232" s="1" t="n">
        <v>46136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1059-2026</t>
        </is>
      </c>
      <c r="B233" s="1" t="n">
        <v>46030</v>
      </c>
      <c r="C233" s="1" t="n">
        <v>46136</v>
      </c>
      <c r="D233" t="inlineStr">
        <is>
          <t>GÄVLEBORGS LÄN</t>
        </is>
      </c>
      <c r="E233" t="inlineStr">
        <is>
          <t>NORDANSTIG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924-2026</t>
        </is>
      </c>
      <c r="B234" s="1" t="n">
        <v>46030</v>
      </c>
      <c r="C234" s="1" t="n">
        <v>46136</v>
      </c>
      <c r="D234" t="inlineStr">
        <is>
          <t>GÄVLEBORGS LÄN</t>
        </is>
      </c>
      <c r="E234" t="inlineStr">
        <is>
          <t>NORDANSTIG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514-2026</t>
        </is>
      </c>
      <c r="B235" s="1" t="n">
        <v>46029</v>
      </c>
      <c r="C235" s="1" t="n">
        <v>46136</v>
      </c>
      <c r="D235" t="inlineStr">
        <is>
          <t>GÄVLEBORGS LÄN</t>
        </is>
      </c>
      <c r="E235" t="inlineStr">
        <is>
          <t>NORDANSTIG</t>
        </is>
      </c>
      <c r="G235" t="n">
        <v>30.2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1057-2026</t>
        </is>
      </c>
      <c r="B236" s="1" t="n">
        <v>46030</v>
      </c>
      <c r="C236" s="1" t="n">
        <v>46136</v>
      </c>
      <c r="D236" t="inlineStr">
        <is>
          <t>GÄVLEBORGS LÄN</t>
        </is>
      </c>
      <c r="E236" t="inlineStr">
        <is>
          <t>NORDANSTIG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4142-2023</t>
        </is>
      </c>
      <c r="B237" s="1" t="n">
        <v>44953</v>
      </c>
      <c r="C237" s="1" t="n">
        <v>46136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38342-2024</t>
        </is>
      </c>
      <c r="B238" s="1" t="n">
        <v>45545.69261574074</v>
      </c>
      <c r="C238" s="1" t="n">
        <v>46136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1169-2026</t>
        </is>
      </c>
      <c r="B239" s="1" t="n">
        <v>46031.34446759259</v>
      </c>
      <c r="C239" s="1" t="n">
        <v>46136</v>
      </c>
      <c r="D239" t="inlineStr">
        <is>
          <t>GÄVLEBORGS LÄN</t>
        </is>
      </c>
      <c r="E239" t="inlineStr">
        <is>
          <t>NORDANSTIG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8395-2024</t>
        </is>
      </c>
      <c r="B240" s="1" t="n">
        <v>45352.68155092592</v>
      </c>
      <c r="C240" s="1" t="n">
        <v>46136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49352-2025</t>
        </is>
      </c>
      <c r="B241" s="1" t="n">
        <v>45938.61381944444</v>
      </c>
      <c r="C241" s="1" t="n">
        <v>46136</v>
      </c>
      <c r="D241" t="inlineStr">
        <is>
          <t>GÄVLEBORGS LÄN</t>
        </is>
      </c>
      <c r="E241" t="inlineStr">
        <is>
          <t>NORDANSTIG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1469-2026</t>
        </is>
      </c>
      <c r="B242" s="1" t="n">
        <v>46033</v>
      </c>
      <c r="C242" s="1" t="n">
        <v>46136</v>
      </c>
      <c r="D242" t="inlineStr">
        <is>
          <t>GÄVLEBORGS LÄN</t>
        </is>
      </c>
      <c r="E242" t="inlineStr">
        <is>
          <t>NORDANSTIG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18401-2023</t>
        </is>
      </c>
      <c r="B243" s="1" t="n">
        <v>45042.3791550926</v>
      </c>
      <c r="C243" s="1" t="n">
        <v>46136</v>
      </c>
      <c r="D243" t="inlineStr">
        <is>
          <t>GÄVLEBORGS LÄN</t>
        </is>
      </c>
      <c r="E243" t="inlineStr">
        <is>
          <t>NORDANSTIG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10543-2025</t>
        </is>
      </c>
      <c r="B244" s="1" t="n">
        <v>45721.48769675926</v>
      </c>
      <c r="C244" s="1" t="n">
        <v>46136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8.9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1168-2026</t>
        </is>
      </c>
      <c r="B245" s="1" t="n">
        <v>46031.34438657408</v>
      </c>
      <c r="C245" s="1" t="n">
        <v>46136</v>
      </c>
      <c r="D245" t="inlineStr">
        <is>
          <t>GÄVLEBORGS LÄN</t>
        </is>
      </c>
      <c r="E245" t="inlineStr">
        <is>
          <t>NORDANSTIG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1714-2026</t>
        </is>
      </c>
      <c r="B246" s="1" t="n">
        <v>46034.60563657407</v>
      </c>
      <c r="C246" s="1" t="n">
        <v>46136</v>
      </c>
      <c r="D246" t="inlineStr">
        <is>
          <t>GÄVLEBORGS LÄN</t>
        </is>
      </c>
      <c r="E246" t="inlineStr">
        <is>
          <t>NORDANSTIG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1526-2024</t>
        </is>
      </c>
      <c r="B247" s="1" t="n">
        <v>45306</v>
      </c>
      <c r="C247" s="1" t="n">
        <v>46136</v>
      </c>
      <c r="D247" t="inlineStr">
        <is>
          <t>GÄVLEBORGS LÄN</t>
        </is>
      </c>
      <c r="E247" t="inlineStr">
        <is>
          <t>NORDANSTIG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52120-2022</t>
        </is>
      </c>
      <c r="B248" s="1" t="n">
        <v>44873.42377314815</v>
      </c>
      <c r="C248" s="1" t="n">
        <v>46136</v>
      </c>
      <c r="D248" t="inlineStr">
        <is>
          <t>GÄVLEBORGS LÄN</t>
        </is>
      </c>
      <c r="E248" t="inlineStr">
        <is>
          <t>NORDANSTIG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5475-2023</t>
        </is>
      </c>
      <c r="B249" s="1" t="n">
        <v>44960</v>
      </c>
      <c r="C249" s="1" t="n">
        <v>46136</v>
      </c>
      <c r="D249" t="inlineStr">
        <is>
          <t>GÄVLEBORGS LÄN</t>
        </is>
      </c>
      <c r="E249" t="inlineStr">
        <is>
          <t>NORDANSTIG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1703-2026</t>
        </is>
      </c>
      <c r="B250" s="1" t="n">
        <v>46034.59607638889</v>
      </c>
      <c r="C250" s="1" t="n">
        <v>46136</v>
      </c>
      <c r="D250" t="inlineStr">
        <is>
          <t>GÄVLEBORGS LÄN</t>
        </is>
      </c>
      <c r="E250" t="inlineStr">
        <is>
          <t>NORDANSTIG</t>
        </is>
      </c>
      <c r="G250" t="n">
        <v>12.7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1173-2026</t>
        </is>
      </c>
      <c r="B251" s="1" t="n">
        <v>46031</v>
      </c>
      <c r="C251" s="1" t="n">
        <v>46136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1184-2026</t>
        </is>
      </c>
      <c r="B252" s="1" t="n">
        <v>46031.36074074074</v>
      </c>
      <c r="C252" s="1" t="n">
        <v>46136</v>
      </c>
      <c r="D252" t="inlineStr">
        <is>
          <t>GÄVLEBORGS LÄN</t>
        </is>
      </c>
      <c r="E252" t="inlineStr">
        <is>
          <t>NORDANSTIG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36464-2024</t>
        </is>
      </c>
      <c r="B253" s="1" t="n">
        <v>45537.35846064815</v>
      </c>
      <c r="C253" s="1" t="n">
        <v>46136</v>
      </c>
      <c r="D253" t="inlineStr">
        <is>
          <t>GÄVLEBORGS LÄN</t>
        </is>
      </c>
      <c r="E253" t="inlineStr">
        <is>
          <t>NORDANSTIG</t>
        </is>
      </c>
      <c r="F253" t="inlineStr">
        <is>
          <t>SCA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1958-2026</t>
        </is>
      </c>
      <c r="B254" s="1" t="n">
        <v>46035.61606481481</v>
      </c>
      <c r="C254" s="1" t="n">
        <v>46136</v>
      </c>
      <c r="D254" t="inlineStr">
        <is>
          <t>GÄVLEBORGS LÄN</t>
        </is>
      </c>
      <c r="E254" t="inlineStr">
        <is>
          <t>NORDANSTIG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1849-2026</t>
        </is>
      </c>
      <c r="B255" s="1" t="n">
        <v>46035</v>
      </c>
      <c r="C255" s="1" t="n">
        <v>46136</v>
      </c>
      <c r="D255" t="inlineStr">
        <is>
          <t>GÄVLEBORGS LÄN</t>
        </is>
      </c>
      <c r="E255" t="inlineStr">
        <is>
          <t>NORDANSTIG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55526-2024</t>
        </is>
      </c>
      <c r="B256" s="1" t="n">
        <v>45622</v>
      </c>
      <c r="C256" s="1" t="n">
        <v>46136</v>
      </c>
      <c r="D256" t="inlineStr">
        <is>
          <t>GÄVLEBORGS LÄN</t>
        </is>
      </c>
      <c r="E256" t="inlineStr">
        <is>
          <t>NORDANSTIG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42858-2024</t>
        </is>
      </c>
      <c r="B257" s="1" t="n">
        <v>45566.65224537037</v>
      </c>
      <c r="C257" s="1" t="n">
        <v>46136</v>
      </c>
      <c r="D257" t="inlineStr">
        <is>
          <t>GÄVLEBORGS LÄN</t>
        </is>
      </c>
      <c r="E257" t="inlineStr">
        <is>
          <t>NORDANSTIG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6096-2022</t>
        </is>
      </c>
      <c r="B258" s="1" t="n">
        <v>44599</v>
      </c>
      <c r="C258" s="1" t="n">
        <v>46136</v>
      </c>
      <c r="D258" t="inlineStr">
        <is>
          <t>GÄVLEBORGS LÄN</t>
        </is>
      </c>
      <c r="E258" t="inlineStr">
        <is>
          <t>NORDANSTIG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38610-2025</t>
        </is>
      </c>
      <c r="B259" s="1" t="n">
        <v>45884.53892361111</v>
      </c>
      <c r="C259" s="1" t="n">
        <v>46136</v>
      </c>
      <c r="D259" t="inlineStr">
        <is>
          <t>GÄVLEBORGS LÄN</t>
        </is>
      </c>
      <c r="E259" t="inlineStr">
        <is>
          <t>NORDANSTIG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38369-2025</t>
        </is>
      </c>
      <c r="B260" s="1" t="n">
        <v>45883.55640046296</v>
      </c>
      <c r="C260" s="1" t="n">
        <v>46136</v>
      </c>
      <c r="D260" t="inlineStr">
        <is>
          <t>GÄVLEBORGS LÄN</t>
        </is>
      </c>
      <c r="E260" t="inlineStr">
        <is>
          <t>NORDANSTIG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38295-2025</t>
        </is>
      </c>
      <c r="B261" s="1" t="n">
        <v>45883.45166666667</v>
      </c>
      <c r="C261" s="1" t="n">
        <v>46136</v>
      </c>
      <c r="D261" t="inlineStr">
        <is>
          <t>GÄVLEBORGS LÄN</t>
        </is>
      </c>
      <c r="E261" t="inlineStr">
        <is>
          <t>NORDANSTIG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2359-2026</t>
        </is>
      </c>
      <c r="B262" s="1" t="n">
        <v>46036.639375</v>
      </c>
      <c r="C262" s="1" t="n">
        <v>46136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1962-2026</t>
        </is>
      </c>
      <c r="B263" s="1" t="n">
        <v>46035</v>
      </c>
      <c r="C263" s="1" t="n">
        <v>46136</v>
      </c>
      <c r="D263" t="inlineStr">
        <is>
          <t>GÄVLEBORGS LÄN</t>
        </is>
      </c>
      <c r="E263" t="inlineStr">
        <is>
          <t>NORDANSTIG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60520-2023</t>
        </is>
      </c>
      <c r="B264" s="1" t="n">
        <v>45259.65444444444</v>
      </c>
      <c r="C264" s="1" t="n">
        <v>46136</v>
      </c>
      <c r="D264" t="inlineStr">
        <is>
          <t>GÄVLEBORGS LÄN</t>
        </is>
      </c>
      <c r="E264" t="inlineStr">
        <is>
          <t>NORDANSTIG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1982-2026</t>
        </is>
      </c>
      <c r="B265" s="1" t="n">
        <v>46035</v>
      </c>
      <c r="C265" s="1" t="n">
        <v>46136</v>
      </c>
      <c r="D265" t="inlineStr">
        <is>
          <t>GÄVLEBORGS LÄN</t>
        </is>
      </c>
      <c r="E265" t="inlineStr">
        <is>
          <t>NORDANSTIG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2149-2024</t>
        </is>
      </c>
      <c r="B266" s="1" t="n">
        <v>45309.57211805556</v>
      </c>
      <c r="C266" s="1" t="n">
        <v>46136</v>
      </c>
      <c r="D266" t="inlineStr">
        <is>
          <t>GÄVLEBORGS LÄN</t>
        </is>
      </c>
      <c r="E266" t="inlineStr">
        <is>
          <t>NORDANSTIG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1829-2026</t>
        </is>
      </c>
      <c r="B267" s="1" t="n">
        <v>46035.37715277778</v>
      </c>
      <c r="C267" s="1" t="n">
        <v>46136</v>
      </c>
      <c r="D267" t="inlineStr">
        <is>
          <t>GÄVLEBORGS LÄN</t>
        </is>
      </c>
      <c r="E267" t="inlineStr">
        <is>
          <t>NORDANSTIG</t>
        </is>
      </c>
      <c r="G267" t="n">
        <v>15.6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1975-2026</t>
        </is>
      </c>
      <c r="B268" s="1" t="n">
        <v>46035</v>
      </c>
      <c r="C268" s="1" t="n">
        <v>46136</v>
      </c>
      <c r="D268" t="inlineStr">
        <is>
          <t>GÄVLEBORGS LÄN</t>
        </is>
      </c>
      <c r="E268" t="inlineStr">
        <is>
          <t>NORDANSTIG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2272-2026</t>
        </is>
      </c>
      <c r="B269" s="1" t="n">
        <v>46036.5737037037</v>
      </c>
      <c r="C269" s="1" t="n">
        <v>46136</v>
      </c>
      <c r="D269" t="inlineStr">
        <is>
          <t>GÄVLEBORGS LÄN</t>
        </is>
      </c>
      <c r="E269" t="inlineStr">
        <is>
          <t>NORDANSTIG</t>
        </is>
      </c>
      <c r="G269" t="n">
        <v>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2347-2026</t>
        </is>
      </c>
      <c r="B270" s="1" t="n">
        <v>46036.62802083333</v>
      </c>
      <c r="C270" s="1" t="n">
        <v>46136</v>
      </c>
      <c r="D270" t="inlineStr">
        <is>
          <t>GÄVLEBORGS LÄN</t>
        </is>
      </c>
      <c r="E270" t="inlineStr">
        <is>
          <t>NORDANSTIG</t>
        </is>
      </c>
      <c r="F270" t="inlineStr">
        <is>
          <t>Holmen skog AB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14051-2025</t>
        </is>
      </c>
      <c r="B271" s="1" t="n">
        <v>45740.38570601852</v>
      </c>
      <c r="C271" s="1" t="n">
        <v>46136</v>
      </c>
      <c r="D271" t="inlineStr">
        <is>
          <t>GÄVLEBORGS LÄN</t>
        </is>
      </c>
      <c r="E271" t="inlineStr">
        <is>
          <t>NORDANSTIG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2490-2026</t>
        </is>
      </c>
      <c r="B272" s="1" t="n">
        <v>46037.39350694444</v>
      </c>
      <c r="C272" s="1" t="n">
        <v>46136</v>
      </c>
      <c r="D272" t="inlineStr">
        <is>
          <t>GÄVLEBORGS LÄN</t>
        </is>
      </c>
      <c r="E272" t="inlineStr">
        <is>
          <t>NORDANSTIG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9131-2024</t>
        </is>
      </c>
      <c r="B273" s="1" t="n">
        <v>45358.34773148148</v>
      </c>
      <c r="C273" s="1" t="n">
        <v>46136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26636-2025</t>
        </is>
      </c>
      <c r="B274" s="1" t="n">
        <v>45810.3549537037</v>
      </c>
      <c r="C274" s="1" t="n">
        <v>46136</v>
      </c>
      <c r="D274" t="inlineStr">
        <is>
          <t>GÄVLEBORGS LÄN</t>
        </is>
      </c>
      <c r="E274" t="inlineStr">
        <is>
          <t>NORDANSTIG</t>
        </is>
      </c>
      <c r="F274" t="inlineStr">
        <is>
          <t>Holmen skog AB</t>
        </is>
      </c>
      <c r="G274" t="n">
        <v>42.8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2837-2026</t>
        </is>
      </c>
      <c r="B275" s="1" t="n">
        <v>46038.46219907407</v>
      </c>
      <c r="C275" s="1" t="n">
        <v>46136</v>
      </c>
      <c r="D275" t="inlineStr">
        <is>
          <t>GÄVLEBORGS LÄN</t>
        </is>
      </c>
      <c r="E275" t="inlineStr">
        <is>
          <t>NORDANSTIG</t>
        </is>
      </c>
      <c r="G275" t="n">
        <v>21.1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60944-2024</t>
        </is>
      </c>
      <c r="B276" s="1" t="n">
        <v>45645.37596064815</v>
      </c>
      <c r="C276" s="1" t="n">
        <v>46136</v>
      </c>
      <c r="D276" t="inlineStr">
        <is>
          <t>GÄVLEBORGS LÄN</t>
        </is>
      </c>
      <c r="E276" t="inlineStr">
        <is>
          <t>NORDANSTIG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2506-2026</t>
        </is>
      </c>
      <c r="B277" s="1" t="n">
        <v>46037.41307870371</v>
      </c>
      <c r="C277" s="1" t="n">
        <v>46136</v>
      </c>
      <c r="D277" t="inlineStr">
        <is>
          <t>GÄVLEBORGS LÄN</t>
        </is>
      </c>
      <c r="E277" t="inlineStr">
        <is>
          <t>NORDANSTIG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61407-2024</t>
        </is>
      </c>
      <c r="B278" s="1" t="n">
        <v>45646.43694444445</v>
      </c>
      <c r="C278" s="1" t="n">
        <v>46136</v>
      </c>
      <c r="D278" t="inlineStr">
        <is>
          <t>GÄVLEBORGS LÄN</t>
        </is>
      </c>
      <c r="E278" t="inlineStr">
        <is>
          <t>NORDANSTIG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2710-2026</t>
        </is>
      </c>
      <c r="B279" s="1" t="n">
        <v>46037</v>
      </c>
      <c r="C279" s="1" t="n">
        <v>46136</v>
      </c>
      <c r="D279" t="inlineStr">
        <is>
          <t>GÄVLEBORGS LÄN</t>
        </is>
      </c>
      <c r="E279" t="inlineStr">
        <is>
          <t>NORDANSTIG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61430-2024</t>
        </is>
      </c>
      <c r="B280" s="1" t="n">
        <v>45646.45672453703</v>
      </c>
      <c r="C280" s="1" t="n">
        <v>46136</v>
      </c>
      <c r="D280" t="inlineStr">
        <is>
          <t>GÄVLEBORGS LÄN</t>
        </is>
      </c>
      <c r="E280" t="inlineStr">
        <is>
          <t>NORDANSTIG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2880-2026</t>
        </is>
      </c>
      <c r="B281" s="1" t="n">
        <v>46038.53583333334</v>
      </c>
      <c r="C281" s="1" t="n">
        <v>46136</v>
      </c>
      <c r="D281" t="inlineStr">
        <is>
          <t>GÄVLEBORGS LÄN</t>
        </is>
      </c>
      <c r="E281" t="inlineStr">
        <is>
          <t>NORDANSTIG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2575-2026</t>
        </is>
      </c>
      <c r="B282" s="1" t="n">
        <v>46037.51314814815</v>
      </c>
      <c r="C282" s="1" t="n">
        <v>46136</v>
      </c>
      <c r="D282" t="inlineStr">
        <is>
          <t>GÄVLEBORGS LÄN</t>
        </is>
      </c>
      <c r="E282" t="inlineStr">
        <is>
          <t>NORDANSTIG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57976-2022</t>
        </is>
      </c>
      <c r="B283" s="1" t="n">
        <v>44900.4591087963</v>
      </c>
      <c r="C283" s="1" t="n">
        <v>46136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57983-2022</t>
        </is>
      </c>
      <c r="B284" s="1" t="n">
        <v>44900</v>
      </c>
      <c r="C284" s="1" t="n">
        <v>46136</v>
      </c>
      <c r="D284" t="inlineStr">
        <is>
          <t>GÄVLEBORGS LÄN</t>
        </is>
      </c>
      <c r="E284" t="inlineStr">
        <is>
          <t>NORDANSTIG</t>
        </is>
      </c>
      <c r="F284" t="inlineStr">
        <is>
          <t>Holmen skog AB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2862-2026</t>
        </is>
      </c>
      <c r="B285" s="1" t="n">
        <v>46038</v>
      </c>
      <c r="C285" s="1" t="n">
        <v>46136</v>
      </c>
      <c r="D285" t="inlineStr">
        <is>
          <t>GÄVLEBORGS LÄN</t>
        </is>
      </c>
      <c r="E285" t="inlineStr">
        <is>
          <t>NORDANSTIG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2682-2026</t>
        </is>
      </c>
      <c r="B286" s="1" t="n">
        <v>46037</v>
      </c>
      <c r="C286" s="1" t="n">
        <v>46136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27224-2025</t>
        </is>
      </c>
      <c r="B287" s="1" t="n">
        <v>45812.42760416667</v>
      </c>
      <c r="C287" s="1" t="n">
        <v>46136</v>
      </c>
      <c r="D287" t="inlineStr">
        <is>
          <t>GÄVLEBORGS LÄN</t>
        </is>
      </c>
      <c r="E287" t="inlineStr">
        <is>
          <t>NORDANSTIG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2705-2026</t>
        </is>
      </c>
      <c r="B288" s="1" t="n">
        <v>46037.69324074074</v>
      </c>
      <c r="C288" s="1" t="n">
        <v>46136</v>
      </c>
      <c r="D288" t="inlineStr">
        <is>
          <t>GÄVLEBORGS LÄN</t>
        </is>
      </c>
      <c r="E288" t="inlineStr">
        <is>
          <t>NORDANSTIG</t>
        </is>
      </c>
      <c r="G288" t="n">
        <v>9.300000000000001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2571-2026</t>
        </is>
      </c>
      <c r="B289" s="1" t="n">
        <v>46037.50278935185</v>
      </c>
      <c r="C289" s="1" t="n">
        <v>46136</v>
      </c>
      <c r="D289" t="inlineStr">
        <is>
          <t>GÄVLEBORGS LÄN</t>
        </is>
      </c>
      <c r="E289" t="inlineStr">
        <is>
          <t>NORDANSTIG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2942-2026</t>
        </is>
      </c>
      <c r="B290" s="1" t="n">
        <v>46038</v>
      </c>
      <c r="C290" s="1" t="n">
        <v>46136</v>
      </c>
      <c r="D290" t="inlineStr">
        <is>
          <t>GÄVLEBORGS LÄN</t>
        </is>
      </c>
      <c r="E290" t="inlineStr">
        <is>
          <t>NORDANSTIG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853-2024</t>
        </is>
      </c>
      <c r="B291" s="1" t="n">
        <v>45300</v>
      </c>
      <c r="C291" s="1" t="n">
        <v>46136</v>
      </c>
      <c r="D291" t="inlineStr">
        <is>
          <t>GÄVLEBORGS LÄN</t>
        </is>
      </c>
      <c r="E291" t="inlineStr">
        <is>
          <t>NORDANSTIG</t>
        </is>
      </c>
      <c r="G291" t="n">
        <v>8.1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884-2024</t>
        </is>
      </c>
      <c r="B292" s="1" t="n">
        <v>45301.39141203704</v>
      </c>
      <c r="C292" s="1" t="n">
        <v>46136</v>
      </c>
      <c r="D292" t="inlineStr">
        <is>
          <t>GÄVLEBORGS LÄN</t>
        </is>
      </c>
      <c r="E292" t="inlineStr">
        <is>
          <t>NORDANSTIG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2689-2026</t>
        </is>
      </c>
      <c r="B293" s="1" t="n">
        <v>46037</v>
      </c>
      <c r="C293" s="1" t="n">
        <v>46136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2677-2026</t>
        </is>
      </c>
      <c r="B294" s="1" t="n">
        <v>46037</v>
      </c>
      <c r="C294" s="1" t="n">
        <v>46136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2843-2026</t>
        </is>
      </c>
      <c r="B295" s="1" t="n">
        <v>46038.46943287037</v>
      </c>
      <c r="C295" s="1" t="n">
        <v>46136</v>
      </c>
      <c r="D295" t="inlineStr">
        <is>
          <t>GÄVLEBORGS LÄN</t>
        </is>
      </c>
      <c r="E295" t="inlineStr">
        <is>
          <t>NORDANSTIG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3285-2026</t>
        </is>
      </c>
      <c r="B296" s="1" t="n">
        <v>46041.62581018519</v>
      </c>
      <c r="C296" s="1" t="n">
        <v>46136</v>
      </c>
      <c r="D296" t="inlineStr">
        <is>
          <t>GÄVLEBORGS LÄN</t>
        </is>
      </c>
      <c r="E296" t="inlineStr">
        <is>
          <t>NORDANSTIG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43539-2023</t>
        </is>
      </c>
      <c r="B297" s="1" t="n">
        <v>45184.54789351852</v>
      </c>
      <c r="C297" s="1" t="n">
        <v>46136</v>
      </c>
      <c r="D297" t="inlineStr">
        <is>
          <t>GÄVLEBORGS LÄN</t>
        </is>
      </c>
      <c r="E297" t="inlineStr">
        <is>
          <t>NORDANSTIG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3492-2026</t>
        </is>
      </c>
      <c r="B298" s="1" t="n">
        <v>46042</v>
      </c>
      <c r="C298" s="1" t="n">
        <v>46136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27203-2025</t>
        </is>
      </c>
      <c r="B299" s="1" t="n">
        <v>45812.39972222222</v>
      </c>
      <c r="C299" s="1" t="n">
        <v>46136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3547-2026</t>
        </is>
      </c>
      <c r="B300" s="1" t="n">
        <v>46042.64209490741</v>
      </c>
      <c r="C300" s="1" t="n">
        <v>46136</v>
      </c>
      <c r="D300" t="inlineStr">
        <is>
          <t>GÄVLEBORGS LÄN</t>
        </is>
      </c>
      <c r="E300" t="inlineStr">
        <is>
          <t>NORDANSTIG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3546-2026</t>
        </is>
      </c>
      <c r="B301" s="1" t="n">
        <v>46042</v>
      </c>
      <c r="C301" s="1" t="n">
        <v>46136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3447-2026</t>
        </is>
      </c>
      <c r="B302" s="1" t="n">
        <v>46042.48484953704</v>
      </c>
      <c r="C302" s="1" t="n">
        <v>46136</v>
      </c>
      <c r="D302" t="inlineStr">
        <is>
          <t>GÄVLEBORGS LÄN</t>
        </is>
      </c>
      <c r="E302" t="inlineStr">
        <is>
          <t>NORDANSTIG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50286-2023</t>
        </is>
      </c>
      <c r="B303" s="1" t="n">
        <v>45216</v>
      </c>
      <c r="C303" s="1" t="n">
        <v>46136</v>
      </c>
      <c r="D303" t="inlineStr">
        <is>
          <t>GÄVLEBORGS LÄN</t>
        </is>
      </c>
      <c r="E303" t="inlineStr">
        <is>
          <t>NORDANSTIG</t>
        </is>
      </c>
      <c r="F303" t="inlineStr">
        <is>
          <t>Holmen skog AB</t>
        </is>
      </c>
      <c r="G303" t="n">
        <v>10.3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61418-2024</t>
        </is>
      </c>
      <c r="B304" s="1" t="n">
        <v>45646.44805555556</v>
      </c>
      <c r="C304" s="1" t="n">
        <v>46136</v>
      </c>
      <c r="D304" t="inlineStr">
        <is>
          <t>GÄVLEBORGS LÄN</t>
        </is>
      </c>
      <c r="E304" t="inlineStr">
        <is>
          <t>NORDANSTIG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3548-2026</t>
        </is>
      </c>
      <c r="B305" s="1" t="n">
        <v>46042.64344907407</v>
      </c>
      <c r="C305" s="1" t="n">
        <v>46136</v>
      </c>
      <c r="D305" t="inlineStr">
        <is>
          <t>GÄVLEBORGS LÄN</t>
        </is>
      </c>
      <c r="E305" t="inlineStr">
        <is>
          <t>NORDANSTIG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3401-2026</t>
        </is>
      </c>
      <c r="B306" s="1" t="n">
        <v>46042.39015046296</v>
      </c>
      <c r="C306" s="1" t="n">
        <v>46136</v>
      </c>
      <c r="D306" t="inlineStr">
        <is>
          <t>GÄVLEBORGS LÄN</t>
        </is>
      </c>
      <c r="E306" t="inlineStr">
        <is>
          <t>NORDANSTIG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15973-2022</t>
        </is>
      </c>
      <c r="B307" s="1" t="n">
        <v>44664.94773148148</v>
      </c>
      <c r="C307" s="1" t="n">
        <v>46136</v>
      </c>
      <c r="D307" t="inlineStr">
        <is>
          <t>GÄVLEBORGS LÄN</t>
        </is>
      </c>
      <c r="E307" t="inlineStr">
        <is>
          <t>NORDANSTIG</t>
        </is>
      </c>
      <c r="F307" t="inlineStr">
        <is>
          <t>SCA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71442-2021</t>
        </is>
      </c>
      <c r="B308" s="1" t="n">
        <v>44540.45574074074</v>
      </c>
      <c r="C308" s="1" t="n">
        <v>46136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3053-2026</t>
        </is>
      </c>
      <c r="B309" s="1" t="n">
        <v>46039.34421296296</v>
      </c>
      <c r="C309" s="1" t="n">
        <v>46136</v>
      </c>
      <c r="D309" t="inlineStr">
        <is>
          <t>GÄVLEBORGS LÄN</t>
        </is>
      </c>
      <c r="E309" t="inlineStr">
        <is>
          <t>NORDANSTIG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3224-2026</t>
        </is>
      </c>
      <c r="B310" s="1" t="n">
        <v>46041</v>
      </c>
      <c r="C310" s="1" t="n">
        <v>46136</v>
      </c>
      <c r="D310" t="inlineStr">
        <is>
          <t>GÄVLEBORGS LÄN</t>
        </is>
      </c>
      <c r="E310" t="inlineStr">
        <is>
          <t>NORDANSTIG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3403-2026</t>
        </is>
      </c>
      <c r="B311" s="1" t="n">
        <v>46042.39686342593</v>
      </c>
      <c r="C311" s="1" t="n">
        <v>46136</v>
      </c>
      <c r="D311" t="inlineStr">
        <is>
          <t>GÄVLEBORGS LÄN</t>
        </is>
      </c>
      <c r="E311" t="inlineStr">
        <is>
          <t>NORDANSTIG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3387-2026</t>
        </is>
      </c>
      <c r="B312" s="1" t="n">
        <v>46042</v>
      </c>
      <c r="C312" s="1" t="n">
        <v>46136</v>
      </c>
      <c r="D312" t="inlineStr">
        <is>
          <t>GÄVLEBORGS LÄN</t>
        </is>
      </c>
      <c r="E312" t="inlineStr">
        <is>
          <t>NORDANSTIG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3232-2026</t>
        </is>
      </c>
      <c r="B313" s="1" t="n">
        <v>46041.5589699074</v>
      </c>
      <c r="C313" s="1" t="n">
        <v>46136</v>
      </c>
      <c r="D313" t="inlineStr">
        <is>
          <t>GÄVLEBORGS LÄN</t>
        </is>
      </c>
      <c r="E313" t="inlineStr">
        <is>
          <t>NORDANSTIG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39036-2025</t>
        </is>
      </c>
      <c r="B314" s="1" t="n">
        <v>45888.42379629629</v>
      </c>
      <c r="C314" s="1" t="n">
        <v>46136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60839-2023</t>
        </is>
      </c>
      <c r="B315" s="1" t="n">
        <v>45260.92565972222</v>
      </c>
      <c r="C315" s="1" t="n">
        <v>46136</v>
      </c>
      <c r="D315" t="inlineStr">
        <is>
          <t>GÄVLEBORGS LÄN</t>
        </is>
      </c>
      <c r="E315" t="inlineStr">
        <is>
          <t>NORDANSTIG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27447-2025</t>
        </is>
      </c>
      <c r="B316" s="1" t="n">
        <v>45813.32945601852</v>
      </c>
      <c r="C316" s="1" t="n">
        <v>46136</v>
      </c>
      <c r="D316" t="inlineStr">
        <is>
          <t>GÄVLEBORGS LÄN</t>
        </is>
      </c>
      <c r="E316" t="inlineStr">
        <is>
          <t>NORDANSTIG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3768-2026</t>
        </is>
      </c>
      <c r="B317" s="1" t="n">
        <v>46043</v>
      </c>
      <c r="C317" s="1" t="n">
        <v>46136</v>
      </c>
      <c r="D317" t="inlineStr">
        <is>
          <t>GÄVLEBORGS LÄN</t>
        </is>
      </c>
      <c r="E317" t="inlineStr">
        <is>
          <t>NORDANSTIG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3361-2026</t>
        </is>
      </c>
      <c r="B318" s="1" t="n">
        <v>46042</v>
      </c>
      <c r="C318" s="1" t="n">
        <v>46136</v>
      </c>
      <c r="D318" t="inlineStr">
        <is>
          <t>GÄVLEBORGS LÄN</t>
        </is>
      </c>
      <c r="E318" t="inlineStr">
        <is>
          <t>NORDANSTIG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3766-2026</t>
        </is>
      </c>
      <c r="B319" s="1" t="n">
        <v>46043.55819444444</v>
      </c>
      <c r="C319" s="1" t="n">
        <v>46136</v>
      </c>
      <c r="D319" t="inlineStr">
        <is>
          <t>GÄVLEBORGS LÄN</t>
        </is>
      </c>
      <c r="E319" t="inlineStr">
        <is>
          <t>NORDANSTIG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3771-2026</t>
        </is>
      </c>
      <c r="B320" s="1" t="n">
        <v>46043.5621875</v>
      </c>
      <c r="C320" s="1" t="n">
        <v>46136</v>
      </c>
      <c r="D320" t="inlineStr">
        <is>
          <t>GÄVLEBORGS LÄN</t>
        </is>
      </c>
      <c r="E320" t="inlineStr">
        <is>
          <t>NORDANSTIG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3360-2026</t>
        </is>
      </c>
      <c r="B321" s="1" t="n">
        <v>46042</v>
      </c>
      <c r="C321" s="1" t="n">
        <v>46136</v>
      </c>
      <c r="D321" t="inlineStr">
        <is>
          <t>GÄVLEBORGS LÄN</t>
        </is>
      </c>
      <c r="E321" t="inlineStr">
        <is>
          <t>NORDANSTIG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25273-2024</t>
        </is>
      </c>
      <c r="B322" s="1" t="n">
        <v>45462</v>
      </c>
      <c r="C322" s="1" t="n">
        <v>46136</v>
      </c>
      <c r="D322" t="inlineStr">
        <is>
          <t>GÄVLEBORGS LÄN</t>
        </is>
      </c>
      <c r="E322" t="inlineStr">
        <is>
          <t>NORDANSTIG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3762-2026</t>
        </is>
      </c>
      <c r="B323" s="1" t="n">
        <v>46043.55668981482</v>
      </c>
      <c r="C323" s="1" t="n">
        <v>46136</v>
      </c>
      <c r="D323" t="inlineStr">
        <is>
          <t>GÄVLEBORGS LÄN</t>
        </is>
      </c>
      <c r="E323" t="inlineStr">
        <is>
          <t>NORDANSTIG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411-2025</t>
        </is>
      </c>
      <c r="B324" s="1" t="n">
        <v>45663</v>
      </c>
      <c r="C324" s="1" t="n">
        <v>46136</v>
      </c>
      <c r="D324" t="inlineStr">
        <is>
          <t>GÄVLEBORGS LÄN</t>
        </is>
      </c>
      <c r="E324" t="inlineStr">
        <is>
          <t>NORDANSTIG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3747-2026</t>
        </is>
      </c>
      <c r="B325" s="1" t="n">
        <v>46043.54212962963</v>
      </c>
      <c r="C325" s="1" t="n">
        <v>46136</v>
      </c>
      <c r="D325" t="inlineStr">
        <is>
          <t>GÄVLEBORGS LÄN</t>
        </is>
      </c>
      <c r="E325" t="inlineStr">
        <is>
          <t>NORDANSTIG</t>
        </is>
      </c>
      <c r="G325" t="n">
        <v>24.7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3750-2026</t>
        </is>
      </c>
      <c r="B326" s="1" t="n">
        <v>46043.54959490741</v>
      </c>
      <c r="C326" s="1" t="n">
        <v>46136</v>
      </c>
      <c r="D326" t="inlineStr">
        <is>
          <t>GÄVLEBORGS LÄN</t>
        </is>
      </c>
      <c r="E326" t="inlineStr">
        <is>
          <t>NORDANSTIG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4003-2026</t>
        </is>
      </c>
      <c r="B327" s="1" t="n">
        <v>46044</v>
      </c>
      <c r="C327" s="1" t="n">
        <v>46136</v>
      </c>
      <c r="D327" t="inlineStr">
        <is>
          <t>GÄVLEBORGS LÄN</t>
        </is>
      </c>
      <c r="E327" t="inlineStr">
        <is>
          <t>NORDANSTIG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4016-2026</t>
        </is>
      </c>
      <c r="B328" s="1" t="n">
        <v>46044.42278935185</v>
      </c>
      <c r="C328" s="1" t="n">
        <v>46136</v>
      </c>
      <c r="D328" t="inlineStr">
        <is>
          <t>GÄVLEBORGS LÄN</t>
        </is>
      </c>
      <c r="E328" t="inlineStr">
        <is>
          <t>NORDANSTIG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3828-2026</t>
        </is>
      </c>
      <c r="B329" s="1" t="n">
        <v>46043.58690972222</v>
      </c>
      <c r="C329" s="1" t="n">
        <v>46136</v>
      </c>
      <c r="D329" t="inlineStr">
        <is>
          <t>GÄVLEBORGS LÄN</t>
        </is>
      </c>
      <c r="E329" t="inlineStr">
        <is>
          <t>NORDANSTIG</t>
        </is>
      </c>
      <c r="G329" t="n">
        <v>11.3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3764-2026</t>
        </is>
      </c>
      <c r="B330" s="1" t="n">
        <v>46043</v>
      </c>
      <c r="C330" s="1" t="n">
        <v>46136</v>
      </c>
      <c r="D330" t="inlineStr">
        <is>
          <t>GÄVLEBORGS LÄN</t>
        </is>
      </c>
      <c r="E330" t="inlineStr">
        <is>
          <t>NORDANSTIG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4111-2026</t>
        </is>
      </c>
      <c r="B331" s="1" t="n">
        <v>46044.59664351852</v>
      </c>
      <c r="C331" s="1" t="n">
        <v>46136</v>
      </c>
      <c r="D331" t="inlineStr">
        <is>
          <t>GÄVLEBORGS LÄN</t>
        </is>
      </c>
      <c r="E331" t="inlineStr">
        <is>
          <t>NORDANSTIG</t>
        </is>
      </c>
      <c r="G331" t="n">
        <v>15.3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3760-2026</t>
        </is>
      </c>
      <c r="B332" s="1" t="n">
        <v>46043.5546412037</v>
      </c>
      <c r="C332" s="1" t="n">
        <v>46136</v>
      </c>
      <c r="D332" t="inlineStr">
        <is>
          <t>GÄVLEBORGS LÄN</t>
        </is>
      </c>
      <c r="E332" t="inlineStr">
        <is>
          <t>NORDANSTIG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3819-2026</t>
        </is>
      </c>
      <c r="B333" s="1" t="n">
        <v>46043.58519675926</v>
      </c>
      <c r="C333" s="1" t="n">
        <v>46136</v>
      </c>
      <c r="D333" t="inlineStr">
        <is>
          <t>GÄVLEBORGS LÄN</t>
        </is>
      </c>
      <c r="E333" t="inlineStr">
        <is>
          <t>NORDANSTIG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3820-2026</t>
        </is>
      </c>
      <c r="B334" s="1" t="n">
        <v>46043.58523148148</v>
      </c>
      <c r="C334" s="1" t="n">
        <v>46136</v>
      </c>
      <c r="D334" t="inlineStr">
        <is>
          <t>GÄVLEBORGS LÄN</t>
        </is>
      </c>
      <c r="E334" t="inlineStr">
        <is>
          <t>NORDANSTIG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15622-2025</t>
        </is>
      </c>
      <c r="B335" s="1" t="n">
        <v>45748.35768518518</v>
      </c>
      <c r="C335" s="1" t="n">
        <v>46136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3843-2026</t>
        </is>
      </c>
      <c r="B336" s="1" t="n">
        <v>46043.60003472222</v>
      </c>
      <c r="C336" s="1" t="n">
        <v>46136</v>
      </c>
      <c r="D336" t="inlineStr">
        <is>
          <t>GÄVLEBORGS LÄN</t>
        </is>
      </c>
      <c r="E336" t="inlineStr">
        <is>
          <t>NORDANSTIG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3818-2026</t>
        </is>
      </c>
      <c r="B337" s="1" t="n">
        <v>46043.58498842592</v>
      </c>
      <c r="C337" s="1" t="n">
        <v>46136</v>
      </c>
      <c r="D337" t="inlineStr">
        <is>
          <t>GÄVLEBORGS LÄN</t>
        </is>
      </c>
      <c r="E337" t="inlineStr">
        <is>
          <t>NORDANSTIG</t>
        </is>
      </c>
      <c r="G337" t="n">
        <v>12.3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  <c r="U337">
        <f>HYPERLINK("https://klasma.github.io/Logging_2132/knärot/A 3818-2026 karta knärot.png", "A 3818-2026")</f>
        <v/>
      </c>
      <c r="V337">
        <f>HYPERLINK("https://klasma.github.io/Logging_2132/klagomål/A 3818-2026 FSC-klagomål.docx", "A 3818-2026")</f>
        <v/>
      </c>
      <c r="W337">
        <f>HYPERLINK("https://klasma.github.io/Logging_2132/klagomålsmail/A 3818-2026 FSC-klagomål mail.docx", "A 3818-2026")</f>
        <v/>
      </c>
      <c r="X337">
        <f>HYPERLINK("https://klasma.github.io/Logging_2132/tillsyn/A 3818-2026 tillsynsbegäran.docx", "A 3818-2026")</f>
        <v/>
      </c>
      <c r="Y337">
        <f>HYPERLINK("https://klasma.github.io/Logging_2132/tillsynsmail/A 3818-2026 tillsynsbegäran mail.docx", "A 3818-2026")</f>
        <v/>
      </c>
    </row>
    <row r="338" ht="15" customHeight="1">
      <c r="A338" t="inlineStr">
        <is>
          <t>A 3790-2026</t>
        </is>
      </c>
      <c r="B338" s="1" t="n">
        <v>46043.5737962963</v>
      </c>
      <c r="C338" s="1" t="n">
        <v>46136</v>
      </c>
      <c r="D338" t="inlineStr">
        <is>
          <t>GÄVLEBORGS LÄN</t>
        </is>
      </c>
      <c r="E338" t="inlineStr">
        <is>
          <t>NORDANSTIG</t>
        </is>
      </c>
      <c r="G338" t="n">
        <v>10.1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45550-2024</t>
        </is>
      </c>
      <c r="B339" s="1" t="n">
        <v>45579</v>
      </c>
      <c r="C339" s="1" t="n">
        <v>46136</v>
      </c>
      <c r="D339" t="inlineStr">
        <is>
          <t>GÄVLEBORGS LÄN</t>
        </is>
      </c>
      <c r="E339" t="inlineStr">
        <is>
          <t>NORDANSTIG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3852-2026</t>
        </is>
      </c>
      <c r="B340" s="1" t="n">
        <v>46043.60782407408</v>
      </c>
      <c r="C340" s="1" t="n">
        <v>46136</v>
      </c>
      <c r="D340" t="inlineStr">
        <is>
          <t>GÄVLEBORGS LÄN</t>
        </is>
      </c>
      <c r="E340" t="inlineStr">
        <is>
          <t>NORDANSTIG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12143-2026</t>
        </is>
      </c>
      <c r="B341" s="1" t="n">
        <v>46086.57556712963</v>
      </c>
      <c r="C341" s="1" t="n">
        <v>46136</v>
      </c>
      <c r="D341" t="inlineStr">
        <is>
          <t>GÄVLEBORGS LÄN</t>
        </is>
      </c>
      <c r="E341" t="inlineStr">
        <is>
          <t>NORDANSTIG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4033-2026</t>
        </is>
      </c>
      <c r="B342" s="1" t="n">
        <v>46044.44666666666</v>
      </c>
      <c r="C342" s="1" t="n">
        <v>46136</v>
      </c>
      <c r="D342" t="inlineStr">
        <is>
          <t>GÄVLEBORGS LÄN</t>
        </is>
      </c>
      <c r="E342" t="inlineStr">
        <is>
          <t>NORDANSTIG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4106-2026</t>
        </is>
      </c>
      <c r="B343" s="1" t="n">
        <v>46044.59297453704</v>
      </c>
      <c r="C343" s="1" t="n">
        <v>46136</v>
      </c>
      <c r="D343" t="inlineStr">
        <is>
          <t>GÄVLEBORGS LÄN</t>
        </is>
      </c>
      <c r="E343" t="inlineStr">
        <is>
          <t>NORDANSTIG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4034-2026</t>
        </is>
      </c>
      <c r="B344" s="1" t="n">
        <v>46044.44841435185</v>
      </c>
      <c r="C344" s="1" t="n">
        <v>46136</v>
      </c>
      <c r="D344" t="inlineStr">
        <is>
          <t>GÄVLEBORGS LÄN</t>
        </is>
      </c>
      <c r="E344" t="inlineStr">
        <is>
          <t>NORDANSTIG</t>
        </is>
      </c>
      <c r="G344" t="n">
        <v>9.4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3740-2026</t>
        </is>
      </c>
      <c r="B345" s="1" t="n">
        <v>46043.53222222222</v>
      </c>
      <c r="C345" s="1" t="n">
        <v>46136</v>
      </c>
      <c r="D345" t="inlineStr">
        <is>
          <t>GÄVLEBORGS LÄN</t>
        </is>
      </c>
      <c r="E345" t="inlineStr">
        <is>
          <t>NORDANSTIG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3745-2026</t>
        </is>
      </c>
      <c r="B346" s="1" t="n">
        <v>46043.53938657408</v>
      </c>
      <c r="C346" s="1" t="n">
        <v>46136</v>
      </c>
      <c r="D346" t="inlineStr">
        <is>
          <t>GÄVLEBORGS LÄN</t>
        </is>
      </c>
      <c r="E346" t="inlineStr">
        <is>
          <t>NORDANSTIG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3730-2026</t>
        </is>
      </c>
      <c r="B347" s="1" t="n">
        <v>46043.50856481482</v>
      </c>
      <c r="C347" s="1" t="n">
        <v>46136</v>
      </c>
      <c r="D347" t="inlineStr">
        <is>
          <t>GÄVLEBORGS LÄN</t>
        </is>
      </c>
      <c r="E347" t="inlineStr">
        <is>
          <t>NORDANSTIG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3736-2026</t>
        </is>
      </c>
      <c r="B348" s="1" t="n">
        <v>46043.52200231481</v>
      </c>
      <c r="C348" s="1" t="n">
        <v>46136</v>
      </c>
      <c r="D348" t="inlineStr">
        <is>
          <t>GÄVLEBORGS LÄN</t>
        </is>
      </c>
      <c r="E348" t="inlineStr">
        <is>
          <t>NORDANSTIG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3848-2026</t>
        </is>
      </c>
      <c r="B349" s="1" t="n">
        <v>46043.60334490741</v>
      </c>
      <c r="C349" s="1" t="n">
        <v>46136</v>
      </c>
      <c r="D349" t="inlineStr">
        <is>
          <t>GÄVLEBORGS LÄN</t>
        </is>
      </c>
      <c r="E349" t="inlineStr">
        <is>
          <t>NORDANSTIG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4128-2026</t>
        </is>
      </c>
      <c r="B350" s="1" t="n">
        <v>46044.61716435185</v>
      </c>
      <c r="C350" s="1" t="n">
        <v>46136</v>
      </c>
      <c r="D350" t="inlineStr">
        <is>
          <t>GÄVLEBORGS LÄN</t>
        </is>
      </c>
      <c r="E350" t="inlineStr">
        <is>
          <t>NORDANSTIG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1873-2025</t>
        </is>
      </c>
      <c r="B351" s="1" t="n">
        <v>45671.61848379629</v>
      </c>
      <c r="C351" s="1" t="n">
        <v>46136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9.199999999999999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27894-2025</t>
        </is>
      </c>
      <c r="B352" s="1" t="n">
        <v>45817.4644212963</v>
      </c>
      <c r="C352" s="1" t="n">
        <v>46136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8.6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28241-2025</t>
        </is>
      </c>
      <c r="B353" s="1" t="n">
        <v>45818.50731481481</v>
      </c>
      <c r="C353" s="1" t="n">
        <v>46136</v>
      </c>
      <c r="D353" t="inlineStr">
        <is>
          <t>GÄVLEBORGS LÄN</t>
        </is>
      </c>
      <c r="E353" t="inlineStr">
        <is>
          <t>NORDANSTIG</t>
        </is>
      </c>
      <c r="G353" t="n">
        <v>9.800000000000001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28245-2025</t>
        </is>
      </c>
      <c r="B354" s="1" t="n">
        <v>45818.51226851852</v>
      </c>
      <c r="C354" s="1" t="n">
        <v>46136</v>
      </c>
      <c r="D354" t="inlineStr">
        <is>
          <t>GÄVLEBORGS LÄN</t>
        </is>
      </c>
      <c r="E354" t="inlineStr">
        <is>
          <t>NORDANSTIG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4777-2026</t>
        </is>
      </c>
      <c r="B355" s="1" t="n">
        <v>46048.55152777778</v>
      </c>
      <c r="C355" s="1" t="n">
        <v>46136</v>
      </c>
      <c r="D355" t="inlineStr">
        <is>
          <t>GÄVLEBORGS LÄN</t>
        </is>
      </c>
      <c r="E355" t="inlineStr">
        <is>
          <t>NORDANSTIG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4556-2025</t>
        </is>
      </c>
      <c r="B356" s="1" t="n">
        <v>45687.44737268519</v>
      </c>
      <c r="C356" s="1" t="n">
        <v>46136</v>
      </c>
      <c r="D356" t="inlineStr">
        <is>
          <t>GÄVLEBORGS LÄN</t>
        </is>
      </c>
      <c r="E356" t="inlineStr">
        <is>
          <t>NORDANSTIG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4794-2026</t>
        </is>
      </c>
      <c r="B357" s="1" t="n">
        <v>46048.56616898148</v>
      </c>
      <c r="C357" s="1" t="n">
        <v>46136</v>
      </c>
      <c r="D357" t="inlineStr">
        <is>
          <t>GÄVLEBORGS LÄN</t>
        </is>
      </c>
      <c r="E357" t="inlineStr">
        <is>
          <t>NORDANSTIG</t>
        </is>
      </c>
      <c r="G357" t="n">
        <v>15.3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27841-2025</t>
        </is>
      </c>
      <c r="B358" s="1" t="n">
        <v>45817.37618055556</v>
      </c>
      <c r="C358" s="1" t="n">
        <v>46136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14.2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4779-2026</t>
        </is>
      </c>
      <c r="B359" s="1" t="n">
        <v>46048.55493055555</v>
      </c>
      <c r="C359" s="1" t="n">
        <v>46136</v>
      </c>
      <c r="D359" t="inlineStr">
        <is>
          <t>GÄVLEBORGS LÄN</t>
        </is>
      </c>
      <c r="E359" t="inlineStr">
        <is>
          <t>NORDANSTIG</t>
        </is>
      </c>
      <c r="G359" t="n">
        <v>8.199999999999999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4786-2026</t>
        </is>
      </c>
      <c r="B360" s="1" t="n">
        <v>46048.55969907407</v>
      </c>
      <c r="C360" s="1" t="n">
        <v>46136</v>
      </c>
      <c r="D360" t="inlineStr">
        <is>
          <t>GÄVLEBORGS LÄN</t>
        </is>
      </c>
      <c r="E360" t="inlineStr">
        <is>
          <t>NORDANSTIG</t>
        </is>
      </c>
      <c r="G360" t="n">
        <v>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1198-2026</t>
        </is>
      </c>
      <c r="B361" s="1" t="n">
        <v>46031.37184027778</v>
      </c>
      <c r="C361" s="1" t="n">
        <v>46136</v>
      </c>
      <c r="D361" t="inlineStr">
        <is>
          <t>GÄVLEBORGS LÄN</t>
        </is>
      </c>
      <c r="E361" t="inlineStr">
        <is>
          <t>NORDANSTIG</t>
        </is>
      </c>
      <c r="G361" t="n">
        <v>10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4370-2026</t>
        </is>
      </c>
      <c r="B362" s="1" t="n">
        <v>46045.54849537037</v>
      </c>
      <c r="C362" s="1" t="n">
        <v>46136</v>
      </c>
      <c r="D362" t="inlineStr">
        <is>
          <t>GÄVLEBORGS LÄN</t>
        </is>
      </c>
      <c r="E362" t="inlineStr">
        <is>
          <t>NORDANSTIG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4772-2026</t>
        </is>
      </c>
      <c r="B363" s="1" t="n">
        <v>46048.54679398148</v>
      </c>
      <c r="C363" s="1" t="n">
        <v>46136</v>
      </c>
      <c r="D363" t="inlineStr">
        <is>
          <t>GÄVLEBORGS LÄN</t>
        </is>
      </c>
      <c r="E363" t="inlineStr">
        <is>
          <t>NORDANSTIG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27804-2025</t>
        </is>
      </c>
      <c r="B364" s="1" t="n">
        <v>45817.29372685185</v>
      </c>
      <c r="C364" s="1" t="n">
        <v>46136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28244-2025</t>
        </is>
      </c>
      <c r="B365" s="1" t="n">
        <v>45818.51094907407</v>
      </c>
      <c r="C365" s="1" t="n">
        <v>46136</v>
      </c>
      <c r="D365" t="inlineStr">
        <is>
          <t>GÄVLEBORGS LÄN</t>
        </is>
      </c>
      <c r="E365" t="inlineStr">
        <is>
          <t>NORDANSTIG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4399-2026</t>
        </is>
      </c>
      <c r="B366" s="1" t="n">
        <v>46045</v>
      </c>
      <c r="C366" s="1" t="n">
        <v>46136</v>
      </c>
      <c r="D366" t="inlineStr">
        <is>
          <t>GÄVLEBORGS LÄN</t>
        </is>
      </c>
      <c r="E366" t="inlineStr">
        <is>
          <t>NORDANSTIG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41608-2024</t>
        </is>
      </c>
      <c r="B367" s="1" t="n">
        <v>45560</v>
      </c>
      <c r="C367" s="1" t="n">
        <v>46136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4630-2026</t>
        </is>
      </c>
      <c r="B368" s="1" t="n">
        <v>46048</v>
      </c>
      <c r="C368" s="1" t="n">
        <v>46136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4695-2026</t>
        </is>
      </c>
      <c r="B369" s="1" t="n">
        <v>46048.44825231482</v>
      </c>
      <c r="C369" s="1" t="n">
        <v>46136</v>
      </c>
      <c r="D369" t="inlineStr">
        <is>
          <t>GÄVLEBORGS LÄN</t>
        </is>
      </c>
      <c r="E369" t="inlineStr">
        <is>
          <t>NORDANSTIG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16515-2023</t>
        </is>
      </c>
      <c r="B370" s="1" t="n">
        <v>45029.65342592593</v>
      </c>
      <c r="C370" s="1" t="n">
        <v>46136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15312-2022</t>
        </is>
      </c>
      <c r="B371" s="1" t="n">
        <v>44659.47033564815</v>
      </c>
      <c r="C371" s="1" t="n">
        <v>46136</v>
      </c>
      <c r="D371" t="inlineStr">
        <is>
          <t>GÄVLEBORGS LÄN</t>
        </is>
      </c>
      <c r="E371" t="inlineStr">
        <is>
          <t>NORDANSTIG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31571-2024</t>
        </is>
      </c>
      <c r="B372" s="1" t="n">
        <v>45506.3241087963</v>
      </c>
      <c r="C372" s="1" t="n">
        <v>46136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4584-2026</t>
        </is>
      </c>
      <c r="B373" s="1" t="n">
        <v>46048</v>
      </c>
      <c r="C373" s="1" t="n">
        <v>46136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8968-2026</t>
        </is>
      </c>
      <c r="B374" s="1" t="n">
        <v>46069</v>
      </c>
      <c r="C374" s="1" t="n">
        <v>46136</v>
      </c>
      <c r="D374" t="inlineStr">
        <is>
          <t>GÄVLEBORGS LÄN</t>
        </is>
      </c>
      <c r="E374" t="inlineStr">
        <is>
          <t>NORDANSTIG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4384-2026</t>
        </is>
      </c>
      <c r="B375" s="1" t="n">
        <v>46045</v>
      </c>
      <c r="C375" s="1" t="n">
        <v>46136</v>
      </c>
      <c r="D375" t="inlineStr">
        <is>
          <t>GÄVLEBORGS LÄN</t>
        </is>
      </c>
      <c r="E375" t="inlineStr">
        <is>
          <t>NORDANSTIG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59128-2024</t>
        </is>
      </c>
      <c r="B376" s="1" t="n">
        <v>45637</v>
      </c>
      <c r="C376" s="1" t="n">
        <v>46136</v>
      </c>
      <c r="D376" t="inlineStr">
        <is>
          <t>GÄVLEBORGS LÄN</t>
        </is>
      </c>
      <c r="E376" t="inlineStr">
        <is>
          <t>NORDANSTIG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4302-2026</t>
        </is>
      </c>
      <c r="B377" s="1" t="n">
        <v>46045.42726851852</v>
      </c>
      <c r="C377" s="1" t="n">
        <v>46136</v>
      </c>
      <c r="D377" t="inlineStr">
        <is>
          <t>GÄVLEBORGS LÄN</t>
        </is>
      </c>
      <c r="E377" t="inlineStr">
        <is>
          <t>NORDANSTIG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5422-2026</t>
        </is>
      </c>
      <c r="B378" s="1" t="n">
        <v>46050.54231481482</v>
      </c>
      <c r="C378" s="1" t="n">
        <v>46136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23.8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19364-2022</t>
        </is>
      </c>
      <c r="B379" s="1" t="n">
        <v>44692</v>
      </c>
      <c r="C379" s="1" t="n">
        <v>46136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44377-2024</t>
        </is>
      </c>
      <c r="B380" s="1" t="n">
        <v>45573.66002314815</v>
      </c>
      <c r="C380" s="1" t="n">
        <v>46136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29261-2025</t>
        </is>
      </c>
      <c r="B381" s="1" t="n">
        <v>45824</v>
      </c>
      <c r="C381" s="1" t="n">
        <v>46136</v>
      </c>
      <c r="D381" t="inlineStr">
        <is>
          <t>GÄVLEBORGS LÄN</t>
        </is>
      </c>
      <c r="E381" t="inlineStr">
        <is>
          <t>NORDANSTIG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5459-2026</t>
        </is>
      </c>
      <c r="B382" s="1" t="n">
        <v>46050</v>
      </c>
      <c r="C382" s="1" t="n">
        <v>46136</v>
      </c>
      <c r="D382" t="inlineStr">
        <is>
          <t>GÄVLEBORGS LÄN</t>
        </is>
      </c>
      <c r="E382" t="inlineStr">
        <is>
          <t>NORDANSTIG</t>
        </is>
      </c>
      <c r="G382" t="n">
        <v>6.3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5315-2026</t>
        </is>
      </c>
      <c r="B383" s="1" t="n">
        <v>46050.37143518519</v>
      </c>
      <c r="C383" s="1" t="n">
        <v>46136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31723-2024</t>
        </is>
      </c>
      <c r="B384" s="1" t="n">
        <v>45509.32942129629</v>
      </c>
      <c r="C384" s="1" t="n">
        <v>46136</v>
      </c>
      <c r="D384" t="inlineStr">
        <is>
          <t>GÄVLEBORGS LÄN</t>
        </is>
      </c>
      <c r="E384" t="inlineStr">
        <is>
          <t>NORDANSTIG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5456-2026</t>
        </is>
      </c>
      <c r="B385" s="1" t="n">
        <v>46050.58849537037</v>
      </c>
      <c r="C385" s="1" t="n">
        <v>46136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29275-2025</t>
        </is>
      </c>
      <c r="B386" s="1" t="n">
        <v>45824.41685185185</v>
      </c>
      <c r="C386" s="1" t="n">
        <v>46136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40641-2024</t>
        </is>
      </c>
      <c r="B387" s="1" t="n">
        <v>45558.30701388889</v>
      </c>
      <c r="C387" s="1" t="n">
        <v>46136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15.7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29401-2025</t>
        </is>
      </c>
      <c r="B388" s="1" t="n">
        <v>45824.61436342593</v>
      </c>
      <c r="C388" s="1" t="n">
        <v>46136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5752-2026</t>
        </is>
      </c>
      <c r="B389" s="1" t="n">
        <v>46051.6024537037</v>
      </c>
      <c r="C389" s="1" t="n">
        <v>46136</v>
      </c>
      <c r="D389" t="inlineStr">
        <is>
          <t>GÄVLEBORGS LÄN</t>
        </is>
      </c>
      <c r="E389" t="inlineStr">
        <is>
          <t>NORDANSTIG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5947-2026</t>
        </is>
      </c>
      <c r="B390" s="1" t="n">
        <v>46052.48837962963</v>
      </c>
      <c r="C390" s="1" t="n">
        <v>46136</v>
      </c>
      <c r="D390" t="inlineStr">
        <is>
          <t>GÄVLEBORGS LÄN</t>
        </is>
      </c>
      <c r="E390" t="inlineStr">
        <is>
          <t>NORDANSTIG</t>
        </is>
      </c>
      <c r="G390" t="n">
        <v>10.2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5606-2026</t>
        </is>
      </c>
      <c r="B391" s="1" t="n">
        <v>46051.35390046296</v>
      </c>
      <c r="C391" s="1" t="n">
        <v>46136</v>
      </c>
      <c r="D391" t="inlineStr">
        <is>
          <t>GÄVLEBORGS LÄN</t>
        </is>
      </c>
      <c r="E391" t="inlineStr">
        <is>
          <t>NORDANSTIG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5598-2026</t>
        </is>
      </c>
      <c r="B392" s="1" t="n">
        <v>46051.33688657408</v>
      </c>
      <c r="C392" s="1" t="n">
        <v>46136</v>
      </c>
      <c r="D392" t="inlineStr">
        <is>
          <t>GÄVLEBORGS LÄN</t>
        </is>
      </c>
      <c r="E392" t="inlineStr">
        <is>
          <t>NORDANSTIG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5600-2026</t>
        </is>
      </c>
      <c r="B393" s="1" t="n">
        <v>46051</v>
      </c>
      <c r="C393" s="1" t="n">
        <v>46136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5603-2026</t>
        </is>
      </c>
      <c r="B394" s="1" t="n">
        <v>46051.34704861111</v>
      </c>
      <c r="C394" s="1" t="n">
        <v>46136</v>
      </c>
      <c r="D394" t="inlineStr">
        <is>
          <t>GÄVLEBORGS LÄN</t>
        </is>
      </c>
      <c r="E394" t="inlineStr">
        <is>
          <t>NORDANSTIG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7013-2023</t>
        </is>
      </c>
      <c r="B395" s="1" t="n">
        <v>44967.96155092592</v>
      </c>
      <c r="C395" s="1" t="n">
        <v>46136</v>
      </c>
      <c r="D395" t="inlineStr">
        <is>
          <t>GÄVLEBORGS LÄN</t>
        </is>
      </c>
      <c r="E395" t="inlineStr">
        <is>
          <t>NORDANSTIG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7014-2023</t>
        </is>
      </c>
      <c r="B396" s="1" t="n">
        <v>44967.968125</v>
      </c>
      <c r="C396" s="1" t="n">
        <v>46136</v>
      </c>
      <c r="D396" t="inlineStr">
        <is>
          <t>GÄVLEBORGS LÄN</t>
        </is>
      </c>
      <c r="E396" t="inlineStr">
        <is>
          <t>NORDANSTIG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29878-2025</t>
        </is>
      </c>
      <c r="B397" s="1" t="n">
        <v>45826.3631712963</v>
      </c>
      <c r="C397" s="1" t="n">
        <v>46136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5594-2026</t>
        </is>
      </c>
      <c r="B398" s="1" t="n">
        <v>46051.3309375</v>
      </c>
      <c r="C398" s="1" t="n">
        <v>46136</v>
      </c>
      <c r="D398" t="inlineStr">
        <is>
          <t>GÄVLEBORGS LÄN</t>
        </is>
      </c>
      <c r="E398" t="inlineStr">
        <is>
          <t>NORDANSTIG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5608-2026</t>
        </is>
      </c>
      <c r="B399" s="1" t="n">
        <v>46051.35716435185</v>
      </c>
      <c r="C399" s="1" t="n">
        <v>46136</v>
      </c>
      <c r="D399" t="inlineStr">
        <is>
          <t>GÄVLEBORGS LÄN</t>
        </is>
      </c>
      <c r="E399" t="inlineStr">
        <is>
          <t>NORDANSTIG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13159-2026</t>
        </is>
      </c>
      <c r="B400" s="1" t="n">
        <v>46093.54652777778</v>
      </c>
      <c r="C400" s="1" t="n">
        <v>46136</v>
      </c>
      <c r="D400" t="inlineStr">
        <is>
          <t>GÄVLEBORGS LÄN</t>
        </is>
      </c>
      <c r="E400" t="inlineStr">
        <is>
          <t>NORDANSTIG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5726-2026</t>
        </is>
      </c>
      <c r="B401" s="1" t="n">
        <v>46051</v>
      </c>
      <c r="C401" s="1" t="n">
        <v>46136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30022-2025</t>
        </is>
      </c>
      <c r="B402" s="1" t="n">
        <v>45826.5583449074</v>
      </c>
      <c r="C402" s="1" t="n">
        <v>46136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2592-2023</t>
        </is>
      </c>
      <c r="B403" s="1" t="n">
        <v>44943.92533564815</v>
      </c>
      <c r="C403" s="1" t="n">
        <v>46136</v>
      </c>
      <c r="D403" t="inlineStr">
        <is>
          <t>GÄVLEBORGS LÄN</t>
        </is>
      </c>
      <c r="E403" t="inlineStr">
        <is>
          <t>NORDANSTIG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61141-2022</t>
        </is>
      </c>
      <c r="B404" s="1" t="n">
        <v>44915.45592592593</v>
      </c>
      <c r="C404" s="1" t="n">
        <v>46136</v>
      </c>
      <c r="D404" t="inlineStr">
        <is>
          <t>GÄVLEBORGS LÄN</t>
        </is>
      </c>
      <c r="E404" t="inlineStr">
        <is>
          <t>NORDANSTIG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5746-2026</t>
        </is>
      </c>
      <c r="B405" s="1" t="n">
        <v>46051.59462962963</v>
      </c>
      <c r="C405" s="1" t="n">
        <v>46136</v>
      </c>
      <c r="D405" t="inlineStr">
        <is>
          <t>GÄVLEBORGS LÄN</t>
        </is>
      </c>
      <c r="E405" t="inlineStr">
        <is>
          <t>NORDANSTIG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13074-2026</t>
        </is>
      </c>
      <c r="B406" s="1" t="n">
        <v>46093.37635416666</v>
      </c>
      <c r="C406" s="1" t="n">
        <v>46136</v>
      </c>
      <c r="D406" t="inlineStr">
        <is>
          <t>GÄVLEBORGS LÄN</t>
        </is>
      </c>
      <c r="E406" t="inlineStr">
        <is>
          <t>NORDANSTIG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5745-2026</t>
        </is>
      </c>
      <c r="B407" s="1" t="n">
        <v>46051.59461805555</v>
      </c>
      <c r="C407" s="1" t="n">
        <v>46136</v>
      </c>
      <c r="D407" t="inlineStr">
        <is>
          <t>GÄVLEBORGS LÄN</t>
        </is>
      </c>
      <c r="E407" t="inlineStr">
        <is>
          <t>NORDANSTIG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1219-2026</t>
        </is>
      </c>
      <c r="B408" s="1" t="n">
        <v>46031.40113425926</v>
      </c>
      <c r="C408" s="1" t="n">
        <v>46136</v>
      </c>
      <c r="D408" t="inlineStr">
        <is>
          <t>GÄVLEBORGS LÄN</t>
        </is>
      </c>
      <c r="E408" t="inlineStr">
        <is>
          <t>NORDANSTIG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2408-2026</t>
        </is>
      </c>
      <c r="B409" s="1" t="n">
        <v>46036.71938657408</v>
      </c>
      <c r="C409" s="1" t="n">
        <v>46136</v>
      </c>
      <c r="D409" t="inlineStr">
        <is>
          <t>GÄVLEBORGS LÄN</t>
        </is>
      </c>
      <c r="E409" t="inlineStr">
        <is>
          <t>NORDANSTIG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5685-2026</t>
        </is>
      </c>
      <c r="B410" s="1" t="n">
        <v>46051</v>
      </c>
      <c r="C410" s="1" t="n">
        <v>46136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34869-2024</t>
        </is>
      </c>
      <c r="B411" s="1" t="n">
        <v>45527.34570601852</v>
      </c>
      <c r="C411" s="1" t="n">
        <v>46136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11434-2024</t>
        </is>
      </c>
      <c r="B412" s="1" t="n">
        <v>45372.51966435185</v>
      </c>
      <c r="C412" s="1" t="n">
        <v>46136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29741-2025</t>
        </is>
      </c>
      <c r="B413" s="1" t="n">
        <v>45825.59167824074</v>
      </c>
      <c r="C413" s="1" t="n">
        <v>46136</v>
      </c>
      <c r="D413" t="inlineStr">
        <is>
          <t>GÄVLEBORGS LÄN</t>
        </is>
      </c>
      <c r="E413" t="inlineStr">
        <is>
          <t>NORDANSTIG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6652-2026</t>
        </is>
      </c>
      <c r="B414" s="1" t="n">
        <v>46056</v>
      </c>
      <c r="C414" s="1" t="n">
        <v>46136</v>
      </c>
      <c r="D414" t="inlineStr">
        <is>
          <t>GÄVLEBORGS LÄN</t>
        </is>
      </c>
      <c r="E414" t="inlineStr">
        <is>
          <t>NORDANSTIG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30448-2025</t>
        </is>
      </c>
      <c r="B415" s="1" t="n">
        <v>45827.65844907407</v>
      </c>
      <c r="C415" s="1" t="n">
        <v>46136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7.7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36250-2024</t>
        </is>
      </c>
      <c r="B416" s="1" t="n">
        <v>45534</v>
      </c>
      <c r="C416" s="1" t="n">
        <v>46136</v>
      </c>
      <c r="D416" t="inlineStr">
        <is>
          <t>GÄVLEBORGS LÄN</t>
        </is>
      </c>
      <c r="E416" t="inlineStr">
        <is>
          <t>NORDANSTIG</t>
        </is>
      </c>
      <c r="F416" t="inlineStr">
        <is>
          <t>Holmen skog AB</t>
        </is>
      </c>
      <c r="G416" t="n">
        <v>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59409-2023</t>
        </is>
      </c>
      <c r="B417" s="1" t="n">
        <v>45253</v>
      </c>
      <c r="C417" s="1" t="n">
        <v>46136</v>
      </c>
      <c r="D417" t="inlineStr">
        <is>
          <t>GÄVLEBORGS LÄN</t>
        </is>
      </c>
      <c r="E417" t="inlineStr">
        <is>
          <t>NORDANSTIG</t>
        </is>
      </c>
      <c r="G417" t="n">
        <v>12.5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30400-2025</t>
        </is>
      </c>
      <c r="B418" s="1" t="n">
        <v>45827.58907407407</v>
      </c>
      <c r="C418" s="1" t="n">
        <v>46136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30445-2025</t>
        </is>
      </c>
      <c r="B419" s="1" t="n">
        <v>45827.64987268519</v>
      </c>
      <c r="C419" s="1" t="n">
        <v>46136</v>
      </c>
      <c r="D419" t="inlineStr">
        <is>
          <t>GÄVLEBORGS LÄN</t>
        </is>
      </c>
      <c r="E419" t="inlineStr">
        <is>
          <t>NORDANSTIG</t>
        </is>
      </c>
      <c r="F419" t="inlineStr">
        <is>
          <t>Holmen skog AB</t>
        </is>
      </c>
      <c r="G419" t="n">
        <v>7.8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4414-2022</t>
        </is>
      </c>
      <c r="B420" s="1" t="n">
        <v>44589</v>
      </c>
      <c r="C420" s="1" t="n">
        <v>46136</v>
      </c>
      <c r="D420" t="inlineStr">
        <is>
          <t>GÄVLEBORGS LÄN</t>
        </is>
      </c>
      <c r="E420" t="inlineStr">
        <is>
          <t>NORDANSTIG</t>
        </is>
      </c>
      <c r="G420" t="n">
        <v>12.6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38990-2025</t>
        </is>
      </c>
      <c r="B421" s="1" t="n">
        <v>45888.32341435185</v>
      </c>
      <c r="C421" s="1" t="n">
        <v>46136</v>
      </c>
      <c r="D421" t="inlineStr">
        <is>
          <t>GÄVLEBORGS LÄN</t>
        </is>
      </c>
      <c r="E421" t="inlineStr">
        <is>
          <t>NORDANSTIG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13826-2026</t>
        </is>
      </c>
      <c r="B422" s="1" t="n">
        <v>46098.34510416666</v>
      </c>
      <c r="C422" s="1" t="n">
        <v>46136</v>
      </c>
      <c r="D422" t="inlineStr">
        <is>
          <t>GÄVLEBORGS LÄN</t>
        </is>
      </c>
      <c r="E422" t="inlineStr">
        <is>
          <t>NORDANSTIG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30291-2025</t>
        </is>
      </c>
      <c r="B423" s="1" t="n">
        <v>45827.47054398148</v>
      </c>
      <c r="C423" s="1" t="n">
        <v>46136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11.2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6118-2026</t>
        </is>
      </c>
      <c r="B424" s="1" t="n">
        <v>46053.48377314815</v>
      </c>
      <c r="C424" s="1" t="n">
        <v>46136</v>
      </c>
      <c r="D424" t="inlineStr">
        <is>
          <t>GÄVLEBORGS LÄN</t>
        </is>
      </c>
      <c r="E424" t="inlineStr">
        <is>
          <t>NORDANSTIG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6119-2026</t>
        </is>
      </c>
      <c r="B425" s="1" t="n">
        <v>46053.4891087963</v>
      </c>
      <c r="C425" s="1" t="n">
        <v>46136</v>
      </c>
      <c r="D425" t="inlineStr">
        <is>
          <t>GÄVLEBORGS LÄN</t>
        </is>
      </c>
      <c r="E425" t="inlineStr">
        <is>
          <t>NORDANSTIG</t>
        </is>
      </c>
      <c r="G425" t="n">
        <v>9.5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59425-2022</t>
        </is>
      </c>
      <c r="B426" s="1" t="n">
        <v>44907</v>
      </c>
      <c r="C426" s="1" t="n">
        <v>46136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13822-2026</t>
        </is>
      </c>
      <c r="B427" s="1" t="n">
        <v>46098.34287037037</v>
      </c>
      <c r="C427" s="1" t="n">
        <v>46136</v>
      </c>
      <c r="D427" t="inlineStr">
        <is>
          <t>GÄVLEBORGS LÄN</t>
        </is>
      </c>
      <c r="E427" t="inlineStr">
        <is>
          <t>NORDANSTIG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6409-2026</t>
        </is>
      </c>
      <c r="B428" s="1" t="n">
        <v>46055.67278935185</v>
      </c>
      <c r="C428" s="1" t="n">
        <v>46136</v>
      </c>
      <c r="D428" t="inlineStr">
        <is>
          <t>GÄVLEBORGS LÄN</t>
        </is>
      </c>
      <c r="E428" t="inlineStr">
        <is>
          <t>NORDANSTIG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6641-2026</t>
        </is>
      </c>
      <c r="B429" s="1" t="n">
        <v>46056</v>
      </c>
      <c r="C429" s="1" t="n">
        <v>46136</v>
      </c>
      <c r="D429" t="inlineStr">
        <is>
          <t>GÄVLEBORGS LÄN</t>
        </is>
      </c>
      <c r="E429" t="inlineStr">
        <is>
          <t>NORDANSTIG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6129-2026</t>
        </is>
      </c>
      <c r="B430" s="1" t="n">
        <v>46054</v>
      </c>
      <c r="C430" s="1" t="n">
        <v>46136</v>
      </c>
      <c r="D430" t="inlineStr">
        <is>
          <t>GÄVLEBORGS LÄN</t>
        </is>
      </c>
      <c r="E430" t="inlineStr">
        <is>
          <t>NORDANSTIG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17505-2025</t>
        </is>
      </c>
      <c r="B431" s="1" t="n">
        <v>45757.55423611111</v>
      </c>
      <c r="C431" s="1" t="n">
        <v>46136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6179-2026</t>
        </is>
      </c>
      <c r="B432" s="1" t="n">
        <v>46055</v>
      </c>
      <c r="C432" s="1" t="n">
        <v>46136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13647-2026</t>
        </is>
      </c>
      <c r="B433" s="1" t="n">
        <v>46097.43084490741</v>
      </c>
      <c r="C433" s="1" t="n">
        <v>46136</v>
      </c>
      <c r="D433" t="inlineStr">
        <is>
          <t>GÄVLEBORGS LÄN</t>
        </is>
      </c>
      <c r="E433" t="inlineStr">
        <is>
          <t>NORDANSTIG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6117-2026</t>
        </is>
      </c>
      <c r="B434" s="1" t="n">
        <v>46053.48155092593</v>
      </c>
      <c r="C434" s="1" t="n">
        <v>46136</v>
      </c>
      <c r="D434" t="inlineStr">
        <is>
          <t>GÄVLEBORGS LÄN</t>
        </is>
      </c>
      <c r="E434" t="inlineStr">
        <is>
          <t>NORDANSTIG</t>
        </is>
      </c>
      <c r="G434" t="n">
        <v>9.1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13978-2026</t>
        </is>
      </c>
      <c r="B435" s="1" t="n">
        <v>46098.59628472223</v>
      </c>
      <c r="C435" s="1" t="n">
        <v>46136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6116-2026</t>
        </is>
      </c>
      <c r="B436" s="1" t="n">
        <v>46053.47466435185</v>
      </c>
      <c r="C436" s="1" t="n">
        <v>46136</v>
      </c>
      <c r="D436" t="inlineStr">
        <is>
          <t>GÄVLEBORGS LÄN</t>
        </is>
      </c>
      <c r="E436" t="inlineStr">
        <is>
          <t>NORDANSTIG</t>
        </is>
      </c>
      <c r="G436" t="n">
        <v>45.3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6647-2026</t>
        </is>
      </c>
      <c r="B437" s="1" t="n">
        <v>46056</v>
      </c>
      <c r="C437" s="1" t="n">
        <v>46136</v>
      </c>
      <c r="D437" t="inlineStr">
        <is>
          <t>GÄVLEBORGS LÄN</t>
        </is>
      </c>
      <c r="E437" t="inlineStr">
        <is>
          <t>NORDANSTIG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6349-2026</t>
        </is>
      </c>
      <c r="B438" s="1" t="n">
        <v>46055</v>
      </c>
      <c r="C438" s="1" t="n">
        <v>46136</v>
      </c>
      <c r="D438" t="inlineStr">
        <is>
          <t>GÄVLEBORGS LÄN</t>
        </is>
      </c>
      <c r="E438" t="inlineStr">
        <is>
          <t>NORDANSTIG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6388-2026</t>
        </is>
      </c>
      <c r="B439" s="1" t="n">
        <v>46055.64354166666</v>
      </c>
      <c r="C439" s="1" t="n">
        <v>46136</v>
      </c>
      <c r="D439" t="inlineStr">
        <is>
          <t>GÄVLEBORGS LÄN</t>
        </is>
      </c>
      <c r="E439" t="inlineStr">
        <is>
          <t>NORDANSTIG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6344-2026</t>
        </is>
      </c>
      <c r="B440" s="1" t="n">
        <v>46055</v>
      </c>
      <c r="C440" s="1" t="n">
        <v>46136</v>
      </c>
      <c r="D440" t="inlineStr">
        <is>
          <t>GÄVLEBORGS LÄN</t>
        </is>
      </c>
      <c r="E440" t="inlineStr">
        <is>
          <t>NORDANSTIG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30870-2025</t>
        </is>
      </c>
      <c r="B441" s="1" t="n">
        <v>45832.33273148148</v>
      </c>
      <c r="C441" s="1" t="n">
        <v>46136</v>
      </c>
      <c r="D441" t="inlineStr">
        <is>
          <t>GÄVLEBORGS LÄN</t>
        </is>
      </c>
      <c r="E441" t="inlineStr">
        <is>
          <t>NORDANSTIG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13823-2026</t>
        </is>
      </c>
      <c r="B442" s="1" t="n">
        <v>46098.34396990741</v>
      </c>
      <c r="C442" s="1" t="n">
        <v>46136</v>
      </c>
      <c r="D442" t="inlineStr">
        <is>
          <t>GÄVLEBORGS LÄN</t>
        </is>
      </c>
      <c r="E442" t="inlineStr">
        <is>
          <t>NORDANSTIG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6354-2026</t>
        </is>
      </c>
      <c r="B443" s="1" t="n">
        <v>46055</v>
      </c>
      <c r="C443" s="1" t="n">
        <v>46136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13982-2026</t>
        </is>
      </c>
      <c r="B444" s="1" t="n">
        <v>46098.60625</v>
      </c>
      <c r="C444" s="1" t="n">
        <v>46136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6279-2026</t>
        </is>
      </c>
      <c r="B445" s="1" t="n">
        <v>46055.5321412037</v>
      </c>
      <c r="C445" s="1" t="n">
        <v>46136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6287-2026</t>
        </is>
      </c>
      <c r="B446" s="1" t="n">
        <v>46055.55038194444</v>
      </c>
      <c r="C446" s="1" t="n">
        <v>46136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41729-2023</t>
        </is>
      </c>
      <c r="B447" s="1" t="n">
        <v>45176</v>
      </c>
      <c r="C447" s="1" t="n">
        <v>46136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39597-2025</t>
        </is>
      </c>
      <c r="B448" s="1" t="n">
        <v>45890.54349537037</v>
      </c>
      <c r="C448" s="1" t="n">
        <v>46136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31031-2025</t>
        </is>
      </c>
      <c r="B449" s="1" t="n">
        <v>45832.53875</v>
      </c>
      <c r="C449" s="1" t="n">
        <v>46136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31197-2025</t>
        </is>
      </c>
      <c r="B450" s="1" t="n">
        <v>45832.69053240741</v>
      </c>
      <c r="C450" s="1" t="n">
        <v>46136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6678-2026</t>
        </is>
      </c>
      <c r="B451" s="1" t="n">
        <v>46056.60954861111</v>
      </c>
      <c r="C451" s="1" t="n">
        <v>46136</v>
      </c>
      <c r="D451" t="inlineStr">
        <is>
          <t>GÄVLEBORGS LÄN</t>
        </is>
      </c>
      <c r="E451" t="inlineStr">
        <is>
          <t>NORDANSTIG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6634-2026</t>
        </is>
      </c>
      <c r="B452" s="1" t="n">
        <v>46056</v>
      </c>
      <c r="C452" s="1" t="n">
        <v>46136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6854-2026</t>
        </is>
      </c>
      <c r="B453" s="1" t="n">
        <v>46057.43564814814</v>
      </c>
      <c r="C453" s="1" t="n">
        <v>46136</v>
      </c>
      <c r="D453" t="inlineStr">
        <is>
          <t>GÄVLEBORGS LÄN</t>
        </is>
      </c>
      <c r="E453" t="inlineStr">
        <is>
          <t>NORDANSTIG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6851-2026</t>
        </is>
      </c>
      <c r="B454" s="1" t="n">
        <v>46057.43291666666</v>
      </c>
      <c r="C454" s="1" t="n">
        <v>46136</v>
      </c>
      <c r="D454" t="inlineStr">
        <is>
          <t>GÄVLEBORGS LÄN</t>
        </is>
      </c>
      <c r="E454" t="inlineStr">
        <is>
          <t>NORDANSTIG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6859-2026</t>
        </is>
      </c>
      <c r="B455" s="1" t="n">
        <v>46057.4371875</v>
      </c>
      <c r="C455" s="1" t="n">
        <v>46136</v>
      </c>
      <c r="D455" t="inlineStr">
        <is>
          <t>GÄVLEBORGS LÄN</t>
        </is>
      </c>
      <c r="E455" t="inlineStr">
        <is>
          <t>NORDANSTIG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31845-2025</t>
        </is>
      </c>
      <c r="B456" s="1" t="n">
        <v>45834.60199074074</v>
      </c>
      <c r="C456" s="1" t="n">
        <v>46136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14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51998-2023</t>
        </is>
      </c>
      <c r="B457" s="1" t="n">
        <v>45223</v>
      </c>
      <c r="C457" s="1" t="n">
        <v>46136</v>
      </c>
      <c r="D457" t="inlineStr">
        <is>
          <t>GÄVLEBORGS LÄN</t>
        </is>
      </c>
      <c r="E457" t="inlineStr">
        <is>
          <t>NORDANSTIG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14267-2026</t>
        </is>
      </c>
      <c r="B458" s="1" t="n">
        <v>46099.64642361111</v>
      </c>
      <c r="C458" s="1" t="n">
        <v>46136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51806-2024</t>
        </is>
      </c>
      <c r="B459" s="1" t="n">
        <v>45607.47730324074</v>
      </c>
      <c r="C459" s="1" t="n">
        <v>46136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10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51821-2024</t>
        </is>
      </c>
      <c r="B460" s="1" t="n">
        <v>45607.49569444444</v>
      </c>
      <c r="C460" s="1" t="n">
        <v>46136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48212-2024</t>
        </is>
      </c>
      <c r="B461" s="1" t="n">
        <v>45590.34556712963</v>
      </c>
      <c r="C461" s="1" t="n">
        <v>46136</v>
      </c>
      <c r="D461" t="inlineStr">
        <is>
          <t>GÄVLEBORGS LÄN</t>
        </is>
      </c>
      <c r="E461" t="inlineStr">
        <is>
          <t>NORDANSTIG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22459-2023</t>
        </is>
      </c>
      <c r="B462" s="1" t="n">
        <v>45070</v>
      </c>
      <c r="C462" s="1" t="n">
        <v>46136</v>
      </c>
      <c r="D462" t="inlineStr">
        <is>
          <t>GÄVLEBORGS LÄN</t>
        </is>
      </c>
      <c r="E462" t="inlineStr">
        <is>
          <t>NORDANSTIG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57013-2022</t>
        </is>
      </c>
      <c r="B463" s="1" t="n">
        <v>44894</v>
      </c>
      <c r="C463" s="1" t="n">
        <v>46136</v>
      </c>
      <c r="D463" t="inlineStr">
        <is>
          <t>GÄVLEBORGS LÄN</t>
        </is>
      </c>
      <c r="E463" t="inlineStr">
        <is>
          <t>NORDANSTIG</t>
        </is>
      </c>
      <c r="F463" t="inlineStr">
        <is>
          <t>SCA</t>
        </is>
      </c>
      <c r="G463" t="n">
        <v>11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14501-2026</t>
        </is>
      </c>
      <c r="B464" s="1" t="n">
        <v>46100.60640046297</v>
      </c>
      <c r="C464" s="1" t="n">
        <v>46136</v>
      </c>
      <c r="D464" t="inlineStr">
        <is>
          <t>GÄVLEBORGS LÄN</t>
        </is>
      </c>
      <c r="E464" t="inlineStr">
        <is>
          <t>NORDANSTIG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32056-2025</t>
        </is>
      </c>
      <c r="B465" s="1" t="n">
        <v>45835.44370370371</v>
      </c>
      <c r="C465" s="1" t="n">
        <v>46136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6779-2026</t>
        </is>
      </c>
      <c r="B466" s="1" t="n">
        <v>46057.30143518518</v>
      </c>
      <c r="C466" s="1" t="n">
        <v>46136</v>
      </c>
      <c r="D466" t="inlineStr">
        <is>
          <t>GÄVLEBORGS LÄN</t>
        </is>
      </c>
      <c r="E466" t="inlineStr">
        <is>
          <t>NORDANSTIG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6840-2026</t>
        </is>
      </c>
      <c r="B467" s="1" t="n">
        <v>46057.41232638889</v>
      </c>
      <c r="C467" s="1" t="n">
        <v>46136</v>
      </c>
      <c r="D467" t="inlineStr">
        <is>
          <t>GÄVLEBORGS LÄN</t>
        </is>
      </c>
      <c r="E467" t="inlineStr">
        <is>
          <t>NORDANSTIG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55538-2024</t>
        </is>
      </c>
      <c r="B468" s="1" t="n">
        <v>45622.49493055556</v>
      </c>
      <c r="C468" s="1" t="n">
        <v>46136</v>
      </c>
      <c r="D468" t="inlineStr">
        <is>
          <t>GÄVLEBORGS LÄN</t>
        </is>
      </c>
      <c r="E468" t="inlineStr">
        <is>
          <t>NORDANSTIG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56351-2024</t>
        </is>
      </c>
      <c r="B469" s="1" t="n">
        <v>45624.91649305556</v>
      </c>
      <c r="C469" s="1" t="n">
        <v>46136</v>
      </c>
      <c r="D469" t="inlineStr">
        <is>
          <t>GÄVLEBORGS LÄN</t>
        </is>
      </c>
      <c r="E469" t="inlineStr">
        <is>
          <t>NORDANSTIG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7831-2026</t>
        </is>
      </c>
      <c r="B470" s="1" t="n">
        <v>46062</v>
      </c>
      <c r="C470" s="1" t="n">
        <v>46136</v>
      </c>
      <c r="D470" t="inlineStr">
        <is>
          <t>GÄVLEBORGS LÄN</t>
        </is>
      </c>
      <c r="E470" t="inlineStr">
        <is>
          <t>NORDANSTIG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7433-2026</t>
        </is>
      </c>
      <c r="B471" s="1" t="n">
        <v>46059.43840277778</v>
      </c>
      <c r="C471" s="1" t="n">
        <v>46136</v>
      </c>
      <c r="D471" t="inlineStr">
        <is>
          <t>GÄVLEBORGS LÄN</t>
        </is>
      </c>
      <c r="E471" t="inlineStr">
        <is>
          <t>NORDANSTIG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7783-2026</t>
        </is>
      </c>
      <c r="B472" s="1" t="n">
        <v>46062</v>
      </c>
      <c r="C472" s="1" t="n">
        <v>46136</v>
      </c>
      <c r="D472" t="inlineStr">
        <is>
          <t>GÄVLEBORGS LÄN</t>
        </is>
      </c>
      <c r="E472" t="inlineStr">
        <is>
          <t>NORDANSTIG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32034-2025</t>
        </is>
      </c>
      <c r="B473" s="1" t="n">
        <v>45835.42241898148</v>
      </c>
      <c r="C473" s="1" t="n">
        <v>46136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32092-2025</t>
        </is>
      </c>
      <c r="B474" s="1" t="n">
        <v>45835.45920138889</v>
      </c>
      <c r="C474" s="1" t="n">
        <v>46136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32105-2025</t>
        </is>
      </c>
      <c r="B475" s="1" t="n">
        <v>45835.47226851852</v>
      </c>
      <c r="C475" s="1" t="n">
        <v>46136</v>
      </c>
      <c r="D475" t="inlineStr">
        <is>
          <t>GÄVLEBORGS LÄN</t>
        </is>
      </c>
      <c r="E475" t="inlineStr">
        <is>
          <t>NORDANSTIG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472-2024</t>
        </is>
      </c>
      <c r="B476" s="1" t="n">
        <v>45297.71927083333</v>
      </c>
      <c r="C476" s="1" t="n">
        <v>46136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32082-2025</t>
        </is>
      </c>
      <c r="B477" s="1" t="n">
        <v>45835.45228009259</v>
      </c>
      <c r="C477" s="1" t="n">
        <v>46136</v>
      </c>
      <c r="D477" t="inlineStr">
        <is>
          <t>GÄVLEBORGS LÄN</t>
        </is>
      </c>
      <c r="E477" t="inlineStr">
        <is>
          <t>NORDANSTIG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11113-2026</t>
        </is>
      </c>
      <c r="B478" s="1" t="n">
        <v>46079.66104166667</v>
      </c>
      <c r="C478" s="1" t="n">
        <v>46136</v>
      </c>
      <c r="D478" t="inlineStr">
        <is>
          <t>GÄVLEBORGS LÄN</t>
        </is>
      </c>
      <c r="E478" t="inlineStr">
        <is>
          <t>NORDANSTIG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7685-2026</t>
        </is>
      </c>
      <c r="B479" s="1" t="n">
        <v>46062.43528935185</v>
      </c>
      <c r="C479" s="1" t="n">
        <v>46136</v>
      </c>
      <c r="D479" t="inlineStr">
        <is>
          <t>GÄVLEBORGS LÄN</t>
        </is>
      </c>
      <c r="E479" t="inlineStr">
        <is>
          <t>NORDANSTIG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56280-2024</t>
        </is>
      </c>
      <c r="B480" s="1" t="n">
        <v>45624.67489583333</v>
      </c>
      <c r="C480" s="1" t="n">
        <v>46136</v>
      </c>
      <c r="D480" t="inlineStr">
        <is>
          <t>GÄVLEBORGS LÄN</t>
        </is>
      </c>
      <c r="E480" t="inlineStr">
        <is>
          <t>NORDANSTIG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32507-2025</t>
        </is>
      </c>
      <c r="B481" s="1" t="n">
        <v>45838.4712037037</v>
      </c>
      <c r="C481" s="1" t="n">
        <v>46136</v>
      </c>
      <c r="D481" t="inlineStr">
        <is>
          <t>GÄVLEBORGS LÄN</t>
        </is>
      </c>
      <c r="E481" t="inlineStr">
        <is>
          <t>NORDANSTIG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7640-2026</t>
        </is>
      </c>
      <c r="B482" s="1" t="n">
        <v>46062.37439814815</v>
      </c>
      <c r="C482" s="1" t="n">
        <v>46136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35.4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7863-2026</t>
        </is>
      </c>
      <c r="B483" s="1" t="n">
        <v>46062.71915509259</v>
      </c>
      <c r="C483" s="1" t="n">
        <v>46136</v>
      </c>
      <c r="D483" t="inlineStr">
        <is>
          <t>GÄVLEBORGS LÄN</t>
        </is>
      </c>
      <c r="E483" t="inlineStr">
        <is>
          <t>NORDANSTIG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51930-2023</t>
        </is>
      </c>
      <c r="B484" s="1" t="n">
        <v>45223.495</v>
      </c>
      <c r="C484" s="1" t="n">
        <v>46136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38185-2025</t>
        </is>
      </c>
      <c r="B485" s="1" t="n">
        <v>45882</v>
      </c>
      <c r="C485" s="1" t="n">
        <v>46136</v>
      </c>
      <c r="D485" t="inlineStr">
        <is>
          <t>GÄVLEBORGS LÄN</t>
        </is>
      </c>
      <c r="E485" t="inlineStr">
        <is>
          <t>NORDANSTIG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7668-2026</t>
        </is>
      </c>
      <c r="B486" s="1" t="n">
        <v>46062.41246527778</v>
      </c>
      <c r="C486" s="1" t="n">
        <v>46136</v>
      </c>
      <c r="D486" t="inlineStr">
        <is>
          <t>GÄVLEBORGS LÄN</t>
        </is>
      </c>
      <c r="E486" t="inlineStr">
        <is>
          <t>NORDANSTIG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7670-2026</t>
        </is>
      </c>
      <c r="B487" s="1" t="n">
        <v>46062.41636574074</v>
      </c>
      <c r="C487" s="1" t="n">
        <v>46136</v>
      </c>
      <c r="D487" t="inlineStr">
        <is>
          <t>GÄVLEBORGS LÄN</t>
        </is>
      </c>
      <c r="E487" t="inlineStr">
        <is>
          <t>NORDANSTIG</t>
        </is>
      </c>
      <c r="G487" t="n">
        <v>7.7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7691-2026</t>
        </is>
      </c>
      <c r="B488" s="1" t="n">
        <v>46062.44280092593</v>
      </c>
      <c r="C488" s="1" t="n">
        <v>46136</v>
      </c>
      <c r="D488" t="inlineStr">
        <is>
          <t>GÄVLEBORGS LÄN</t>
        </is>
      </c>
      <c r="E488" t="inlineStr">
        <is>
          <t>NORDANSTIG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33097-2025</t>
        </is>
      </c>
      <c r="B489" s="1" t="n">
        <v>45840.47582175926</v>
      </c>
      <c r="C489" s="1" t="n">
        <v>46136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15009-2026</t>
        </is>
      </c>
      <c r="B490" s="1" t="n">
        <v>46104.61510416667</v>
      </c>
      <c r="C490" s="1" t="n">
        <v>46136</v>
      </c>
      <c r="D490" t="inlineStr">
        <is>
          <t>GÄVLEBORGS LÄN</t>
        </is>
      </c>
      <c r="E490" t="inlineStr">
        <is>
          <t>NORDANSTIG</t>
        </is>
      </c>
      <c r="G490" t="n">
        <v>8.4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15010-2026</t>
        </is>
      </c>
      <c r="B491" s="1" t="n">
        <v>46104.61519675926</v>
      </c>
      <c r="C491" s="1" t="n">
        <v>46136</v>
      </c>
      <c r="D491" t="inlineStr">
        <is>
          <t>GÄVLEBORGS LÄN</t>
        </is>
      </c>
      <c r="E491" t="inlineStr">
        <is>
          <t>NORDANSTIG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7496-2026</t>
        </is>
      </c>
      <c r="B492" s="1" t="n">
        <v>46059</v>
      </c>
      <c r="C492" s="1" t="n">
        <v>46136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32652-2023</t>
        </is>
      </c>
      <c r="B493" s="1" t="n">
        <v>45121.60966435185</v>
      </c>
      <c r="C493" s="1" t="n">
        <v>46136</v>
      </c>
      <c r="D493" t="inlineStr">
        <is>
          <t>GÄVLEBORGS LÄN</t>
        </is>
      </c>
      <c r="E493" t="inlineStr">
        <is>
          <t>NORDANSTIG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7772-2026</t>
        </is>
      </c>
      <c r="B494" s="1" t="n">
        <v>46062.56966435185</v>
      </c>
      <c r="C494" s="1" t="n">
        <v>46136</v>
      </c>
      <c r="D494" t="inlineStr">
        <is>
          <t>GÄVLEBORGS LÄN</t>
        </is>
      </c>
      <c r="E494" t="inlineStr">
        <is>
          <t>NORDANSTIG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62619-2023</t>
        </is>
      </c>
      <c r="B495" s="1" t="n">
        <v>45271.35469907407</v>
      </c>
      <c r="C495" s="1" t="n">
        <v>46136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8201-2026</t>
        </is>
      </c>
      <c r="B496" s="1" t="n">
        <v>46064.44166666667</v>
      </c>
      <c r="C496" s="1" t="n">
        <v>46136</v>
      </c>
      <c r="D496" t="inlineStr">
        <is>
          <t>GÄVLEBORGS LÄN</t>
        </is>
      </c>
      <c r="E496" t="inlineStr">
        <is>
          <t>NORDANSTIG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7944-2026</t>
        </is>
      </c>
      <c r="B497" s="1" t="n">
        <v>46063.41300925926</v>
      </c>
      <c r="C497" s="1" t="n">
        <v>46136</v>
      </c>
      <c r="D497" t="inlineStr">
        <is>
          <t>GÄVLEBORGS LÄN</t>
        </is>
      </c>
      <c r="E497" t="inlineStr">
        <is>
          <t>NORDANSTIG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7998-2026</t>
        </is>
      </c>
      <c r="B498" s="1" t="n">
        <v>46063.50559027777</v>
      </c>
      <c r="C498" s="1" t="n">
        <v>46136</v>
      </c>
      <c r="D498" t="inlineStr">
        <is>
          <t>GÄVLEBORGS LÄN</t>
        </is>
      </c>
      <c r="E498" t="inlineStr">
        <is>
          <t>NORDANSTIG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8020-2026</t>
        </is>
      </c>
      <c r="B499" s="1" t="n">
        <v>46063</v>
      </c>
      <c r="C499" s="1" t="n">
        <v>46136</v>
      </c>
      <c r="D499" t="inlineStr">
        <is>
          <t>GÄVLEBORGS LÄN</t>
        </is>
      </c>
      <c r="E499" t="inlineStr">
        <is>
          <t>NORDANSTIG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8288-2026</t>
        </is>
      </c>
      <c r="B500" s="1" t="n">
        <v>46064.56770833334</v>
      </c>
      <c r="C500" s="1" t="n">
        <v>46136</v>
      </c>
      <c r="D500" t="inlineStr">
        <is>
          <t>GÄVLEBORGS LÄN</t>
        </is>
      </c>
      <c r="E500" t="inlineStr">
        <is>
          <t>NORDANSTIG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8318-2026</t>
        </is>
      </c>
      <c r="B501" s="1" t="n">
        <v>46064</v>
      </c>
      <c r="C501" s="1" t="n">
        <v>46136</v>
      </c>
      <c r="D501" t="inlineStr">
        <is>
          <t>GÄVLEBORGS LÄN</t>
        </is>
      </c>
      <c r="E501" t="inlineStr">
        <is>
          <t>NORDANSTIG</t>
        </is>
      </c>
      <c r="G501" t="n">
        <v>10.5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20386-2024</t>
        </is>
      </c>
      <c r="B502" s="1" t="n">
        <v>45435.50869212963</v>
      </c>
      <c r="C502" s="1" t="n">
        <v>46136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46376-2024</t>
        </is>
      </c>
      <c r="B503" s="1" t="n">
        <v>45582.3827662037</v>
      </c>
      <c r="C503" s="1" t="n">
        <v>46136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45549-2024</t>
        </is>
      </c>
      <c r="B504" s="1" t="n">
        <v>45579.34450231482</v>
      </c>
      <c r="C504" s="1" t="n">
        <v>46136</v>
      </c>
      <c r="D504" t="inlineStr">
        <is>
          <t>GÄVLEBORGS LÄN</t>
        </is>
      </c>
      <c r="E504" t="inlineStr">
        <is>
          <t>NORDANSTIG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32505-2025</t>
        </is>
      </c>
      <c r="B505" s="1" t="n">
        <v>45838.46716435185</v>
      </c>
      <c r="C505" s="1" t="n">
        <v>46136</v>
      </c>
      <c r="D505" t="inlineStr">
        <is>
          <t>GÄVLEBORGS LÄN</t>
        </is>
      </c>
      <c r="E505" t="inlineStr">
        <is>
          <t>NORDANSTIG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40104-2024</t>
        </is>
      </c>
      <c r="B506" s="1" t="n">
        <v>45554</v>
      </c>
      <c r="C506" s="1" t="n">
        <v>46136</v>
      </c>
      <c r="D506" t="inlineStr">
        <is>
          <t>GÄVLEBORGS LÄN</t>
        </is>
      </c>
      <c r="E506" t="inlineStr">
        <is>
          <t>NORDANSTIG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32736-2025</t>
        </is>
      </c>
      <c r="B507" s="1" t="n">
        <v>45839</v>
      </c>
      <c r="C507" s="1" t="n">
        <v>46136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33355-2025</t>
        </is>
      </c>
      <c r="B508" s="1" t="n">
        <v>45841.37690972222</v>
      </c>
      <c r="C508" s="1" t="n">
        <v>46136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34.6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18680-2025</t>
        </is>
      </c>
      <c r="B509" s="1" t="n">
        <v>45763.60581018519</v>
      </c>
      <c r="C509" s="1" t="n">
        <v>46136</v>
      </c>
      <c r="D509" t="inlineStr">
        <is>
          <t>GÄVLEBORGS LÄN</t>
        </is>
      </c>
      <c r="E509" t="inlineStr">
        <is>
          <t>NORDANSTIG</t>
        </is>
      </c>
      <c r="G509" t="n">
        <v>9.4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35405-2025</t>
        </is>
      </c>
      <c r="B510" s="1" t="n">
        <v>45855</v>
      </c>
      <c r="C510" s="1" t="n">
        <v>46136</v>
      </c>
      <c r="D510" t="inlineStr">
        <is>
          <t>GÄVLEBORGS LÄN</t>
        </is>
      </c>
      <c r="E510" t="inlineStr">
        <is>
          <t>NORDANSTIG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13958-2026</t>
        </is>
      </c>
      <c r="B511" s="1" t="n">
        <v>46098</v>
      </c>
      <c r="C511" s="1" t="n">
        <v>46136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8092-2026</t>
        </is>
      </c>
      <c r="B512" s="1" t="n">
        <v>46063.70972222222</v>
      </c>
      <c r="C512" s="1" t="n">
        <v>46136</v>
      </c>
      <c r="D512" t="inlineStr">
        <is>
          <t>GÄVLEBORGS LÄN</t>
        </is>
      </c>
      <c r="E512" t="inlineStr">
        <is>
          <t>NORDANSTIG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40290-2025</t>
        </is>
      </c>
      <c r="B513" s="1" t="n">
        <v>45895.38581018519</v>
      </c>
      <c r="C513" s="1" t="n">
        <v>46136</v>
      </c>
      <c r="D513" t="inlineStr">
        <is>
          <t>GÄVLEBORGS LÄN</t>
        </is>
      </c>
      <c r="E513" t="inlineStr">
        <is>
          <t>NORDANSTIG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33339-2025</t>
        </is>
      </c>
      <c r="B514" s="1" t="n">
        <v>45841.36012731482</v>
      </c>
      <c r="C514" s="1" t="n">
        <v>46136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40658-2025</t>
        </is>
      </c>
      <c r="B515" s="1" t="n">
        <v>45896.64530092593</v>
      </c>
      <c r="C515" s="1" t="n">
        <v>46136</v>
      </c>
      <c r="D515" t="inlineStr">
        <is>
          <t>GÄVLEBORGS LÄN</t>
        </is>
      </c>
      <c r="E515" t="inlineStr">
        <is>
          <t>NORDANSTIG</t>
        </is>
      </c>
      <c r="G515" t="n">
        <v>11.2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35822-2025</t>
        </is>
      </c>
      <c r="B516" s="1" t="n">
        <v>45861.47325231481</v>
      </c>
      <c r="C516" s="1" t="n">
        <v>46136</v>
      </c>
      <c r="D516" t="inlineStr">
        <is>
          <t>GÄVLEBORGS LÄN</t>
        </is>
      </c>
      <c r="E516" t="inlineStr">
        <is>
          <t>NORDANSTIG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40622-2025</t>
        </is>
      </c>
      <c r="B517" s="1" t="n">
        <v>45896.58621527778</v>
      </c>
      <c r="C517" s="1" t="n">
        <v>46136</v>
      </c>
      <c r="D517" t="inlineStr">
        <is>
          <t>GÄVLEBORGS LÄN</t>
        </is>
      </c>
      <c r="E517" t="inlineStr">
        <is>
          <t>NORDANSTIG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40647-2025</t>
        </is>
      </c>
      <c r="B518" s="1" t="n">
        <v>45896.62219907407</v>
      </c>
      <c r="C518" s="1" t="n">
        <v>46136</v>
      </c>
      <c r="D518" t="inlineStr">
        <is>
          <t>GÄVLEBORGS LÄN</t>
        </is>
      </c>
      <c r="E518" t="inlineStr">
        <is>
          <t>NORDANSTIG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40291-2025</t>
        </is>
      </c>
      <c r="B519" s="1" t="n">
        <v>45895.38584490741</v>
      </c>
      <c r="C519" s="1" t="n">
        <v>46136</v>
      </c>
      <c r="D519" t="inlineStr">
        <is>
          <t>GÄVLEBORGS LÄN</t>
        </is>
      </c>
      <c r="E519" t="inlineStr">
        <is>
          <t>NORDANSTIG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40629-2025</t>
        </is>
      </c>
      <c r="B520" s="1" t="n">
        <v>45896.59113425926</v>
      </c>
      <c r="C520" s="1" t="n">
        <v>46136</v>
      </c>
      <c r="D520" t="inlineStr">
        <is>
          <t>GÄVLEBORGS LÄN</t>
        </is>
      </c>
      <c r="E520" t="inlineStr">
        <is>
          <t>NORDANSTIG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22041-2022</t>
        </is>
      </c>
      <c r="B521" s="1" t="n">
        <v>44711.65472222222</v>
      </c>
      <c r="C521" s="1" t="n">
        <v>46136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6.2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13969-2026</t>
        </is>
      </c>
      <c r="B522" s="1" t="n">
        <v>46098</v>
      </c>
      <c r="C522" s="1" t="n">
        <v>46136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5479-2023</t>
        </is>
      </c>
      <c r="B523" s="1" t="n">
        <v>44960</v>
      </c>
      <c r="C523" s="1" t="n">
        <v>46136</v>
      </c>
      <c r="D523" t="inlineStr">
        <is>
          <t>GÄVLEBORGS LÄN</t>
        </is>
      </c>
      <c r="E523" t="inlineStr">
        <is>
          <t>NORDANSTIG</t>
        </is>
      </c>
      <c r="G523" t="n">
        <v>17.6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59297-2024</t>
        </is>
      </c>
      <c r="B524" s="1" t="n">
        <v>45637</v>
      </c>
      <c r="C524" s="1" t="n">
        <v>46136</v>
      </c>
      <c r="D524" t="inlineStr">
        <is>
          <t>GÄVLEBORGS LÄN</t>
        </is>
      </c>
      <c r="E524" t="inlineStr">
        <is>
          <t>NORDANSTIG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40804-2025</t>
        </is>
      </c>
      <c r="B525" s="1" t="n">
        <v>45897.46543981481</v>
      </c>
      <c r="C525" s="1" t="n">
        <v>46136</v>
      </c>
      <c r="D525" t="inlineStr">
        <is>
          <t>GÄVLEBORGS LÄN</t>
        </is>
      </c>
      <c r="E525" t="inlineStr">
        <is>
          <t>NORDANSTIG</t>
        </is>
      </c>
      <c r="G525" t="n">
        <v>7.1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8281-2026</t>
        </is>
      </c>
      <c r="B526" s="1" t="n">
        <v>46064.55938657407</v>
      </c>
      <c r="C526" s="1" t="n">
        <v>46136</v>
      </c>
      <c r="D526" t="inlineStr">
        <is>
          <t>GÄVLEBORGS LÄN</t>
        </is>
      </c>
      <c r="E526" t="inlineStr">
        <is>
          <t>NORDANSTIG</t>
        </is>
      </c>
      <c r="G526" t="n">
        <v>38.1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15494-2023</t>
        </is>
      </c>
      <c r="B527" s="1" t="n">
        <v>45020.47074074074</v>
      </c>
      <c r="C527" s="1" t="n">
        <v>46136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15496-2023</t>
        </is>
      </c>
      <c r="B528" s="1" t="n">
        <v>45020.47482638889</v>
      </c>
      <c r="C528" s="1" t="n">
        <v>46136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8182-2026</t>
        </is>
      </c>
      <c r="B529" s="1" t="n">
        <v>46064.41988425926</v>
      </c>
      <c r="C529" s="1" t="n">
        <v>46136</v>
      </c>
      <c r="D529" t="inlineStr">
        <is>
          <t>GÄVLEBORGS LÄN</t>
        </is>
      </c>
      <c r="E529" t="inlineStr">
        <is>
          <t>NORDANSTIG</t>
        </is>
      </c>
      <c r="G529" t="n">
        <v>19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43075-2024</t>
        </is>
      </c>
      <c r="B530" s="1" t="n">
        <v>45567.4943287037</v>
      </c>
      <c r="C530" s="1" t="n">
        <v>46136</v>
      </c>
      <c r="D530" t="inlineStr">
        <is>
          <t>GÄVLEBORGS LÄN</t>
        </is>
      </c>
      <c r="E530" t="inlineStr">
        <is>
          <t>NORDANSTIG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53167-2024</t>
        </is>
      </c>
      <c r="B531" s="1" t="n">
        <v>45611.65372685185</v>
      </c>
      <c r="C531" s="1" t="n">
        <v>46136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4001-2023</t>
        </is>
      </c>
      <c r="B532" s="1" t="n">
        <v>44952.50115740741</v>
      </c>
      <c r="C532" s="1" t="n">
        <v>46136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4024-2023</t>
        </is>
      </c>
      <c r="B533" s="1" t="n">
        <v>44952.55783564815</v>
      </c>
      <c r="C533" s="1" t="n">
        <v>46136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40824-2025</t>
        </is>
      </c>
      <c r="B534" s="1" t="n">
        <v>45897.49759259259</v>
      </c>
      <c r="C534" s="1" t="n">
        <v>46136</v>
      </c>
      <c r="D534" t="inlineStr">
        <is>
          <t>GÄVLEBORGS LÄN</t>
        </is>
      </c>
      <c r="E534" t="inlineStr">
        <is>
          <t>NORDANSTIG</t>
        </is>
      </c>
      <c r="F534" t="inlineStr">
        <is>
          <t>Holmen skog AB</t>
        </is>
      </c>
      <c r="G534" t="n">
        <v>10.6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40812-2025</t>
        </is>
      </c>
      <c r="B535" s="1" t="n">
        <v>45897.47065972222</v>
      </c>
      <c r="C535" s="1" t="n">
        <v>46136</v>
      </c>
      <c r="D535" t="inlineStr">
        <is>
          <t>GÄVLEBORGS LÄN</t>
        </is>
      </c>
      <c r="E535" t="inlineStr">
        <is>
          <t>NORDANSTIG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41202-2025</t>
        </is>
      </c>
      <c r="B536" s="1" t="n">
        <v>45898.5747337963</v>
      </c>
      <c r="C536" s="1" t="n">
        <v>46136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25946-2023</t>
        </is>
      </c>
      <c r="B537" s="1" t="n">
        <v>45090.7058912037</v>
      </c>
      <c r="C537" s="1" t="n">
        <v>46136</v>
      </c>
      <c r="D537" t="inlineStr">
        <is>
          <t>GÄVLEBORGS LÄN</t>
        </is>
      </c>
      <c r="E537" t="inlineStr">
        <is>
          <t>NORDANSTIG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48607-2023</t>
        </is>
      </c>
      <c r="B538" s="1" t="n">
        <v>45208.53420138889</v>
      </c>
      <c r="C538" s="1" t="n">
        <v>46136</v>
      </c>
      <c r="D538" t="inlineStr">
        <is>
          <t>GÄVLEBORGS LÄN</t>
        </is>
      </c>
      <c r="E538" t="inlineStr">
        <is>
          <t>NORDANSTIG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33532-2025</t>
        </is>
      </c>
      <c r="B539" s="1" t="n">
        <v>45841.55648148148</v>
      </c>
      <c r="C539" s="1" t="n">
        <v>46136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21157-2022</t>
        </is>
      </c>
      <c r="B540" s="1" t="n">
        <v>44704</v>
      </c>
      <c r="C540" s="1" t="n">
        <v>46136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34557-2023</t>
        </is>
      </c>
      <c r="B541" s="1" t="n">
        <v>45140.50714120371</v>
      </c>
      <c r="C541" s="1" t="n">
        <v>46136</v>
      </c>
      <c r="D541" t="inlineStr">
        <is>
          <t>GÄVLEBORGS LÄN</t>
        </is>
      </c>
      <c r="E541" t="inlineStr">
        <is>
          <t>NORDANSTIG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7928-2026</t>
        </is>
      </c>
      <c r="B542" s="1" t="n">
        <v>46063.39893518519</v>
      </c>
      <c r="C542" s="1" t="n">
        <v>46136</v>
      </c>
      <c r="D542" t="inlineStr">
        <is>
          <t>GÄVLEBORGS LÄN</t>
        </is>
      </c>
      <c r="E542" t="inlineStr">
        <is>
          <t>NORDANSTIG</t>
        </is>
      </c>
      <c r="G542" t="n">
        <v>13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8849-2026</t>
        </is>
      </c>
      <c r="B543" s="1" t="n">
        <v>46066.65311342593</v>
      </c>
      <c r="C543" s="1" t="n">
        <v>46136</v>
      </c>
      <c r="D543" t="inlineStr">
        <is>
          <t>GÄVLEBORGS LÄN</t>
        </is>
      </c>
      <c r="E543" t="inlineStr">
        <is>
          <t>NORDANSTIG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34311-2025</t>
        </is>
      </c>
      <c r="B544" s="1" t="n">
        <v>45846.39252314815</v>
      </c>
      <c r="C544" s="1" t="n">
        <v>46136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34342-2025</t>
        </is>
      </c>
      <c r="B545" s="1" t="n">
        <v>45846.46015046296</v>
      </c>
      <c r="C545" s="1" t="n">
        <v>46136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8837-2026</t>
        </is>
      </c>
      <c r="B546" s="1" t="n">
        <v>46066</v>
      </c>
      <c r="C546" s="1" t="n">
        <v>46136</v>
      </c>
      <c r="D546" t="inlineStr">
        <is>
          <t>GÄVLEBORGS LÄN</t>
        </is>
      </c>
      <c r="E546" t="inlineStr">
        <is>
          <t>NORDANSTIG</t>
        </is>
      </c>
      <c r="F546" t="inlineStr">
        <is>
          <t>Naturvårdsverket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14203-2026</t>
        </is>
      </c>
      <c r="B547" s="1" t="n">
        <v>46099</v>
      </c>
      <c r="C547" s="1" t="n">
        <v>46136</v>
      </c>
      <c r="D547" t="inlineStr">
        <is>
          <t>GÄVLEBORGS LÄN</t>
        </is>
      </c>
      <c r="E547" t="inlineStr">
        <is>
          <t>NORDANSTIG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34240-2025</t>
        </is>
      </c>
      <c r="B548" s="1" t="n">
        <v>45845.67427083333</v>
      </c>
      <c r="C548" s="1" t="n">
        <v>46136</v>
      </c>
      <c r="D548" t="inlineStr">
        <is>
          <t>GÄVLEBORGS LÄN</t>
        </is>
      </c>
      <c r="E548" t="inlineStr">
        <is>
          <t>NORDANSTIG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21187-2022</t>
        </is>
      </c>
      <c r="B549" s="1" t="n">
        <v>44704.92609953704</v>
      </c>
      <c r="C549" s="1" t="n">
        <v>46136</v>
      </c>
      <c r="D549" t="inlineStr">
        <is>
          <t>GÄVLEBORGS LÄN</t>
        </is>
      </c>
      <c r="E549" t="inlineStr">
        <is>
          <t>NORDANSTIG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34287-2025</t>
        </is>
      </c>
      <c r="B550" s="1" t="n">
        <v>45846.32989583333</v>
      </c>
      <c r="C550" s="1" t="n">
        <v>46136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8711-2026</t>
        </is>
      </c>
      <c r="B551" s="1" t="n">
        <v>46066.48010416667</v>
      </c>
      <c r="C551" s="1" t="n">
        <v>46136</v>
      </c>
      <c r="D551" t="inlineStr">
        <is>
          <t>GÄVLEBORGS LÄN</t>
        </is>
      </c>
      <c r="E551" t="inlineStr">
        <is>
          <t>NORDANSTIG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8430-2026</t>
        </is>
      </c>
      <c r="B552" s="1" t="n">
        <v>46065</v>
      </c>
      <c r="C552" s="1" t="n">
        <v>46136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15464-2023</t>
        </is>
      </c>
      <c r="B553" s="1" t="n">
        <v>45020.4343287037</v>
      </c>
      <c r="C553" s="1" t="n">
        <v>46136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17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8423-2026</t>
        </is>
      </c>
      <c r="B554" s="1" t="n">
        <v>46065</v>
      </c>
      <c r="C554" s="1" t="n">
        <v>46136</v>
      </c>
      <c r="D554" t="inlineStr">
        <is>
          <t>GÄVLEBORGS LÄN</t>
        </is>
      </c>
      <c r="E554" t="inlineStr">
        <is>
          <t>NORDANSTIG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8407-2026</t>
        </is>
      </c>
      <c r="B555" s="1" t="n">
        <v>46065</v>
      </c>
      <c r="C555" s="1" t="n">
        <v>46136</v>
      </c>
      <c r="D555" t="inlineStr">
        <is>
          <t>GÄVLEBORGS LÄN</t>
        </is>
      </c>
      <c r="E555" t="inlineStr">
        <is>
          <t>NORDANSTIG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59930-2024</t>
        </is>
      </c>
      <c r="B556" s="1" t="n">
        <v>45642</v>
      </c>
      <c r="C556" s="1" t="n">
        <v>46136</v>
      </c>
      <c r="D556" t="inlineStr">
        <is>
          <t>GÄVLEBORGS LÄN</t>
        </is>
      </c>
      <c r="E556" t="inlineStr">
        <is>
          <t>NORDANSTIG</t>
        </is>
      </c>
      <c r="G556" t="n">
        <v>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58112-2024</t>
        </is>
      </c>
      <c r="B557" s="1" t="n">
        <v>45632.38268518518</v>
      </c>
      <c r="C557" s="1" t="n">
        <v>46136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8628-2026</t>
        </is>
      </c>
      <c r="B558" s="1" t="n">
        <v>46066</v>
      </c>
      <c r="C558" s="1" t="n">
        <v>46136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8646-2026</t>
        </is>
      </c>
      <c r="B559" s="1" t="n">
        <v>46066</v>
      </c>
      <c r="C559" s="1" t="n">
        <v>46136</v>
      </c>
      <c r="D559" t="inlineStr">
        <is>
          <t>GÄVLEBORGS LÄN</t>
        </is>
      </c>
      <c r="E559" t="inlineStr">
        <is>
          <t>NORDANSTIG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21153-2023</t>
        </is>
      </c>
      <c r="B560" s="1" t="n">
        <v>45062.40555555555</v>
      </c>
      <c r="C560" s="1" t="n">
        <v>46136</v>
      </c>
      <c r="D560" t="inlineStr">
        <is>
          <t>GÄVLEBORGS LÄN</t>
        </is>
      </c>
      <c r="E560" t="inlineStr">
        <is>
          <t>NORDANSTIG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34728-2025</t>
        </is>
      </c>
      <c r="B561" s="1" t="n">
        <v>45848.58239583333</v>
      </c>
      <c r="C561" s="1" t="n">
        <v>46136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34732-2025</t>
        </is>
      </c>
      <c r="B562" s="1" t="n">
        <v>45848.59746527778</v>
      </c>
      <c r="C562" s="1" t="n">
        <v>46136</v>
      </c>
      <c r="D562" t="inlineStr">
        <is>
          <t>GÄVLEBORGS LÄN</t>
        </is>
      </c>
      <c r="E562" t="inlineStr">
        <is>
          <t>NORDANSTIG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15746-2026</t>
        </is>
      </c>
      <c r="B563" s="1" t="n">
        <v>46107.41862268518</v>
      </c>
      <c r="C563" s="1" t="n">
        <v>46136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34788-2025</t>
        </is>
      </c>
      <c r="B564" s="1" t="n">
        <v>45848.6784837963</v>
      </c>
      <c r="C564" s="1" t="n">
        <v>46136</v>
      </c>
      <c r="D564" t="inlineStr">
        <is>
          <t>GÄVLEBORGS LÄN</t>
        </is>
      </c>
      <c r="E564" t="inlineStr">
        <is>
          <t>NORDANSTIG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6093-2023</t>
        </is>
      </c>
      <c r="B565" s="1" t="n">
        <v>44964.56496527778</v>
      </c>
      <c r="C565" s="1" t="n">
        <v>46136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21063-2024</t>
        </is>
      </c>
      <c r="B566" s="1" t="n">
        <v>45439.8161574074</v>
      </c>
      <c r="C566" s="1" t="n">
        <v>46136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21085-2024</t>
        </is>
      </c>
      <c r="B567" s="1" t="n">
        <v>45439</v>
      </c>
      <c r="C567" s="1" t="n">
        <v>46136</v>
      </c>
      <c r="D567" t="inlineStr">
        <is>
          <t>GÄVLEBORGS LÄN</t>
        </is>
      </c>
      <c r="E567" t="inlineStr">
        <is>
          <t>NORDANSTIG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39207-2023</t>
        </is>
      </c>
      <c r="B568" s="1" t="n">
        <v>45166.41370370371</v>
      </c>
      <c r="C568" s="1" t="n">
        <v>46136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16035-2026</t>
        </is>
      </c>
      <c r="B569" s="1" t="n">
        <v>46108.46259259259</v>
      </c>
      <c r="C569" s="1" t="n">
        <v>46136</v>
      </c>
      <c r="D569" t="inlineStr">
        <is>
          <t>GÄVLEBORGS LÄN</t>
        </is>
      </c>
      <c r="E569" t="inlineStr">
        <is>
          <t>NORDANSTIG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16046-2026</t>
        </is>
      </c>
      <c r="B570" s="1" t="n">
        <v>46108.476875</v>
      </c>
      <c r="C570" s="1" t="n">
        <v>46136</v>
      </c>
      <c r="D570" t="inlineStr">
        <is>
          <t>GÄVLEBORGS LÄN</t>
        </is>
      </c>
      <c r="E570" t="inlineStr">
        <is>
          <t>NORDANSTIG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34694-2025</t>
        </is>
      </c>
      <c r="B571" s="1" t="n">
        <v>45848.45990740741</v>
      </c>
      <c r="C571" s="1" t="n">
        <v>46136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8541-2026</t>
        </is>
      </c>
      <c r="B572" s="1" t="n">
        <v>46065.6115162037</v>
      </c>
      <c r="C572" s="1" t="n">
        <v>46136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52788-2024</t>
        </is>
      </c>
      <c r="B573" s="1" t="n">
        <v>45610.55405092592</v>
      </c>
      <c r="C573" s="1" t="n">
        <v>46136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19568-2024</t>
        </is>
      </c>
      <c r="B574" s="1" t="n">
        <v>45429.92326388889</v>
      </c>
      <c r="C574" s="1" t="n">
        <v>46136</v>
      </c>
      <c r="D574" t="inlineStr">
        <is>
          <t>GÄVLEBORGS LÄN</t>
        </is>
      </c>
      <c r="E574" t="inlineStr">
        <is>
          <t>NORDANSTIG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8974-2026</t>
        </is>
      </c>
      <c r="B575" s="1" t="n">
        <v>46069.43674768518</v>
      </c>
      <c r="C575" s="1" t="n">
        <v>46136</v>
      </c>
      <c r="D575" t="inlineStr">
        <is>
          <t>GÄVLEBORGS LÄN</t>
        </is>
      </c>
      <c r="E575" t="inlineStr">
        <is>
          <t>NORDANSTIG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8975-2026</t>
        </is>
      </c>
      <c r="B576" s="1" t="n">
        <v>46069.43813657408</v>
      </c>
      <c r="C576" s="1" t="n">
        <v>46136</v>
      </c>
      <c r="D576" t="inlineStr">
        <is>
          <t>GÄVLEBORGS LÄN</t>
        </is>
      </c>
      <c r="E576" t="inlineStr">
        <is>
          <t>NORDANSTIG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9032-2026</t>
        </is>
      </c>
      <c r="B577" s="1" t="n">
        <v>46069.5162037037</v>
      </c>
      <c r="C577" s="1" t="n">
        <v>46136</v>
      </c>
      <c r="D577" t="inlineStr">
        <is>
          <t>GÄVLEBORGS LÄN</t>
        </is>
      </c>
      <c r="E577" t="inlineStr">
        <is>
          <t>NORDANSTIG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9202-2026</t>
        </is>
      </c>
      <c r="B578" s="1" t="n">
        <v>46070.40954861111</v>
      </c>
      <c r="C578" s="1" t="n">
        <v>46136</v>
      </c>
      <c r="D578" t="inlineStr">
        <is>
          <t>GÄVLEBORGS LÄN</t>
        </is>
      </c>
      <c r="E578" t="inlineStr">
        <is>
          <t>NORDANSTIG</t>
        </is>
      </c>
      <c r="G578" t="n">
        <v>41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16668-2026</t>
        </is>
      </c>
      <c r="B579" s="1" t="n">
        <v>46112.66270833334</v>
      </c>
      <c r="C579" s="1" t="n">
        <v>46136</v>
      </c>
      <c r="D579" t="inlineStr">
        <is>
          <t>GÄVLEBORGS LÄN</t>
        </is>
      </c>
      <c r="E579" t="inlineStr">
        <is>
          <t>NORDANSTIG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30717-2024</t>
        </is>
      </c>
      <c r="B580" s="1" t="n">
        <v>45496.48064814815</v>
      </c>
      <c r="C580" s="1" t="n">
        <v>46136</v>
      </c>
      <c r="D580" t="inlineStr">
        <is>
          <t>GÄVLEBORGS LÄN</t>
        </is>
      </c>
      <c r="E580" t="inlineStr">
        <is>
          <t>NORDANSTIG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34944-2025</t>
        </is>
      </c>
      <c r="B581" s="1" t="n">
        <v>45849.5868287037</v>
      </c>
      <c r="C581" s="1" t="n">
        <v>46136</v>
      </c>
      <c r="D581" t="inlineStr">
        <is>
          <t>GÄVLEBORGS LÄN</t>
        </is>
      </c>
      <c r="E581" t="inlineStr">
        <is>
          <t>NORDANSTIG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61422-2024</t>
        </is>
      </c>
      <c r="B582" s="1" t="n">
        <v>45646.45193287037</v>
      </c>
      <c r="C582" s="1" t="n">
        <v>46136</v>
      </c>
      <c r="D582" t="inlineStr">
        <is>
          <t>GÄVLEBORGS LÄN</t>
        </is>
      </c>
      <c r="E582" t="inlineStr">
        <is>
          <t>NORDANSTIG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41482-2025</t>
        </is>
      </c>
      <c r="B583" s="1" t="n">
        <v>45901.47646990741</v>
      </c>
      <c r="C583" s="1" t="n">
        <v>46136</v>
      </c>
      <c r="D583" t="inlineStr">
        <is>
          <t>GÄVLEBORGS LÄN</t>
        </is>
      </c>
      <c r="E583" t="inlineStr">
        <is>
          <t>NORDANSTIG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34913-2023</t>
        </is>
      </c>
      <c r="B584" s="1" t="n">
        <v>45142.46318287037</v>
      </c>
      <c r="C584" s="1" t="n">
        <v>46136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34918-2023</t>
        </is>
      </c>
      <c r="B585" s="1" t="n">
        <v>45142.47361111111</v>
      </c>
      <c r="C585" s="1" t="n">
        <v>46136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59924-2024</t>
        </is>
      </c>
      <c r="B586" s="1" t="n">
        <v>45641</v>
      </c>
      <c r="C586" s="1" t="n">
        <v>46136</v>
      </c>
      <c r="D586" t="inlineStr">
        <is>
          <t>GÄVLEBORGS LÄN</t>
        </is>
      </c>
      <c r="E586" t="inlineStr">
        <is>
          <t>NORDANSTIG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59945-2024</t>
        </is>
      </c>
      <c r="B587" s="1" t="n">
        <v>45642.33392361111</v>
      </c>
      <c r="C587" s="1" t="n">
        <v>46136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8.1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54156-2024</t>
        </is>
      </c>
      <c r="B588" s="1" t="n">
        <v>45616</v>
      </c>
      <c r="C588" s="1" t="n">
        <v>46136</v>
      </c>
      <c r="D588" t="inlineStr">
        <is>
          <t>GÄVLEBORGS LÄN</t>
        </is>
      </c>
      <c r="E588" t="inlineStr">
        <is>
          <t>NORDANSTIG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54385-2024</t>
        </is>
      </c>
      <c r="B589" s="1" t="n">
        <v>45617.44668981482</v>
      </c>
      <c r="C589" s="1" t="n">
        <v>46136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5964-2025</t>
        </is>
      </c>
      <c r="B590" s="1" t="n">
        <v>45695</v>
      </c>
      <c r="C590" s="1" t="n">
        <v>46136</v>
      </c>
      <c r="D590" t="inlineStr">
        <is>
          <t>GÄVLEBORGS LÄN</t>
        </is>
      </c>
      <c r="E590" t="inlineStr">
        <is>
          <t>NORDANSTIG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13489-2025</t>
        </is>
      </c>
      <c r="B591" s="1" t="n">
        <v>45736</v>
      </c>
      <c r="C591" s="1" t="n">
        <v>46136</v>
      </c>
      <c r="D591" t="inlineStr">
        <is>
          <t>GÄVLEBORGS LÄN</t>
        </is>
      </c>
      <c r="E591" t="inlineStr">
        <is>
          <t>NORDANSTIG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12398-2023</t>
        </is>
      </c>
      <c r="B592" s="1" t="n">
        <v>44999.49780092593</v>
      </c>
      <c r="C592" s="1" t="n">
        <v>46136</v>
      </c>
      <c r="D592" t="inlineStr">
        <is>
          <t>GÄVLEBORGS LÄN</t>
        </is>
      </c>
      <c r="E592" t="inlineStr">
        <is>
          <t>NORDANSTIG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15597-2026</t>
        </is>
      </c>
      <c r="B593" s="1" t="n">
        <v>46106</v>
      </c>
      <c r="C593" s="1" t="n">
        <v>46136</v>
      </c>
      <c r="D593" t="inlineStr">
        <is>
          <t>GÄVLEBORGS LÄN</t>
        </is>
      </c>
      <c r="E593" t="inlineStr">
        <is>
          <t>NORDANSTIG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41825-2025</t>
        </is>
      </c>
      <c r="B594" s="1" t="n">
        <v>45902.66770833333</v>
      </c>
      <c r="C594" s="1" t="n">
        <v>46136</v>
      </c>
      <c r="D594" t="inlineStr">
        <is>
          <t>GÄVLEBORGS LÄN</t>
        </is>
      </c>
      <c r="E594" t="inlineStr">
        <is>
          <t>NORDANSTIG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16291-2026</t>
        </is>
      </c>
      <c r="B595" s="1" t="n">
        <v>46111</v>
      </c>
      <c r="C595" s="1" t="n">
        <v>46136</v>
      </c>
      <c r="D595" t="inlineStr">
        <is>
          <t>GÄVLEBORGS LÄN</t>
        </is>
      </c>
      <c r="E595" t="inlineStr">
        <is>
          <t>NORDANSTIG</t>
        </is>
      </c>
      <c r="F595" t="inlineStr">
        <is>
          <t>Kommuner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5968-2025</t>
        </is>
      </c>
      <c r="B596" s="1" t="n">
        <v>45695.49866898148</v>
      </c>
      <c r="C596" s="1" t="n">
        <v>46136</v>
      </c>
      <c r="D596" t="inlineStr">
        <is>
          <t>GÄVLEBORGS LÄN</t>
        </is>
      </c>
      <c r="E596" t="inlineStr">
        <is>
          <t>NORDANSTIG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9122-2026</t>
        </is>
      </c>
      <c r="B597" s="1" t="n">
        <v>46069</v>
      </c>
      <c r="C597" s="1" t="n">
        <v>46136</v>
      </c>
      <c r="D597" t="inlineStr">
        <is>
          <t>GÄVLEBORGS LÄN</t>
        </is>
      </c>
      <c r="E597" t="inlineStr">
        <is>
          <t>NORDANSTIG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16659-2026</t>
        </is>
      </c>
      <c r="B598" s="1" t="n">
        <v>46112.65329861111</v>
      </c>
      <c r="C598" s="1" t="n">
        <v>46136</v>
      </c>
      <c r="D598" t="inlineStr">
        <is>
          <t>GÄVLEBORGS LÄN</t>
        </is>
      </c>
      <c r="E598" t="inlineStr">
        <is>
          <t>NORDANSTIG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16665-2026</t>
        </is>
      </c>
      <c r="B599" s="1" t="n">
        <v>46112.65956018519</v>
      </c>
      <c r="C599" s="1" t="n">
        <v>46136</v>
      </c>
      <c r="D599" t="inlineStr">
        <is>
          <t>GÄVLEBORGS LÄN</t>
        </is>
      </c>
      <c r="E599" t="inlineStr">
        <is>
          <t>NORDANSTIG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16670-2026</t>
        </is>
      </c>
      <c r="B600" s="1" t="n">
        <v>46112.66375</v>
      </c>
      <c r="C600" s="1" t="n">
        <v>46136</v>
      </c>
      <c r="D600" t="inlineStr">
        <is>
          <t>GÄVLEBORGS LÄN</t>
        </is>
      </c>
      <c r="E600" t="inlineStr">
        <is>
          <t>NORDANSTIG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14502-2026</t>
        </is>
      </c>
      <c r="B601" s="1" t="n">
        <v>46100</v>
      </c>
      <c r="C601" s="1" t="n">
        <v>46136</v>
      </c>
      <c r="D601" t="inlineStr">
        <is>
          <t>GÄVLEBORGS LÄN</t>
        </is>
      </c>
      <c r="E601" t="inlineStr">
        <is>
          <t>NORDANSTIG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9340-2026</t>
        </is>
      </c>
      <c r="B602" s="1" t="n">
        <v>46070.67569444444</v>
      </c>
      <c r="C602" s="1" t="n">
        <v>46136</v>
      </c>
      <c r="D602" t="inlineStr">
        <is>
          <t>GÄVLEBORGS LÄN</t>
        </is>
      </c>
      <c r="E602" t="inlineStr">
        <is>
          <t>NORDANSTIG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16523-2026</t>
        </is>
      </c>
      <c r="B603" s="1" t="n">
        <v>46112.46712962963</v>
      </c>
      <c r="C603" s="1" t="n">
        <v>46136</v>
      </c>
      <c r="D603" t="inlineStr">
        <is>
          <t>GÄVLEBORGS LÄN</t>
        </is>
      </c>
      <c r="E603" t="inlineStr">
        <is>
          <t>NORDANSTIG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35714-2025</t>
        </is>
      </c>
      <c r="B604" s="1" t="n">
        <v>45860.41956018518</v>
      </c>
      <c r="C604" s="1" t="n">
        <v>46136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26728-2022</t>
        </is>
      </c>
      <c r="B605" s="1" t="n">
        <v>44739.92518518519</v>
      </c>
      <c r="C605" s="1" t="n">
        <v>46136</v>
      </c>
      <c r="D605" t="inlineStr">
        <is>
          <t>GÄVLEBORGS LÄN</t>
        </is>
      </c>
      <c r="E605" t="inlineStr">
        <is>
          <t>NORDANSTIG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53484-2025</t>
        </is>
      </c>
      <c r="B606" s="1" t="n">
        <v>45959.88045138889</v>
      </c>
      <c r="C606" s="1" t="n">
        <v>46136</v>
      </c>
      <c r="D606" t="inlineStr">
        <is>
          <t>GÄVLEBORGS LÄN</t>
        </is>
      </c>
      <c r="E606" t="inlineStr">
        <is>
          <t>NORDANSTIG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35707-2025</t>
        </is>
      </c>
      <c r="B607" s="1" t="n">
        <v>45860.37251157407</v>
      </c>
      <c r="C607" s="1" t="n">
        <v>46136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35649-2025</t>
        </is>
      </c>
      <c r="B608" s="1" t="n">
        <v>45859.51931712963</v>
      </c>
      <c r="C608" s="1" t="n">
        <v>46136</v>
      </c>
      <c r="D608" t="inlineStr">
        <is>
          <t>GÄVLEBORGS LÄN</t>
        </is>
      </c>
      <c r="E608" t="inlineStr">
        <is>
          <t>NORDANSTIG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35652-2025</t>
        </is>
      </c>
      <c r="B609" s="1" t="n">
        <v>45859.52591435185</v>
      </c>
      <c r="C609" s="1" t="n">
        <v>46136</v>
      </c>
      <c r="D609" t="inlineStr">
        <is>
          <t>GÄVLEBORGS LÄN</t>
        </is>
      </c>
      <c r="E609" t="inlineStr">
        <is>
          <t>NORDANSTIG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14532-2026</t>
        </is>
      </c>
      <c r="B610" s="1" t="n">
        <v>46100</v>
      </c>
      <c r="C610" s="1" t="n">
        <v>46136</v>
      </c>
      <c r="D610" t="inlineStr">
        <is>
          <t>GÄVLEBORGS LÄN</t>
        </is>
      </c>
      <c r="E610" t="inlineStr">
        <is>
          <t>NORDANSTIG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35725-2025</t>
        </is>
      </c>
      <c r="B611" s="1" t="n">
        <v>45860.45087962963</v>
      </c>
      <c r="C611" s="1" t="n">
        <v>46136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16436-2026</t>
        </is>
      </c>
      <c r="B612" s="1" t="n">
        <v>46111.82423611111</v>
      </c>
      <c r="C612" s="1" t="n">
        <v>46136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42.1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16440-2026</t>
        </is>
      </c>
      <c r="B613" s="1" t="n">
        <v>46111.85678240741</v>
      </c>
      <c r="C613" s="1" t="n">
        <v>46136</v>
      </c>
      <c r="D613" t="inlineStr">
        <is>
          <t>GÄVLEBORGS LÄN</t>
        </is>
      </c>
      <c r="E613" t="inlineStr">
        <is>
          <t>NORDANSTIG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9204-2026</t>
        </is>
      </c>
      <c r="B614" s="1" t="n">
        <v>46070.41575231482</v>
      </c>
      <c r="C614" s="1" t="n">
        <v>46136</v>
      </c>
      <c r="D614" t="inlineStr">
        <is>
          <t>GÄVLEBORGS LÄN</t>
        </is>
      </c>
      <c r="E614" t="inlineStr">
        <is>
          <t>NORDANSTIG</t>
        </is>
      </c>
      <c r="G614" t="n">
        <v>15.6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35733-2025</t>
        </is>
      </c>
      <c r="B615" s="1" t="n">
        <v>45860.47178240741</v>
      </c>
      <c r="C615" s="1" t="n">
        <v>46136</v>
      </c>
      <c r="D615" t="inlineStr">
        <is>
          <t>GÄVLEBORGS LÄN</t>
        </is>
      </c>
      <c r="E615" t="inlineStr">
        <is>
          <t>NORDANSTIG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58872-2024</t>
        </is>
      </c>
      <c r="B616" s="1" t="n">
        <v>45636.44068287037</v>
      </c>
      <c r="C616" s="1" t="n">
        <v>46136</v>
      </c>
      <c r="D616" t="inlineStr">
        <is>
          <t>GÄVLEBORGS LÄN</t>
        </is>
      </c>
      <c r="E616" t="inlineStr">
        <is>
          <t>NORDANSTIG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35868-2025</t>
        </is>
      </c>
      <c r="B617" s="1" t="n">
        <v>45862.01456018518</v>
      </c>
      <c r="C617" s="1" t="n">
        <v>46136</v>
      </c>
      <c r="D617" t="inlineStr">
        <is>
          <t>GÄVLEBORGS LÄN</t>
        </is>
      </c>
      <c r="E617" t="inlineStr">
        <is>
          <t>NORDANSTIG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35821-2025</t>
        </is>
      </c>
      <c r="B618" s="1" t="n">
        <v>45861.46443287037</v>
      </c>
      <c r="C618" s="1" t="n">
        <v>46136</v>
      </c>
      <c r="D618" t="inlineStr">
        <is>
          <t>GÄVLEBORGS LÄN</t>
        </is>
      </c>
      <c r="E618" t="inlineStr">
        <is>
          <t>NORDANSTIG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16449-2026</t>
        </is>
      </c>
      <c r="B619" s="1" t="n">
        <v>46112.3321875</v>
      </c>
      <c r="C619" s="1" t="n">
        <v>46136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34.8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34783-2022</t>
        </is>
      </c>
      <c r="B620" s="1" t="n">
        <v>44795</v>
      </c>
      <c r="C620" s="1" t="n">
        <v>46136</v>
      </c>
      <c r="D620" t="inlineStr">
        <is>
          <t>GÄVLEBORGS LÄN</t>
        </is>
      </c>
      <c r="E620" t="inlineStr">
        <is>
          <t>NORDANSTIG</t>
        </is>
      </c>
      <c r="G620" t="n">
        <v>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9275-2026</t>
        </is>
      </c>
      <c r="B621" s="1" t="n">
        <v>46070.56564814815</v>
      </c>
      <c r="C621" s="1" t="n">
        <v>46136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9361-2026</t>
        </is>
      </c>
      <c r="B622" s="1" t="n">
        <v>46070</v>
      </c>
      <c r="C622" s="1" t="n">
        <v>46136</v>
      </c>
      <c r="D622" t="inlineStr">
        <is>
          <t>GÄVLEBORGS LÄN</t>
        </is>
      </c>
      <c r="E622" t="inlineStr">
        <is>
          <t>NORDANSTIG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9119-2026</t>
        </is>
      </c>
      <c r="B623" s="1" t="n">
        <v>46069</v>
      </c>
      <c r="C623" s="1" t="n">
        <v>46136</v>
      </c>
      <c r="D623" t="inlineStr">
        <is>
          <t>GÄVLEBORGS LÄN</t>
        </is>
      </c>
      <c r="E623" t="inlineStr">
        <is>
          <t>NORDANSTIG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9120-2026</t>
        </is>
      </c>
      <c r="B624" s="1" t="n">
        <v>46069</v>
      </c>
      <c r="C624" s="1" t="n">
        <v>46136</v>
      </c>
      <c r="D624" t="inlineStr">
        <is>
          <t>GÄVLEBORGS LÄN</t>
        </is>
      </c>
      <c r="E624" t="inlineStr">
        <is>
          <t>NORDANSTIG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16290-2026</t>
        </is>
      </c>
      <c r="B625" s="1" t="n">
        <v>46111</v>
      </c>
      <c r="C625" s="1" t="n">
        <v>46136</v>
      </c>
      <c r="D625" t="inlineStr">
        <is>
          <t>GÄVLEBORGS LÄN</t>
        </is>
      </c>
      <c r="E625" t="inlineStr">
        <is>
          <t>NORDANSTIG</t>
        </is>
      </c>
      <c r="F625" t="inlineStr">
        <is>
          <t>Kommuner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16293-2026</t>
        </is>
      </c>
      <c r="B626" s="1" t="n">
        <v>46111</v>
      </c>
      <c r="C626" s="1" t="n">
        <v>46136</v>
      </c>
      <c r="D626" t="inlineStr">
        <is>
          <t>GÄVLEBORGS LÄN</t>
        </is>
      </c>
      <c r="E626" t="inlineStr">
        <is>
          <t>NORDANSTIG</t>
        </is>
      </c>
      <c r="F626" t="inlineStr">
        <is>
          <t>Kommuner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16294-2026</t>
        </is>
      </c>
      <c r="B627" s="1" t="n">
        <v>46111</v>
      </c>
      <c r="C627" s="1" t="n">
        <v>46136</v>
      </c>
      <c r="D627" t="inlineStr">
        <is>
          <t>GÄVLEBORGS LÄN</t>
        </is>
      </c>
      <c r="E627" t="inlineStr">
        <is>
          <t>NORDANSTIG</t>
        </is>
      </c>
      <c r="F627" t="inlineStr">
        <is>
          <t>Kommuner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16434-2026</t>
        </is>
      </c>
      <c r="B628" s="1" t="n">
        <v>46111.81787037037</v>
      </c>
      <c r="C628" s="1" t="n">
        <v>46136</v>
      </c>
      <c r="D628" t="inlineStr">
        <is>
          <t>GÄVLEBORGS LÄN</t>
        </is>
      </c>
      <c r="E628" t="inlineStr">
        <is>
          <t>NORDANSTIG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16528-2026</t>
        </is>
      </c>
      <c r="B629" s="1" t="n">
        <v>46112.47201388889</v>
      </c>
      <c r="C629" s="1" t="n">
        <v>46136</v>
      </c>
      <c r="D629" t="inlineStr">
        <is>
          <t>GÄVLEBORGS LÄN</t>
        </is>
      </c>
      <c r="E629" t="inlineStr">
        <is>
          <t>NORDANSTIG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17052-2023</t>
        </is>
      </c>
      <c r="B630" s="1" t="n">
        <v>45034.44483796296</v>
      </c>
      <c r="C630" s="1" t="n">
        <v>46136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8.6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16674-2026</t>
        </is>
      </c>
      <c r="B631" s="1" t="n">
        <v>46112.68090277778</v>
      </c>
      <c r="C631" s="1" t="n">
        <v>46136</v>
      </c>
      <c r="D631" t="inlineStr">
        <is>
          <t>GÄVLEBORGS LÄN</t>
        </is>
      </c>
      <c r="E631" t="inlineStr">
        <is>
          <t>NORDANSTIG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16654-2026</t>
        </is>
      </c>
      <c r="B632" s="1" t="n">
        <v>46112.64793981481</v>
      </c>
      <c r="C632" s="1" t="n">
        <v>46136</v>
      </c>
      <c r="D632" t="inlineStr">
        <is>
          <t>GÄVLEBORGS LÄN</t>
        </is>
      </c>
      <c r="E632" t="inlineStr">
        <is>
          <t>NORDANSTIG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16687-2026</t>
        </is>
      </c>
      <c r="B633" s="1" t="n">
        <v>46112.73370370371</v>
      </c>
      <c r="C633" s="1" t="n">
        <v>46136</v>
      </c>
      <c r="D633" t="inlineStr">
        <is>
          <t>GÄVLEBORGS LÄN</t>
        </is>
      </c>
      <c r="E633" t="inlineStr">
        <is>
          <t>NORDANSTIG</t>
        </is>
      </c>
      <c r="G633" t="n">
        <v>6.3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8998-2026</t>
        </is>
      </c>
      <c r="B634" s="1" t="n">
        <v>46069.47255787037</v>
      </c>
      <c r="C634" s="1" t="n">
        <v>46136</v>
      </c>
      <c r="D634" t="inlineStr">
        <is>
          <t>GÄVLEBORGS LÄN</t>
        </is>
      </c>
      <c r="E634" t="inlineStr">
        <is>
          <t>NORDANSTIG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6350-2025</t>
        </is>
      </c>
      <c r="B635" s="1" t="n">
        <v>45699.34824074074</v>
      </c>
      <c r="C635" s="1" t="n">
        <v>46136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9.699999999999999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8972-2026</t>
        </is>
      </c>
      <c r="B636" s="1" t="n">
        <v>46069</v>
      </c>
      <c r="C636" s="1" t="n">
        <v>46136</v>
      </c>
      <c r="D636" t="inlineStr">
        <is>
          <t>GÄVLEBORGS LÄN</t>
        </is>
      </c>
      <c r="E636" t="inlineStr">
        <is>
          <t>NORDANSTIG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9271-2026</t>
        </is>
      </c>
      <c r="B637" s="1" t="n">
        <v>46070.55806712963</v>
      </c>
      <c r="C637" s="1" t="n">
        <v>46136</v>
      </c>
      <c r="D637" t="inlineStr">
        <is>
          <t>GÄVLEBORGS LÄN</t>
        </is>
      </c>
      <c r="E637" t="inlineStr">
        <is>
          <t>NORDANSTIG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16297-2026</t>
        </is>
      </c>
      <c r="B638" s="1" t="n">
        <v>46111</v>
      </c>
      <c r="C638" s="1" t="n">
        <v>46136</v>
      </c>
      <c r="D638" t="inlineStr">
        <is>
          <t>GÄVLEBORGS LÄN</t>
        </is>
      </c>
      <c r="E638" t="inlineStr">
        <is>
          <t>NORDANSTIG</t>
        </is>
      </c>
      <c r="F638" t="inlineStr">
        <is>
          <t>Kommuner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16310-2026</t>
        </is>
      </c>
      <c r="B639" s="1" t="n">
        <v>46111</v>
      </c>
      <c r="C639" s="1" t="n">
        <v>46136</v>
      </c>
      <c r="D639" t="inlineStr">
        <is>
          <t>GÄVLEBORGS LÄN</t>
        </is>
      </c>
      <c r="E639" t="inlineStr">
        <is>
          <t>NORDANSTIG</t>
        </is>
      </c>
      <c r="F639" t="inlineStr">
        <is>
          <t>Kommuner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16717-2026</t>
        </is>
      </c>
      <c r="B640" s="1" t="n">
        <v>46113.348125</v>
      </c>
      <c r="C640" s="1" t="n">
        <v>46136</v>
      </c>
      <c r="D640" t="inlineStr">
        <is>
          <t>GÄVLEBORGS LÄN</t>
        </is>
      </c>
      <c r="E640" t="inlineStr">
        <is>
          <t>NORDANSTIG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9516-2026</t>
        </is>
      </c>
      <c r="B641" s="1" t="n">
        <v>46071.59585648148</v>
      </c>
      <c r="C641" s="1" t="n">
        <v>46136</v>
      </c>
      <c r="D641" t="inlineStr">
        <is>
          <t>GÄVLEBORGS LÄN</t>
        </is>
      </c>
      <c r="E641" t="inlineStr">
        <is>
          <t>NORDANSTIG</t>
        </is>
      </c>
      <c r="G641" t="n">
        <v>12.2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9550-2026</t>
        </is>
      </c>
      <c r="B642" s="1" t="n">
        <v>46071</v>
      </c>
      <c r="C642" s="1" t="n">
        <v>46136</v>
      </c>
      <c r="D642" t="inlineStr">
        <is>
          <t>GÄVLEBORGS LÄN</t>
        </is>
      </c>
      <c r="E642" t="inlineStr">
        <is>
          <t>NORDANSTIG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9591-2026</t>
        </is>
      </c>
      <c r="B643" s="1" t="n">
        <v>46071</v>
      </c>
      <c r="C643" s="1" t="n">
        <v>46136</v>
      </c>
      <c r="D643" t="inlineStr">
        <is>
          <t>GÄVLEBORGS LÄN</t>
        </is>
      </c>
      <c r="E643" t="inlineStr">
        <is>
          <t>NORDANSTIG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282-2025</t>
        </is>
      </c>
      <c r="B644" s="1" t="n">
        <v>45660</v>
      </c>
      <c r="C644" s="1" t="n">
        <v>46136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14.1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9491-2026</t>
        </is>
      </c>
      <c r="B645" s="1" t="n">
        <v>46071</v>
      </c>
      <c r="C645" s="1" t="n">
        <v>46136</v>
      </c>
      <c r="D645" t="inlineStr">
        <is>
          <t>GÄVLEBORGS LÄN</t>
        </is>
      </c>
      <c r="E645" t="inlineStr">
        <is>
          <t>NORDANSTIG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9496-2026</t>
        </is>
      </c>
      <c r="B646" s="1" t="n">
        <v>46071.56358796296</v>
      </c>
      <c r="C646" s="1" t="n">
        <v>46136</v>
      </c>
      <c r="D646" t="inlineStr">
        <is>
          <t>GÄVLEBORGS LÄN</t>
        </is>
      </c>
      <c r="E646" t="inlineStr">
        <is>
          <t>NORDANSTIG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9500-2026</t>
        </is>
      </c>
      <c r="B647" s="1" t="n">
        <v>46071.57277777778</v>
      </c>
      <c r="C647" s="1" t="n">
        <v>46136</v>
      </c>
      <c r="D647" t="inlineStr">
        <is>
          <t>GÄVLEBORGS LÄN</t>
        </is>
      </c>
      <c r="E647" t="inlineStr">
        <is>
          <t>NORDANSTIG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9494-2026</t>
        </is>
      </c>
      <c r="B648" s="1" t="n">
        <v>46071.5603125</v>
      </c>
      <c r="C648" s="1" t="n">
        <v>46136</v>
      </c>
      <c r="D648" t="inlineStr">
        <is>
          <t>GÄVLEBORGS LÄN</t>
        </is>
      </c>
      <c r="E648" t="inlineStr">
        <is>
          <t>NORDANSTIG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41773-2025</t>
        </is>
      </c>
      <c r="B649" s="1" t="n">
        <v>45902.5585300926</v>
      </c>
      <c r="C649" s="1" t="n">
        <v>46136</v>
      </c>
      <c r="D649" t="inlineStr">
        <is>
          <t>GÄVLEBORGS LÄN</t>
        </is>
      </c>
      <c r="E649" t="inlineStr">
        <is>
          <t>NORDANSTIG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9007-2026</t>
        </is>
      </c>
      <c r="B650" s="1" t="n">
        <v>46069</v>
      </c>
      <c r="C650" s="1" t="n">
        <v>46136</v>
      </c>
      <c r="D650" t="inlineStr">
        <is>
          <t>GÄVLEBORGS LÄN</t>
        </is>
      </c>
      <c r="E650" t="inlineStr">
        <is>
          <t>NORDANSTIG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9590-2026</t>
        </is>
      </c>
      <c r="B651" s="1" t="n">
        <v>46071</v>
      </c>
      <c r="C651" s="1" t="n">
        <v>46136</v>
      </c>
      <c r="D651" t="inlineStr">
        <is>
          <t>GÄVLEBORGS LÄN</t>
        </is>
      </c>
      <c r="E651" t="inlineStr">
        <is>
          <t>NORDANSTIG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9628-2026</t>
        </is>
      </c>
      <c r="B652" s="1" t="n">
        <v>46072.34386574074</v>
      </c>
      <c r="C652" s="1" t="n">
        <v>46136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16832-2026</t>
        </is>
      </c>
      <c r="B653" s="1" t="n">
        <v>46113.5246412037</v>
      </c>
      <c r="C653" s="1" t="n">
        <v>46136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16703-2026</t>
        </is>
      </c>
      <c r="B654" s="1" t="n">
        <v>46113.34142361111</v>
      </c>
      <c r="C654" s="1" t="n">
        <v>46136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17040-2026</t>
        </is>
      </c>
      <c r="B655" s="1" t="n">
        <v>46114.47505787037</v>
      </c>
      <c r="C655" s="1" t="n">
        <v>46136</v>
      </c>
      <c r="D655" t="inlineStr">
        <is>
          <t>GÄVLEBORGS LÄN</t>
        </is>
      </c>
      <c r="E655" t="inlineStr">
        <is>
          <t>NORDANSTIG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16750-2026</t>
        </is>
      </c>
      <c r="B656" s="1" t="n">
        <v>46113.3925</v>
      </c>
      <c r="C656" s="1" t="n">
        <v>46136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16756-2026</t>
        </is>
      </c>
      <c r="B657" s="1" t="n">
        <v>46113.40681712963</v>
      </c>
      <c r="C657" s="1" t="n">
        <v>46136</v>
      </c>
      <c r="D657" t="inlineStr">
        <is>
          <t>GÄVLEBORGS LÄN</t>
        </is>
      </c>
      <c r="E657" t="inlineStr">
        <is>
          <t>NORDANSTIG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9685-2026</t>
        </is>
      </c>
      <c r="B658" s="1" t="n">
        <v>46072.39894675926</v>
      </c>
      <c r="C658" s="1" t="n">
        <v>46136</v>
      </c>
      <c r="D658" t="inlineStr">
        <is>
          <t>GÄVLEBORGS LÄN</t>
        </is>
      </c>
      <c r="E658" t="inlineStr">
        <is>
          <t>NORDANSTIG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879-2026</t>
        </is>
      </c>
      <c r="B659" s="1" t="n">
        <v>46030</v>
      </c>
      <c r="C659" s="1" t="n">
        <v>46136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9425-2026</t>
        </is>
      </c>
      <c r="B660" s="1" t="n">
        <v>46071.44400462963</v>
      </c>
      <c r="C660" s="1" t="n">
        <v>46136</v>
      </c>
      <c r="D660" t="inlineStr">
        <is>
          <t>GÄVLEBORGS LÄN</t>
        </is>
      </c>
      <c r="E660" t="inlineStr">
        <is>
          <t>NORDANSTIG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1034-2026</t>
        </is>
      </c>
      <c r="B661" s="1" t="n">
        <v>46030</v>
      </c>
      <c r="C661" s="1" t="n">
        <v>46136</v>
      </c>
      <c r="D661" t="inlineStr">
        <is>
          <t>GÄVLEBORGS LÄN</t>
        </is>
      </c>
      <c r="E661" t="inlineStr">
        <is>
          <t>NORDANSTIG</t>
        </is>
      </c>
      <c r="G661" t="n">
        <v>11.5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9373-2026</t>
        </is>
      </c>
      <c r="B662" s="1" t="n">
        <v>46070.88240740741</v>
      </c>
      <c r="C662" s="1" t="n">
        <v>46136</v>
      </c>
      <c r="D662" t="inlineStr">
        <is>
          <t>GÄVLEBORGS LÄN</t>
        </is>
      </c>
      <c r="E662" t="inlineStr">
        <is>
          <t>NORDANSTIG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9650-2026</t>
        </is>
      </c>
      <c r="B663" s="1" t="n">
        <v>46072.35728009259</v>
      </c>
      <c r="C663" s="1" t="n">
        <v>46136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16878-2026</t>
        </is>
      </c>
      <c r="B664" s="1" t="n">
        <v>46113.59633101852</v>
      </c>
      <c r="C664" s="1" t="n">
        <v>46136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9780-2026</t>
        </is>
      </c>
      <c r="B665" s="1" t="n">
        <v>46072</v>
      </c>
      <c r="C665" s="1" t="n">
        <v>46136</v>
      </c>
      <c r="D665" t="inlineStr">
        <is>
          <t>GÄVLEBORGS LÄN</t>
        </is>
      </c>
      <c r="E665" t="inlineStr">
        <is>
          <t>NORDANSTIG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10193-2026</t>
        </is>
      </c>
      <c r="B666" s="1" t="n">
        <v>46076.46435185185</v>
      </c>
      <c r="C666" s="1" t="n">
        <v>46136</v>
      </c>
      <c r="D666" t="inlineStr">
        <is>
          <t>GÄVLEBORGS LÄN</t>
        </is>
      </c>
      <c r="E666" t="inlineStr">
        <is>
          <t>NORDANSTIG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38048-2024</t>
        </is>
      </c>
      <c r="B667" s="1" t="n">
        <v>45544</v>
      </c>
      <c r="C667" s="1" t="n">
        <v>46136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18279-2023</t>
        </is>
      </c>
      <c r="B668" s="1" t="n">
        <v>45041.54736111111</v>
      </c>
      <c r="C668" s="1" t="n">
        <v>46136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72082-2021</t>
        </is>
      </c>
      <c r="B669" s="1" t="n">
        <v>44544.51834490741</v>
      </c>
      <c r="C669" s="1" t="n">
        <v>46136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39041-2024</t>
        </is>
      </c>
      <c r="B670" s="1" t="n">
        <v>45548</v>
      </c>
      <c r="C670" s="1" t="n">
        <v>46136</v>
      </c>
      <c r="D670" t="inlineStr">
        <is>
          <t>GÄVLEBORGS LÄN</t>
        </is>
      </c>
      <c r="E670" t="inlineStr">
        <is>
          <t>NORDANSTIG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10199-2026</t>
        </is>
      </c>
      <c r="B671" s="1" t="n">
        <v>46076</v>
      </c>
      <c r="C671" s="1" t="n">
        <v>46136</v>
      </c>
      <c r="D671" t="inlineStr">
        <is>
          <t>GÄVLEBORGS LÄN</t>
        </is>
      </c>
      <c r="E671" t="inlineStr">
        <is>
          <t>NORDANSTIG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17286-2026</t>
        </is>
      </c>
      <c r="B672" s="1" t="n">
        <v>46119.53849537037</v>
      </c>
      <c r="C672" s="1" t="n">
        <v>46136</v>
      </c>
      <c r="D672" t="inlineStr">
        <is>
          <t>GÄVLEBORGS LÄN</t>
        </is>
      </c>
      <c r="E672" t="inlineStr">
        <is>
          <t>NORDANSTIG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17303-2026</t>
        </is>
      </c>
      <c r="B673" s="1" t="n">
        <v>46119.57390046296</v>
      </c>
      <c r="C673" s="1" t="n">
        <v>46136</v>
      </c>
      <c r="D673" t="inlineStr">
        <is>
          <t>GÄVLEBORGS LÄN</t>
        </is>
      </c>
      <c r="E673" t="inlineStr">
        <is>
          <t>NORDANSTIG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58912-2024</t>
        </is>
      </c>
      <c r="B674" s="1" t="n">
        <v>45636.48331018518</v>
      </c>
      <c r="C674" s="1" t="n">
        <v>46136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9969-2026</t>
        </is>
      </c>
      <c r="B675" s="1" t="n">
        <v>46073.51803240741</v>
      </c>
      <c r="C675" s="1" t="n">
        <v>46136</v>
      </c>
      <c r="D675" t="inlineStr">
        <is>
          <t>GÄVLEBORGS LÄN</t>
        </is>
      </c>
      <c r="E675" t="inlineStr">
        <is>
          <t>NORDANSTIG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17201-2026</t>
        </is>
      </c>
      <c r="B676" s="1" t="n">
        <v>46118.72849537037</v>
      </c>
      <c r="C676" s="1" t="n">
        <v>46136</v>
      </c>
      <c r="D676" t="inlineStr">
        <is>
          <t>GÄVLEBORGS LÄN</t>
        </is>
      </c>
      <c r="E676" t="inlineStr">
        <is>
          <t>NORDANSTIG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10484-2023</t>
        </is>
      </c>
      <c r="B677" s="1" t="n">
        <v>44987</v>
      </c>
      <c r="C677" s="1" t="n">
        <v>46136</v>
      </c>
      <c r="D677" t="inlineStr">
        <is>
          <t>GÄVLEBORGS LÄN</t>
        </is>
      </c>
      <c r="E677" t="inlineStr">
        <is>
          <t>NORDANSTIG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10310-2026</t>
        </is>
      </c>
      <c r="B678" s="1" t="n">
        <v>46076</v>
      </c>
      <c r="C678" s="1" t="n">
        <v>46136</v>
      </c>
      <c r="D678" t="inlineStr">
        <is>
          <t>GÄVLEBORGS LÄN</t>
        </is>
      </c>
      <c r="E678" t="inlineStr">
        <is>
          <t>NORDANSTIG</t>
        </is>
      </c>
      <c r="G678" t="n">
        <v>7.8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26833-2021</t>
        </is>
      </c>
      <c r="B679" s="1" t="n">
        <v>44349.57659722222</v>
      </c>
      <c r="C679" s="1" t="n">
        <v>46136</v>
      </c>
      <c r="D679" t="inlineStr">
        <is>
          <t>GÄVLEBORGS LÄN</t>
        </is>
      </c>
      <c r="E679" t="inlineStr">
        <is>
          <t>NORDANSTIG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9971-2026</t>
        </is>
      </c>
      <c r="B680" s="1" t="n">
        <v>46073.519375</v>
      </c>
      <c r="C680" s="1" t="n">
        <v>46136</v>
      </c>
      <c r="D680" t="inlineStr">
        <is>
          <t>GÄVLEBORGS LÄN</t>
        </is>
      </c>
      <c r="E680" t="inlineStr">
        <is>
          <t>NORDANSTIG</t>
        </is>
      </c>
      <c r="G680" t="n">
        <v>7.5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17281-2026</t>
        </is>
      </c>
      <c r="B681" s="1" t="n">
        <v>46119.53114583333</v>
      </c>
      <c r="C681" s="1" t="n">
        <v>46136</v>
      </c>
      <c r="D681" t="inlineStr">
        <is>
          <t>GÄVLEBORGS LÄN</t>
        </is>
      </c>
      <c r="E681" t="inlineStr">
        <is>
          <t>NORDANSTIG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17283-2026</t>
        </is>
      </c>
      <c r="B682" s="1" t="n">
        <v>46119.53700231481</v>
      </c>
      <c r="C682" s="1" t="n">
        <v>46136</v>
      </c>
      <c r="D682" t="inlineStr">
        <is>
          <t>GÄVLEBORGS LÄN</t>
        </is>
      </c>
      <c r="E682" t="inlineStr">
        <is>
          <t>NORDANSTIG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10064-2026</t>
        </is>
      </c>
      <c r="B683" s="1" t="n">
        <v>46073.63263888889</v>
      </c>
      <c r="C683" s="1" t="n">
        <v>46136</v>
      </c>
      <c r="D683" t="inlineStr">
        <is>
          <t>GÄVLEBORGS LÄN</t>
        </is>
      </c>
      <c r="E683" t="inlineStr">
        <is>
          <t>NORDANSTIG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10551-2026</t>
        </is>
      </c>
      <c r="B684" s="1" t="n">
        <v>46077</v>
      </c>
      <c r="C684" s="1" t="n">
        <v>46136</v>
      </c>
      <c r="D684" t="inlineStr">
        <is>
          <t>GÄVLEBORGS LÄN</t>
        </is>
      </c>
      <c r="E684" t="inlineStr">
        <is>
          <t>NORDANSTIG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9976-2026</t>
        </is>
      </c>
      <c r="B685" s="1" t="n">
        <v>46073</v>
      </c>
      <c r="C685" s="1" t="n">
        <v>46136</v>
      </c>
      <c r="D685" t="inlineStr">
        <is>
          <t>GÄVLEBORGS LÄN</t>
        </is>
      </c>
      <c r="E685" t="inlineStr">
        <is>
          <t>NORDANSTIG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35115-2022</t>
        </is>
      </c>
      <c r="B686" s="1" t="n">
        <v>44797.45246527778</v>
      </c>
      <c r="C686" s="1" t="n">
        <v>46136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56494-2024</t>
        </is>
      </c>
      <c r="B687" s="1" t="n">
        <v>45625</v>
      </c>
      <c r="C687" s="1" t="n">
        <v>46136</v>
      </c>
      <c r="D687" t="inlineStr">
        <is>
          <t>GÄVLEBORGS LÄN</t>
        </is>
      </c>
      <c r="E687" t="inlineStr">
        <is>
          <t>NORDANSTIG</t>
        </is>
      </c>
      <c r="G687" t="n">
        <v>10.1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10979-2026</t>
        </is>
      </c>
      <c r="B688" s="1" t="n">
        <v>46079.46731481481</v>
      </c>
      <c r="C688" s="1" t="n">
        <v>46136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10910-2026</t>
        </is>
      </c>
      <c r="B689" s="1" t="n">
        <v>46079.30981481481</v>
      </c>
      <c r="C689" s="1" t="n">
        <v>46136</v>
      </c>
      <c r="D689" t="inlineStr">
        <is>
          <t>GÄVLEBORGS LÄN</t>
        </is>
      </c>
      <c r="E689" t="inlineStr">
        <is>
          <t>NORDANSTIG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14201-2026</t>
        </is>
      </c>
      <c r="B690" s="1" t="n">
        <v>46099</v>
      </c>
      <c r="C690" s="1" t="n">
        <v>46136</v>
      </c>
      <c r="D690" t="inlineStr">
        <is>
          <t>GÄVLEBORGS LÄN</t>
        </is>
      </c>
      <c r="E690" t="inlineStr">
        <is>
          <t>NORDANSTIG</t>
        </is>
      </c>
      <c r="G690" t="n">
        <v>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9031-2026</t>
        </is>
      </c>
      <c r="B691" s="1" t="n">
        <v>46069</v>
      </c>
      <c r="C691" s="1" t="n">
        <v>46136</v>
      </c>
      <c r="D691" t="inlineStr">
        <is>
          <t>GÄVLEBORGS LÄN</t>
        </is>
      </c>
      <c r="E691" t="inlineStr">
        <is>
          <t>NORDANSTIG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1956-2026</t>
        </is>
      </c>
      <c r="B692" s="1" t="n">
        <v>46035</v>
      </c>
      <c r="C692" s="1" t="n">
        <v>46136</v>
      </c>
      <c r="D692" t="inlineStr">
        <is>
          <t>GÄVLEBORGS LÄN</t>
        </is>
      </c>
      <c r="E692" t="inlineStr">
        <is>
          <t>NORDANSTIG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42210-2025</t>
        </is>
      </c>
      <c r="B693" s="1" t="n">
        <v>45904.49702546297</v>
      </c>
      <c r="C693" s="1" t="n">
        <v>46136</v>
      </c>
      <c r="D693" t="inlineStr">
        <is>
          <t>GÄVLEBORGS LÄN</t>
        </is>
      </c>
      <c r="E693" t="inlineStr">
        <is>
          <t>NORDANSTIG</t>
        </is>
      </c>
      <c r="G693" t="n">
        <v>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17490-2026</t>
        </is>
      </c>
      <c r="B694" s="1" t="n">
        <v>46120.58248842593</v>
      </c>
      <c r="C694" s="1" t="n">
        <v>46136</v>
      </c>
      <c r="D694" t="inlineStr">
        <is>
          <t>GÄVLEBORGS LÄN</t>
        </is>
      </c>
      <c r="E694" t="inlineStr">
        <is>
          <t>NORDANSTIG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55608-2023</t>
        </is>
      </c>
      <c r="B695" s="1" t="n">
        <v>45238.70842592593</v>
      </c>
      <c r="C695" s="1" t="n">
        <v>46136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5.2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10655-2026</t>
        </is>
      </c>
      <c r="B696" s="1" t="n">
        <v>46078</v>
      </c>
      <c r="C696" s="1" t="n">
        <v>46136</v>
      </c>
      <c r="D696" t="inlineStr">
        <is>
          <t>GÄVLEBORGS LÄN</t>
        </is>
      </c>
      <c r="E696" t="inlineStr">
        <is>
          <t>NORDANSTIG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10996-2026</t>
        </is>
      </c>
      <c r="B697" s="1" t="n">
        <v>46079.49774305556</v>
      </c>
      <c r="C697" s="1" t="n">
        <v>46136</v>
      </c>
      <c r="D697" t="inlineStr">
        <is>
          <t>GÄVLEBORGS LÄN</t>
        </is>
      </c>
      <c r="E697" t="inlineStr">
        <is>
          <t>NORDANSTIG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11087-2026</t>
        </is>
      </c>
      <c r="B698" s="1" t="n">
        <v>46079.62898148148</v>
      </c>
      <c r="C698" s="1" t="n">
        <v>46136</v>
      </c>
      <c r="D698" t="inlineStr">
        <is>
          <t>GÄVLEBORGS LÄN</t>
        </is>
      </c>
      <c r="E698" t="inlineStr">
        <is>
          <t>NORDANSTIG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17487-2026</t>
        </is>
      </c>
      <c r="B699" s="1" t="n">
        <v>46120.5740162037</v>
      </c>
      <c r="C699" s="1" t="n">
        <v>46136</v>
      </c>
      <c r="D699" t="inlineStr">
        <is>
          <t>GÄVLEBORGS LÄN</t>
        </is>
      </c>
      <c r="E699" t="inlineStr">
        <is>
          <t>NORDANSTIG</t>
        </is>
      </c>
      <c r="G699" t="n">
        <v>9.800000000000001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17489-2026</t>
        </is>
      </c>
      <c r="B700" s="1" t="n">
        <v>46120.57832175926</v>
      </c>
      <c r="C700" s="1" t="n">
        <v>46136</v>
      </c>
      <c r="D700" t="inlineStr">
        <is>
          <t>GÄVLEBORGS LÄN</t>
        </is>
      </c>
      <c r="E700" t="inlineStr">
        <is>
          <t>NORDANSTIG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10993-2026</t>
        </is>
      </c>
      <c r="B701" s="1" t="n">
        <v>46079.48792824074</v>
      </c>
      <c r="C701" s="1" t="n">
        <v>46136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46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10763-2026</t>
        </is>
      </c>
      <c r="B702" s="1" t="n">
        <v>46078.56292824074</v>
      </c>
      <c r="C702" s="1" t="n">
        <v>46136</v>
      </c>
      <c r="D702" t="inlineStr">
        <is>
          <t>GÄVLEBORGS LÄN</t>
        </is>
      </c>
      <c r="E702" t="inlineStr">
        <is>
          <t>NORDANSTIG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9884-2023</t>
        </is>
      </c>
      <c r="B703" s="1" t="n">
        <v>44985.29388888889</v>
      </c>
      <c r="C703" s="1" t="n">
        <v>46136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17494-2026</t>
        </is>
      </c>
      <c r="B704" s="1" t="n">
        <v>46120.59190972222</v>
      </c>
      <c r="C704" s="1" t="n">
        <v>46136</v>
      </c>
      <c r="D704" t="inlineStr">
        <is>
          <t>GÄVLEBORGS LÄN</t>
        </is>
      </c>
      <c r="E704" t="inlineStr">
        <is>
          <t>NORDANSTIG</t>
        </is>
      </c>
      <c r="G704" t="n">
        <v>16.3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17498-2026</t>
        </is>
      </c>
      <c r="B705" s="1" t="n">
        <v>46120.60089120371</v>
      </c>
      <c r="C705" s="1" t="n">
        <v>46136</v>
      </c>
      <c r="D705" t="inlineStr">
        <is>
          <t>GÄVLEBORGS LÄN</t>
        </is>
      </c>
      <c r="E705" t="inlineStr">
        <is>
          <t>NORDANSTIG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9883-2026</t>
        </is>
      </c>
      <c r="B706" s="1" t="n">
        <v>46073</v>
      </c>
      <c r="C706" s="1" t="n">
        <v>46136</v>
      </c>
      <c r="D706" t="inlineStr">
        <is>
          <t>GÄVLEBORGS LÄN</t>
        </is>
      </c>
      <c r="E706" t="inlineStr">
        <is>
          <t>NORDANSTIG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10984-2026</t>
        </is>
      </c>
      <c r="B707" s="1" t="n">
        <v>46079</v>
      </c>
      <c r="C707" s="1" t="n">
        <v>46136</v>
      </c>
      <c r="D707" t="inlineStr">
        <is>
          <t>GÄVLEBORGS LÄN</t>
        </is>
      </c>
      <c r="E707" t="inlineStr">
        <is>
          <t>NORDANSTIG</t>
        </is>
      </c>
      <c r="G707" t="n">
        <v>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17620-2026</t>
        </is>
      </c>
      <c r="B708" s="1" t="n">
        <v>46121.46924768519</v>
      </c>
      <c r="C708" s="1" t="n">
        <v>46136</v>
      </c>
      <c r="D708" t="inlineStr">
        <is>
          <t>GÄVLEBORGS LÄN</t>
        </is>
      </c>
      <c r="E708" t="inlineStr">
        <is>
          <t>NORDANSTIG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17500-2026</t>
        </is>
      </c>
      <c r="B709" s="1" t="n">
        <v>46120.6037037037</v>
      </c>
      <c r="C709" s="1" t="n">
        <v>46136</v>
      </c>
      <c r="D709" t="inlineStr">
        <is>
          <t>GÄVLEBORGS LÄN</t>
        </is>
      </c>
      <c r="E709" t="inlineStr">
        <is>
          <t>NORDANSTIG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37640-2025</t>
        </is>
      </c>
      <c r="B710" s="1" t="n">
        <v>45880.47621527778</v>
      </c>
      <c r="C710" s="1" t="n">
        <v>46136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6.8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17492-2026</t>
        </is>
      </c>
      <c r="B711" s="1" t="n">
        <v>46120.58597222222</v>
      </c>
      <c r="C711" s="1" t="n">
        <v>46136</v>
      </c>
      <c r="D711" t="inlineStr">
        <is>
          <t>GÄVLEBORGS LÄN</t>
        </is>
      </c>
      <c r="E711" t="inlineStr">
        <is>
          <t>NORDANSTIG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57196-2022</t>
        </is>
      </c>
      <c r="B712" s="1" t="n">
        <v>44895.63180555555</v>
      </c>
      <c r="C712" s="1" t="n">
        <v>46136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37728-2025</t>
        </is>
      </c>
      <c r="B713" s="1" t="n">
        <v>45880.62158564815</v>
      </c>
      <c r="C713" s="1" t="n">
        <v>46136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10928-2026</t>
        </is>
      </c>
      <c r="B714" s="1" t="n">
        <v>46079</v>
      </c>
      <c r="C714" s="1" t="n">
        <v>46136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10642-2026</t>
        </is>
      </c>
      <c r="B715" s="1" t="n">
        <v>46078.32804398148</v>
      </c>
      <c r="C715" s="1" t="n">
        <v>46136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11314-2026</t>
        </is>
      </c>
      <c r="B716" s="1" t="n">
        <v>46080.67872685185</v>
      </c>
      <c r="C716" s="1" t="n">
        <v>46136</v>
      </c>
      <c r="D716" t="inlineStr">
        <is>
          <t>GÄVLEBORGS LÄN</t>
        </is>
      </c>
      <c r="E716" t="inlineStr">
        <is>
          <t>NORDANSTIG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42118-2022</t>
        </is>
      </c>
      <c r="B717" s="1" t="n">
        <v>44830.5665162037</v>
      </c>
      <c r="C717" s="1" t="n">
        <v>46136</v>
      </c>
      <c r="D717" t="inlineStr">
        <is>
          <t>GÄVLEBORGS LÄN</t>
        </is>
      </c>
      <c r="E717" t="inlineStr">
        <is>
          <t>NORDANSTIG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11521-2026</t>
        </is>
      </c>
      <c r="B718" s="1" t="n">
        <v>46083.66952546296</v>
      </c>
      <c r="C718" s="1" t="n">
        <v>46136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2962-2025</t>
        </is>
      </c>
      <c r="B719" s="1" t="n">
        <v>45678.45496527778</v>
      </c>
      <c r="C719" s="1" t="n">
        <v>46136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3638-2026</t>
        </is>
      </c>
      <c r="B720" s="1" t="n">
        <v>46043</v>
      </c>
      <c r="C720" s="1" t="n">
        <v>46136</v>
      </c>
      <c r="D720" t="inlineStr">
        <is>
          <t>GÄVLEBORGS LÄN</t>
        </is>
      </c>
      <c r="E720" t="inlineStr">
        <is>
          <t>NORDANSTIG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18030-2026</t>
        </is>
      </c>
      <c r="B721" s="1" t="n">
        <v>46125.3896875</v>
      </c>
      <c r="C721" s="1" t="n">
        <v>46136</v>
      </c>
      <c r="D721" t="inlineStr">
        <is>
          <t>GÄVLEBORGS LÄN</t>
        </is>
      </c>
      <c r="E721" t="inlineStr">
        <is>
          <t>NORDANSTIG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30078-2024</t>
        </is>
      </c>
      <c r="B722" s="1" t="n">
        <v>45489</v>
      </c>
      <c r="C722" s="1" t="n">
        <v>46136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38043-2025</t>
        </is>
      </c>
      <c r="B723" s="1" t="n">
        <v>45882.39199074074</v>
      </c>
      <c r="C723" s="1" t="n">
        <v>46136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10.1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19839-2025</t>
        </is>
      </c>
      <c r="B724" s="1" t="n">
        <v>45771.47800925926</v>
      </c>
      <c r="C724" s="1" t="n">
        <v>46136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11307-2026</t>
        </is>
      </c>
      <c r="B725" s="1" t="n">
        <v>46080.6471875</v>
      </c>
      <c r="C725" s="1" t="n">
        <v>46136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17872-2026</t>
        </is>
      </c>
      <c r="B726" s="1" t="n">
        <v>46122.5358912037</v>
      </c>
      <c r="C726" s="1" t="n">
        <v>46136</v>
      </c>
      <c r="D726" t="inlineStr">
        <is>
          <t>GÄVLEBORGS LÄN</t>
        </is>
      </c>
      <c r="E726" t="inlineStr">
        <is>
          <t>NORDANSTIG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17324-2026</t>
        </is>
      </c>
      <c r="B727" s="1" t="n">
        <v>46119</v>
      </c>
      <c r="C727" s="1" t="n">
        <v>46136</v>
      </c>
      <c r="D727" t="inlineStr">
        <is>
          <t>GÄVLEBORGS LÄN</t>
        </is>
      </c>
      <c r="E727" t="inlineStr">
        <is>
          <t>NORDANSTIG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37848-2025</t>
        </is>
      </c>
      <c r="B728" s="1" t="n">
        <v>45881.44760416666</v>
      </c>
      <c r="C728" s="1" t="n">
        <v>46136</v>
      </c>
      <c r="D728" t="inlineStr">
        <is>
          <t>GÄVLEBORGS LÄN</t>
        </is>
      </c>
      <c r="E728" t="inlineStr">
        <is>
          <t>NORDANSTIG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54396-2023</t>
        </is>
      </c>
      <c r="B729" s="1" t="n">
        <v>45233.3717824074</v>
      </c>
      <c r="C729" s="1" t="n">
        <v>46136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9.1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18153-2026</t>
        </is>
      </c>
      <c r="B730" s="1" t="n">
        <v>46125.63252314815</v>
      </c>
      <c r="C730" s="1" t="n">
        <v>46136</v>
      </c>
      <c r="D730" t="inlineStr">
        <is>
          <t>GÄVLEBORGS LÄN</t>
        </is>
      </c>
      <c r="E730" t="inlineStr">
        <is>
          <t>NORDANSTIG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41960-2025</t>
        </is>
      </c>
      <c r="B731" s="1" t="n">
        <v>45903.46912037037</v>
      </c>
      <c r="C731" s="1" t="n">
        <v>46136</v>
      </c>
      <c r="D731" t="inlineStr">
        <is>
          <t>GÄVLEBORGS LÄN</t>
        </is>
      </c>
      <c r="E731" t="inlineStr">
        <is>
          <t>NORDANSTIG</t>
        </is>
      </c>
      <c r="F731" t="inlineStr">
        <is>
          <t>SCA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38104-2025</t>
        </is>
      </c>
      <c r="B732" s="1" t="n">
        <v>45882.49252314815</v>
      </c>
      <c r="C732" s="1" t="n">
        <v>46136</v>
      </c>
      <c r="D732" t="inlineStr">
        <is>
          <t>GÄVLEBORGS LÄN</t>
        </is>
      </c>
      <c r="E732" t="inlineStr">
        <is>
          <t>NORDANSTIG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38091-2025</t>
        </is>
      </c>
      <c r="B733" s="1" t="n">
        <v>45882.48813657407</v>
      </c>
      <c r="C733" s="1" t="n">
        <v>46136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20.2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11517-2026</t>
        </is>
      </c>
      <c r="B734" s="1" t="n">
        <v>46083.66458333333</v>
      </c>
      <c r="C734" s="1" t="n">
        <v>46136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3640-2026</t>
        </is>
      </c>
      <c r="B735" s="1" t="n">
        <v>46043</v>
      </c>
      <c r="C735" s="1" t="n">
        <v>46136</v>
      </c>
      <c r="D735" t="inlineStr">
        <is>
          <t>GÄVLEBORGS LÄN</t>
        </is>
      </c>
      <c r="E735" t="inlineStr">
        <is>
          <t>NORDANSTIG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8040-2024</t>
        </is>
      </c>
      <c r="B736" s="1" t="n">
        <v>45350</v>
      </c>
      <c r="C736" s="1" t="n">
        <v>46136</v>
      </c>
      <c r="D736" t="inlineStr">
        <is>
          <t>GÄVLEBORGS LÄN</t>
        </is>
      </c>
      <c r="E736" t="inlineStr">
        <is>
          <t>NORDANSTIG</t>
        </is>
      </c>
      <c r="F736" t="inlineStr">
        <is>
          <t>SCA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18029-2026</t>
        </is>
      </c>
      <c r="B737" s="1" t="n">
        <v>46125.38575231482</v>
      </c>
      <c r="C737" s="1" t="n">
        <v>46136</v>
      </c>
      <c r="D737" t="inlineStr">
        <is>
          <t>GÄVLEBORGS LÄN</t>
        </is>
      </c>
      <c r="E737" t="inlineStr">
        <is>
          <t>NORDANSTIG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18041-2026</t>
        </is>
      </c>
      <c r="B738" s="1" t="n">
        <v>46125.41018518519</v>
      </c>
      <c r="C738" s="1" t="n">
        <v>46136</v>
      </c>
      <c r="D738" t="inlineStr">
        <is>
          <t>GÄVLEBORGS LÄN</t>
        </is>
      </c>
      <c r="E738" t="inlineStr">
        <is>
          <t>NORDANSTIG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42200-2025</t>
        </is>
      </c>
      <c r="B739" s="1" t="n">
        <v>45904.48844907407</v>
      </c>
      <c r="C739" s="1" t="n">
        <v>46136</v>
      </c>
      <c r="D739" t="inlineStr">
        <is>
          <t>GÄVLEBORGS LÄN</t>
        </is>
      </c>
      <c r="E739" t="inlineStr">
        <is>
          <t>NORDANSTIG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33535-2022</t>
        </is>
      </c>
      <c r="B740" s="1" t="n">
        <v>44789.34496527778</v>
      </c>
      <c r="C740" s="1" t="n">
        <v>46136</v>
      </c>
      <c r="D740" t="inlineStr">
        <is>
          <t>GÄVLEBORGS LÄN</t>
        </is>
      </c>
      <c r="E740" t="inlineStr">
        <is>
          <t>NORDANSTIG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42891-2025</t>
        </is>
      </c>
      <c r="B741" s="1" t="n">
        <v>45908.6599074074</v>
      </c>
      <c r="C741" s="1" t="n">
        <v>46136</v>
      </c>
      <c r="D741" t="inlineStr">
        <is>
          <t>GÄVLEBORGS LÄN</t>
        </is>
      </c>
      <c r="E741" t="inlineStr">
        <is>
          <t>NORDANSTIG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11167-2026</t>
        </is>
      </c>
      <c r="B742" s="1" t="n">
        <v>46080</v>
      </c>
      <c r="C742" s="1" t="n">
        <v>46136</v>
      </c>
      <c r="D742" t="inlineStr">
        <is>
          <t>GÄVLEBORGS LÄN</t>
        </is>
      </c>
      <c r="E742" t="inlineStr">
        <is>
          <t>NORDANSTIG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18020-2026</t>
        </is>
      </c>
      <c r="B743" s="1" t="n">
        <v>46125</v>
      </c>
      <c r="C743" s="1" t="n">
        <v>46136</v>
      </c>
      <c r="D743" t="inlineStr">
        <is>
          <t>GÄVLEBORGS LÄN</t>
        </is>
      </c>
      <c r="E743" t="inlineStr">
        <is>
          <t>NORDANSTIG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11614-2026</t>
        </is>
      </c>
      <c r="B744" s="1" t="n">
        <v>46084.44930555556</v>
      </c>
      <c r="C744" s="1" t="n">
        <v>46136</v>
      </c>
      <c r="D744" t="inlineStr">
        <is>
          <t>GÄVLEBORGS LÄN</t>
        </is>
      </c>
      <c r="E744" t="inlineStr">
        <is>
          <t>NORDANSTIG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11661-2026</t>
        </is>
      </c>
      <c r="B745" s="1" t="n">
        <v>46084</v>
      </c>
      <c r="C745" s="1" t="n">
        <v>46136</v>
      </c>
      <c r="D745" t="inlineStr">
        <is>
          <t>GÄVLEBORGS LÄN</t>
        </is>
      </c>
      <c r="E745" t="inlineStr">
        <is>
          <t>NORDANSTIG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42884-2025</t>
        </is>
      </c>
      <c r="B746" s="1" t="n">
        <v>45908.65034722222</v>
      </c>
      <c r="C746" s="1" t="n">
        <v>46136</v>
      </c>
      <c r="D746" t="inlineStr">
        <is>
          <t>GÄVLEBORGS LÄN</t>
        </is>
      </c>
      <c r="E746" t="inlineStr">
        <is>
          <t>NORDANSTIG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56406-2024</t>
        </is>
      </c>
      <c r="B747" s="1" t="n">
        <v>45625.36425925926</v>
      </c>
      <c r="C747" s="1" t="n">
        <v>46136</v>
      </c>
      <c r="D747" t="inlineStr">
        <is>
          <t>GÄVLEBORGS LÄN</t>
        </is>
      </c>
      <c r="E747" t="inlineStr">
        <is>
          <t>NORDANSTIG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38514-2025</t>
        </is>
      </c>
      <c r="B748" s="1" t="n">
        <v>45884.3940162037</v>
      </c>
      <c r="C748" s="1" t="n">
        <v>46136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54519-2024</t>
        </is>
      </c>
      <c r="B749" s="1" t="n">
        <v>45617</v>
      </c>
      <c r="C749" s="1" t="n">
        <v>46136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18385-2026</t>
        </is>
      </c>
      <c r="B750" s="1" t="n">
        <v>46126.65019675926</v>
      </c>
      <c r="C750" s="1" t="n">
        <v>46136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42887-2025</t>
        </is>
      </c>
      <c r="B751" s="1" t="n">
        <v>45908.65311342593</v>
      </c>
      <c r="C751" s="1" t="n">
        <v>46136</v>
      </c>
      <c r="D751" t="inlineStr">
        <is>
          <t>GÄVLEBORGS LÄN</t>
        </is>
      </c>
      <c r="E751" t="inlineStr">
        <is>
          <t>NORDANSTIG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18531-2026</t>
        </is>
      </c>
      <c r="B752" s="1" t="n">
        <v>46127.54472222222</v>
      </c>
      <c r="C752" s="1" t="n">
        <v>46136</v>
      </c>
      <c r="D752" t="inlineStr">
        <is>
          <t>GÄVLEBORGS LÄN</t>
        </is>
      </c>
      <c r="E752" t="inlineStr">
        <is>
          <t>NORDANSTIG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63145-2023</t>
        </is>
      </c>
      <c r="B753" s="1" t="n">
        <v>45273</v>
      </c>
      <c r="C753" s="1" t="n">
        <v>46136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38589-2025</t>
        </is>
      </c>
      <c r="B754" s="1" t="n">
        <v>45884.47407407407</v>
      </c>
      <c r="C754" s="1" t="n">
        <v>46136</v>
      </c>
      <c r="D754" t="inlineStr">
        <is>
          <t>GÄVLEBORGS LÄN</t>
        </is>
      </c>
      <c r="E754" t="inlineStr">
        <is>
          <t>NORDANSTIG</t>
        </is>
      </c>
      <c r="G754" t="n">
        <v>10.8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18282-2026</t>
        </is>
      </c>
      <c r="B755" s="1" t="n">
        <v>46126.41646990741</v>
      </c>
      <c r="C755" s="1" t="n">
        <v>46136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43.6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11952-2026</t>
        </is>
      </c>
      <c r="B756" s="1" t="n">
        <v>46085.60223379629</v>
      </c>
      <c r="C756" s="1" t="n">
        <v>46136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11582-2026</t>
        </is>
      </c>
      <c r="B757" s="1" t="n">
        <v>46084.39797453704</v>
      </c>
      <c r="C757" s="1" t="n">
        <v>46136</v>
      </c>
      <c r="D757" t="inlineStr">
        <is>
          <t>GÄVLEBORGS LÄN</t>
        </is>
      </c>
      <c r="E757" t="inlineStr">
        <is>
          <t>NORDANSTIG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11635-2026</t>
        </is>
      </c>
      <c r="B758" s="1" t="n">
        <v>46084.48663194444</v>
      </c>
      <c r="C758" s="1" t="n">
        <v>46136</v>
      </c>
      <c r="D758" t="inlineStr">
        <is>
          <t>GÄVLEBORGS LÄN</t>
        </is>
      </c>
      <c r="E758" t="inlineStr">
        <is>
          <t>NORDANSTIG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18236-2026</t>
        </is>
      </c>
      <c r="B759" s="1" t="n">
        <v>46126.34353009259</v>
      </c>
      <c r="C759" s="1" t="n">
        <v>46136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11578-2026</t>
        </is>
      </c>
      <c r="B760" s="1" t="n">
        <v>46084.39612268518</v>
      </c>
      <c r="C760" s="1" t="n">
        <v>46136</v>
      </c>
      <c r="D760" t="inlineStr">
        <is>
          <t>GÄVLEBORGS LÄN</t>
        </is>
      </c>
      <c r="E760" t="inlineStr">
        <is>
          <t>NORDANSTIG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14754-2025</t>
        </is>
      </c>
      <c r="B761" s="1" t="n">
        <v>45742.66208333334</v>
      </c>
      <c r="C761" s="1" t="n">
        <v>46136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40733-2023</t>
        </is>
      </c>
      <c r="B762" s="1" t="n">
        <v>45170.70216435185</v>
      </c>
      <c r="C762" s="1" t="n">
        <v>46136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17853-2025</t>
        </is>
      </c>
      <c r="B763" s="1" t="n">
        <v>45758.61561342593</v>
      </c>
      <c r="C763" s="1" t="n">
        <v>46136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11688-2026</t>
        </is>
      </c>
      <c r="B764" s="1" t="n">
        <v>46084.5862037037</v>
      </c>
      <c r="C764" s="1" t="n">
        <v>46136</v>
      </c>
      <c r="D764" t="inlineStr">
        <is>
          <t>GÄVLEBORGS LÄN</t>
        </is>
      </c>
      <c r="E764" t="inlineStr">
        <is>
          <t>NORDANSTIG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11592-2026</t>
        </is>
      </c>
      <c r="B765" s="1" t="n">
        <v>46084.41909722222</v>
      </c>
      <c r="C765" s="1" t="n">
        <v>46136</v>
      </c>
      <c r="D765" t="inlineStr">
        <is>
          <t>GÄVLEBORGS LÄN</t>
        </is>
      </c>
      <c r="E765" t="inlineStr">
        <is>
          <t>NORDANSTIG</t>
        </is>
      </c>
      <c r="G765" t="n">
        <v>8.6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20566-2025</t>
        </is>
      </c>
      <c r="B766" s="1" t="n">
        <v>45775.66376157408</v>
      </c>
      <c r="C766" s="1" t="n">
        <v>46136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11627-2026</t>
        </is>
      </c>
      <c r="B767" s="1" t="n">
        <v>46084.47737268519</v>
      </c>
      <c r="C767" s="1" t="n">
        <v>46136</v>
      </c>
      <c r="D767" t="inlineStr">
        <is>
          <t>GÄVLEBORGS LÄN</t>
        </is>
      </c>
      <c r="E767" t="inlineStr">
        <is>
          <t>NORDANSTIG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42737-2025</t>
        </is>
      </c>
      <c r="B768" s="1" t="n">
        <v>45908.42128472222</v>
      </c>
      <c r="C768" s="1" t="n">
        <v>46136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6.7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11895-2026</t>
        </is>
      </c>
      <c r="B769" s="1" t="n">
        <v>46085.53181712963</v>
      </c>
      <c r="C769" s="1" t="n">
        <v>46136</v>
      </c>
      <c r="D769" t="inlineStr">
        <is>
          <t>GÄVLEBORGS LÄN</t>
        </is>
      </c>
      <c r="E769" t="inlineStr">
        <is>
          <t>NORDANSTIG</t>
        </is>
      </c>
      <c r="G769" t="n">
        <v>21.2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11713-2026</t>
        </is>
      </c>
      <c r="B770" s="1" t="n">
        <v>46084</v>
      </c>
      <c r="C770" s="1" t="n">
        <v>46136</v>
      </c>
      <c r="D770" t="inlineStr">
        <is>
          <t>GÄVLEBORGS LÄN</t>
        </is>
      </c>
      <c r="E770" t="inlineStr">
        <is>
          <t>NORDANSTIG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34502-2024</t>
        </is>
      </c>
      <c r="B771" s="1" t="n">
        <v>45525.64055555555</v>
      </c>
      <c r="C771" s="1" t="n">
        <v>46136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11676-2026</t>
        </is>
      </c>
      <c r="B772" s="1" t="n">
        <v>46084</v>
      </c>
      <c r="C772" s="1" t="n">
        <v>46136</v>
      </c>
      <c r="D772" t="inlineStr">
        <is>
          <t>GÄVLEBORGS LÄN</t>
        </is>
      </c>
      <c r="E772" t="inlineStr">
        <is>
          <t>NORDANSTIG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13089-2025</t>
        </is>
      </c>
      <c r="B773" s="1" t="n">
        <v>45734.64541666667</v>
      </c>
      <c r="C773" s="1" t="n">
        <v>46136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11818-2026</t>
        </is>
      </c>
      <c r="B774" s="1" t="n">
        <v>46085</v>
      </c>
      <c r="C774" s="1" t="n">
        <v>46136</v>
      </c>
      <c r="D774" t="inlineStr">
        <is>
          <t>GÄVLEBORGS LÄN</t>
        </is>
      </c>
      <c r="E774" t="inlineStr">
        <is>
          <t>NORDANSTIG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11581-2026</t>
        </is>
      </c>
      <c r="B775" s="1" t="n">
        <v>46084.39756944445</v>
      </c>
      <c r="C775" s="1" t="n">
        <v>46136</v>
      </c>
      <c r="D775" t="inlineStr">
        <is>
          <t>GÄVLEBORGS LÄN</t>
        </is>
      </c>
      <c r="E775" t="inlineStr">
        <is>
          <t>NORDANSTIG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11586-2026</t>
        </is>
      </c>
      <c r="B776" s="1" t="n">
        <v>46084.41074074074</v>
      </c>
      <c r="C776" s="1" t="n">
        <v>46136</v>
      </c>
      <c r="D776" t="inlineStr">
        <is>
          <t>GÄVLEBORGS LÄN</t>
        </is>
      </c>
      <c r="E776" t="inlineStr">
        <is>
          <t>NORDANSTIG</t>
        </is>
      </c>
      <c r="G776" t="n">
        <v>10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9013-2026</t>
        </is>
      </c>
      <c r="B777" s="1" t="n">
        <v>46069.49005787037</v>
      </c>
      <c r="C777" s="1" t="n">
        <v>46136</v>
      </c>
      <c r="D777" t="inlineStr">
        <is>
          <t>GÄVLEBORGS LÄN</t>
        </is>
      </c>
      <c r="E777" t="inlineStr">
        <is>
          <t>NORDANSTIG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41957-2023</t>
        </is>
      </c>
      <c r="B778" s="1" t="n">
        <v>45177.35335648148</v>
      </c>
      <c r="C778" s="1" t="n">
        <v>46136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56281-2024</t>
        </is>
      </c>
      <c r="B779" s="1" t="n">
        <v>45624.6768287037</v>
      </c>
      <c r="C779" s="1" t="n">
        <v>46136</v>
      </c>
      <c r="D779" t="inlineStr">
        <is>
          <t>GÄVLEBORGS LÄN</t>
        </is>
      </c>
      <c r="E779" t="inlineStr">
        <is>
          <t>NORDANSTIG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22695-2025</t>
        </is>
      </c>
      <c r="B780" s="1" t="n">
        <v>45789.54197916666</v>
      </c>
      <c r="C780" s="1" t="n">
        <v>46136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9.6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38246-2025</t>
        </is>
      </c>
      <c r="B781" s="1" t="n">
        <v>45883.36712962963</v>
      </c>
      <c r="C781" s="1" t="n">
        <v>46136</v>
      </c>
      <c r="D781" t="inlineStr">
        <is>
          <t>GÄVLEBORGS LÄN</t>
        </is>
      </c>
      <c r="E781" t="inlineStr">
        <is>
          <t>NORDANSTIG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11943-2026</t>
        </is>
      </c>
      <c r="B782" s="1" t="n">
        <v>46085</v>
      </c>
      <c r="C782" s="1" t="n">
        <v>46136</v>
      </c>
      <c r="D782" t="inlineStr">
        <is>
          <t>GÄVLEBORGS LÄN</t>
        </is>
      </c>
      <c r="E782" t="inlineStr">
        <is>
          <t>NORDANSTIG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16184-2026</t>
        </is>
      </c>
      <c r="B783" s="1" t="n">
        <v>46111</v>
      </c>
      <c r="C783" s="1" t="n">
        <v>46136</v>
      </c>
      <c r="D783" t="inlineStr">
        <is>
          <t>GÄVLEBORGS LÄN</t>
        </is>
      </c>
      <c r="E783" t="inlineStr">
        <is>
          <t>NORDANSTIG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12334-2026</t>
        </is>
      </c>
      <c r="B784" s="1" t="n">
        <v>46087.6360300926</v>
      </c>
      <c r="C784" s="1" t="n">
        <v>46136</v>
      </c>
      <c r="D784" t="inlineStr">
        <is>
          <t>GÄVLEBORGS LÄN</t>
        </is>
      </c>
      <c r="E784" t="inlineStr">
        <is>
          <t>NORDANSTIG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12328-2026</t>
        </is>
      </c>
      <c r="B785" s="1" t="n">
        <v>46087.61530092593</v>
      </c>
      <c r="C785" s="1" t="n">
        <v>46136</v>
      </c>
      <c r="D785" t="inlineStr">
        <is>
          <t>GÄVLEBORGS LÄN</t>
        </is>
      </c>
      <c r="E785" t="inlineStr">
        <is>
          <t>NORDANSTIG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3773-2026</t>
        </is>
      </c>
      <c r="B786" s="1" t="n">
        <v>46043</v>
      </c>
      <c r="C786" s="1" t="n">
        <v>46136</v>
      </c>
      <c r="D786" t="inlineStr">
        <is>
          <t>GÄVLEBORGS LÄN</t>
        </is>
      </c>
      <c r="E786" t="inlineStr">
        <is>
          <t>NORDANSTIG</t>
        </is>
      </c>
      <c r="G786" t="n">
        <v>14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22868-2023</t>
        </is>
      </c>
      <c r="B787" s="1" t="n">
        <v>45072.48825231481</v>
      </c>
      <c r="C787" s="1" t="n">
        <v>46136</v>
      </c>
      <c r="D787" t="inlineStr">
        <is>
          <t>GÄVLEBORGS LÄN</t>
        </is>
      </c>
      <c r="E787" t="inlineStr">
        <is>
          <t>NORDANSTIG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3748-2026</t>
        </is>
      </c>
      <c r="B788" s="1" t="n">
        <v>46043</v>
      </c>
      <c r="C788" s="1" t="n">
        <v>46136</v>
      </c>
      <c r="D788" t="inlineStr">
        <is>
          <t>GÄVLEBORGS LÄN</t>
        </is>
      </c>
      <c r="E788" t="inlineStr">
        <is>
          <t>NORDANSTIG</t>
        </is>
      </c>
      <c r="G788" t="n">
        <v>7.9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1214-2026</t>
        </is>
      </c>
      <c r="B789" s="1" t="n">
        <v>46031</v>
      </c>
      <c r="C789" s="1" t="n">
        <v>46136</v>
      </c>
      <c r="D789" t="inlineStr">
        <is>
          <t>GÄVLEBORGS LÄN</t>
        </is>
      </c>
      <c r="E789" t="inlineStr">
        <is>
          <t>NORDANSTIG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21999-2023</t>
        </is>
      </c>
      <c r="B790" s="1" t="n">
        <v>45068.92696759259</v>
      </c>
      <c r="C790" s="1" t="n">
        <v>46136</v>
      </c>
      <c r="D790" t="inlineStr">
        <is>
          <t>GÄVLEBORGS LÄN</t>
        </is>
      </c>
      <c r="E790" t="inlineStr">
        <is>
          <t>NORDANSTIG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37671-2025</t>
        </is>
      </c>
      <c r="B791" s="1" t="n">
        <v>45880.52561342593</v>
      </c>
      <c r="C791" s="1" t="n">
        <v>46136</v>
      </c>
      <c r="D791" t="inlineStr">
        <is>
          <t>GÄVLEBORGS LÄN</t>
        </is>
      </c>
      <c r="E791" t="inlineStr">
        <is>
          <t>NORDANSTIG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42930-2025</t>
        </is>
      </c>
      <c r="B792" s="1" t="n">
        <v>45909.30883101852</v>
      </c>
      <c r="C792" s="1" t="n">
        <v>46136</v>
      </c>
      <c r="D792" t="inlineStr">
        <is>
          <t>GÄVLEBORGS LÄN</t>
        </is>
      </c>
      <c r="E792" t="inlineStr">
        <is>
          <t>NORDANSTIG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43199-2025</t>
        </is>
      </c>
      <c r="B793" s="1" t="n">
        <v>45910.43589120371</v>
      </c>
      <c r="C793" s="1" t="n">
        <v>46136</v>
      </c>
      <c r="D793" t="inlineStr">
        <is>
          <t>GÄVLEBORGS LÄN</t>
        </is>
      </c>
      <c r="E793" t="inlineStr">
        <is>
          <t>NORDANSTIG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42980-2025</t>
        </is>
      </c>
      <c r="B794" s="1" t="n">
        <v>45909</v>
      </c>
      <c r="C794" s="1" t="n">
        <v>46136</v>
      </c>
      <c r="D794" t="inlineStr">
        <is>
          <t>GÄVLEBORGS LÄN</t>
        </is>
      </c>
      <c r="E794" t="inlineStr">
        <is>
          <t>NORDANSTIG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12072-2026</t>
        </is>
      </c>
      <c r="B795" s="1" t="n">
        <v>46086.42390046296</v>
      </c>
      <c r="C795" s="1" t="n">
        <v>46136</v>
      </c>
      <c r="D795" t="inlineStr">
        <is>
          <t>GÄVLEBORGS LÄN</t>
        </is>
      </c>
      <c r="E795" t="inlineStr">
        <is>
          <t>NORDANSTIG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12085-2026</t>
        </is>
      </c>
      <c r="B796" s="1" t="n">
        <v>46086.44938657407</v>
      </c>
      <c r="C796" s="1" t="n">
        <v>46136</v>
      </c>
      <c r="D796" t="inlineStr">
        <is>
          <t>GÄVLEBORGS LÄN</t>
        </is>
      </c>
      <c r="E796" t="inlineStr">
        <is>
          <t>NORDANSTIG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18680-2026</t>
        </is>
      </c>
      <c r="B797" s="1" t="n">
        <v>46128</v>
      </c>
      <c r="C797" s="1" t="n">
        <v>46136</v>
      </c>
      <c r="D797" t="inlineStr">
        <is>
          <t>GÄVLEBORGS LÄN</t>
        </is>
      </c>
      <c r="E797" t="inlineStr">
        <is>
          <t>NORDANSTIG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12206-2026</t>
        </is>
      </c>
      <c r="B798" s="1" t="n">
        <v>46087</v>
      </c>
      <c r="C798" s="1" t="n">
        <v>46136</v>
      </c>
      <c r="D798" t="inlineStr">
        <is>
          <t>GÄVLEBORGS LÄN</t>
        </is>
      </c>
      <c r="E798" t="inlineStr">
        <is>
          <t>NORDANSTIG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17254-2026</t>
        </is>
      </c>
      <c r="B799" s="1" t="n">
        <v>46119</v>
      </c>
      <c r="C799" s="1" t="n">
        <v>46136</v>
      </c>
      <c r="D799" t="inlineStr">
        <is>
          <t>GÄVLEBORGS LÄN</t>
        </is>
      </c>
      <c r="E799" t="inlineStr">
        <is>
          <t>NORDANSTIG</t>
        </is>
      </c>
      <c r="G799" t="n">
        <v>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58165-2023</t>
        </is>
      </c>
      <c r="B800" s="1" t="n">
        <v>45250.39545138889</v>
      </c>
      <c r="C800" s="1" t="n">
        <v>46136</v>
      </c>
      <c r="D800" t="inlineStr">
        <is>
          <t>GÄVLEBORGS LÄN</t>
        </is>
      </c>
      <c r="E800" t="inlineStr">
        <is>
          <t>NORDANSTIG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3779-2026</t>
        </is>
      </c>
      <c r="B801" s="1" t="n">
        <v>46043.56841435185</v>
      </c>
      <c r="C801" s="1" t="n">
        <v>46136</v>
      </c>
      <c r="D801" t="inlineStr">
        <is>
          <t>GÄVLEBORGS LÄN</t>
        </is>
      </c>
      <c r="E801" t="inlineStr">
        <is>
          <t>NORDANSTIG</t>
        </is>
      </c>
      <c r="G801" t="n">
        <v>14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53988-2023</t>
        </is>
      </c>
      <c r="B802" s="1" t="n">
        <v>45231.66075231481</v>
      </c>
      <c r="C802" s="1" t="n">
        <v>46136</v>
      </c>
      <c r="D802" t="inlineStr">
        <is>
          <t>GÄVLEBORGS LÄN</t>
        </is>
      </c>
      <c r="E802" t="inlineStr">
        <is>
          <t>NORDANSTIG</t>
        </is>
      </c>
      <c r="G802" t="n">
        <v>6.2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10680-2026</t>
        </is>
      </c>
      <c r="B803" s="1" t="n">
        <v>46078</v>
      </c>
      <c r="C803" s="1" t="n">
        <v>46136</v>
      </c>
      <c r="D803" t="inlineStr">
        <is>
          <t>GÄVLEBORGS LÄN</t>
        </is>
      </c>
      <c r="E803" t="inlineStr">
        <is>
          <t>NORDANSTIG</t>
        </is>
      </c>
      <c r="G803" t="n">
        <v>10.9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43507-2025</t>
        </is>
      </c>
      <c r="B804" s="1" t="n">
        <v>45911.5544212963</v>
      </c>
      <c r="C804" s="1" t="n">
        <v>46136</v>
      </c>
      <c r="D804" t="inlineStr">
        <is>
          <t>GÄVLEBORGS LÄN</t>
        </is>
      </c>
      <c r="E804" t="inlineStr">
        <is>
          <t>NORDANSTIG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5660-2023</t>
        </is>
      </c>
      <c r="B805" s="1" t="n">
        <v>44960.62733796296</v>
      </c>
      <c r="C805" s="1" t="n">
        <v>46136</v>
      </c>
      <c r="D805" t="inlineStr">
        <is>
          <t>GÄVLEBORGS LÄN</t>
        </is>
      </c>
      <c r="E805" t="inlineStr">
        <is>
          <t>NORDANSTIG</t>
        </is>
      </c>
      <c r="F805" t="inlineStr">
        <is>
          <t>Holmen skog AB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1230-2026</t>
        </is>
      </c>
      <c r="B806" s="1" t="n">
        <v>46031</v>
      </c>
      <c r="C806" s="1" t="n">
        <v>46136</v>
      </c>
      <c r="D806" t="inlineStr">
        <is>
          <t>GÄVLEBORGS LÄN</t>
        </is>
      </c>
      <c r="E806" t="inlineStr">
        <is>
          <t>NORDANSTIG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12552-2026</t>
        </is>
      </c>
      <c r="B807" s="1" t="n">
        <v>46090.63581018519</v>
      </c>
      <c r="C807" s="1" t="n">
        <v>46136</v>
      </c>
      <c r="D807" t="inlineStr">
        <is>
          <t>GÄVLEBORGS LÄN</t>
        </is>
      </c>
      <c r="E807" t="inlineStr">
        <is>
          <t>NORDANSTIG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12492-2026</t>
        </is>
      </c>
      <c r="B808" s="1" t="n">
        <v>46090</v>
      </c>
      <c r="C808" s="1" t="n">
        <v>46136</v>
      </c>
      <c r="D808" t="inlineStr">
        <is>
          <t>GÄVLEBORGS LÄN</t>
        </is>
      </c>
      <c r="E808" t="inlineStr">
        <is>
          <t>NORDANSTIG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43977-2025</t>
        </is>
      </c>
      <c r="B809" s="1" t="n">
        <v>45915.415</v>
      </c>
      <c r="C809" s="1" t="n">
        <v>46136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6.2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38241-2024</t>
        </is>
      </c>
      <c r="B810" s="1" t="n">
        <v>45545.57097222222</v>
      </c>
      <c r="C810" s="1" t="n">
        <v>46136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1483-2022</t>
        </is>
      </c>
      <c r="B811" s="1" t="n">
        <v>44573.52768518519</v>
      </c>
      <c r="C811" s="1" t="n">
        <v>46136</v>
      </c>
      <c r="D811" t="inlineStr">
        <is>
          <t>GÄVLEBORGS LÄN</t>
        </is>
      </c>
      <c r="E811" t="inlineStr">
        <is>
          <t>NORDANSTIG</t>
        </is>
      </c>
      <c r="G811" t="n">
        <v>7.8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19152-2026</t>
        </is>
      </c>
      <c r="B812" s="1" t="n">
        <v>46132.54458333334</v>
      </c>
      <c r="C812" s="1" t="n">
        <v>46136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19374-2026</t>
        </is>
      </c>
      <c r="B813" s="1" t="n">
        <v>46133.54864583333</v>
      </c>
      <c r="C813" s="1" t="n">
        <v>46136</v>
      </c>
      <c r="D813" t="inlineStr">
        <is>
          <t>GÄVLEBORGS LÄN</t>
        </is>
      </c>
      <c r="E813" t="inlineStr">
        <is>
          <t>NORDANSTIG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44049-2025</t>
        </is>
      </c>
      <c r="B814" s="1" t="n">
        <v>45915.49884259259</v>
      </c>
      <c r="C814" s="1" t="n">
        <v>46136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43949-2025</t>
        </is>
      </c>
      <c r="B815" s="1" t="n">
        <v>45915.37743055556</v>
      </c>
      <c r="C815" s="1" t="n">
        <v>46136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44052-2025</t>
        </is>
      </c>
      <c r="B816" s="1" t="n">
        <v>45915.51091435185</v>
      </c>
      <c r="C816" s="1" t="n">
        <v>46136</v>
      </c>
      <c r="D816" t="inlineStr">
        <is>
          <t>GÄVLEBORGS LÄN</t>
        </is>
      </c>
      <c r="E816" t="inlineStr">
        <is>
          <t>NORDANSTIG</t>
        </is>
      </c>
      <c r="F816" t="inlineStr">
        <is>
          <t>Holmen skog AB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44068-2025</t>
        </is>
      </c>
      <c r="B817" s="1" t="n">
        <v>45915.54482638889</v>
      </c>
      <c r="C817" s="1" t="n">
        <v>46136</v>
      </c>
      <c r="D817" t="inlineStr">
        <is>
          <t>GÄVLEBORGS LÄN</t>
        </is>
      </c>
      <c r="E817" t="inlineStr">
        <is>
          <t>NORDANSTIG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44075-2025</t>
        </is>
      </c>
      <c r="B818" s="1" t="n">
        <v>45915.54935185185</v>
      </c>
      <c r="C818" s="1" t="n">
        <v>46136</v>
      </c>
      <c r="D818" t="inlineStr">
        <is>
          <t>GÄVLEBORGS LÄN</t>
        </is>
      </c>
      <c r="E818" t="inlineStr">
        <is>
          <t>NORDANSTIG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44599-2025</t>
        </is>
      </c>
      <c r="B819" s="1" t="n">
        <v>45917.43070601852</v>
      </c>
      <c r="C819" s="1" t="n">
        <v>46136</v>
      </c>
      <c r="D819" t="inlineStr">
        <is>
          <t>GÄVLEBORGS LÄN</t>
        </is>
      </c>
      <c r="E819" t="inlineStr">
        <is>
          <t>NORDANSTIG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44603-2025</t>
        </is>
      </c>
      <c r="B820" s="1" t="n">
        <v>45917.44409722222</v>
      </c>
      <c r="C820" s="1" t="n">
        <v>46136</v>
      </c>
      <c r="D820" t="inlineStr">
        <is>
          <t>GÄVLEBORGS LÄN</t>
        </is>
      </c>
      <c r="E820" t="inlineStr">
        <is>
          <t>NORDANSTIG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44591-2025</t>
        </is>
      </c>
      <c r="B821" s="1" t="n">
        <v>45917.42732638889</v>
      </c>
      <c r="C821" s="1" t="n">
        <v>46136</v>
      </c>
      <c r="D821" t="inlineStr">
        <is>
          <t>GÄVLEBORGS LÄN</t>
        </is>
      </c>
      <c r="E821" t="inlineStr">
        <is>
          <t>NORDANSTIG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44983-2025</t>
        </is>
      </c>
      <c r="B822" s="1" t="n">
        <v>45918.65190972222</v>
      </c>
      <c r="C822" s="1" t="n">
        <v>46136</v>
      </c>
      <c r="D822" t="inlineStr">
        <is>
          <t>GÄVLEBORGS LÄN</t>
        </is>
      </c>
      <c r="E822" t="inlineStr">
        <is>
          <t>NORDANSTIG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18933-2023</t>
        </is>
      </c>
      <c r="B823" s="1" t="n">
        <v>45044.61585648148</v>
      </c>
      <c r="C823" s="1" t="n">
        <v>46136</v>
      </c>
      <c r="D823" t="inlineStr">
        <is>
          <t>GÄVLEBORGS LÄN</t>
        </is>
      </c>
      <c r="E823" t="inlineStr">
        <is>
          <t>NORDANSTIG</t>
        </is>
      </c>
      <c r="G823" t="n">
        <v>26.6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12458-2026</t>
        </is>
      </c>
      <c r="B824" s="1" t="n">
        <v>46090.51081018519</v>
      </c>
      <c r="C824" s="1" t="n">
        <v>46136</v>
      </c>
      <c r="D824" t="inlineStr">
        <is>
          <t>GÄVLEBORGS LÄN</t>
        </is>
      </c>
      <c r="E824" t="inlineStr">
        <is>
          <t>NORDANSTIG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44972-2025</t>
        </is>
      </c>
      <c r="B825" s="1" t="n">
        <v>45918.63663194444</v>
      </c>
      <c r="C825" s="1" t="n">
        <v>46136</v>
      </c>
      <c r="D825" t="inlineStr">
        <is>
          <t>GÄVLEBORGS LÄN</t>
        </is>
      </c>
      <c r="E825" t="inlineStr">
        <is>
          <t>NORDANSTIG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44978-2025</t>
        </is>
      </c>
      <c r="B826" s="1" t="n">
        <v>45918.64543981481</v>
      </c>
      <c r="C826" s="1" t="n">
        <v>46136</v>
      </c>
      <c r="D826" t="inlineStr">
        <is>
          <t>GÄVLEBORGS LÄN</t>
        </is>
      </c>
      <c r="E826" t="inlineStr">
        <is>
          <t>NORDANSTIG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19367-2026</t>
        </is>
      </c>
      <c r="B827" s="1" t="n">
        <v>46133.5352662037</v>
      </c>
      <c r="C827" s="1" t="n">
        <v>46136</v>
      </c>
      <c r="D827" t="inlineStr">
        <is>
          <t>GÄVLEBORGS LÄN</t>
        </is>
      </c>
      <c r="E827" t="inlineStr">
        <is>
          <t>NORDANSTIG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19237-2026</t>
        </is>
      </c>
      <c r="B828" s="1" t="n">
        <v>46132.65579861111</v>
      </c>
      <c r="C828" s="1" t="n">
        <v>46136</v>
      </c>
      <c r="D828" t="inlineStr">
        <is>
          <t>GÄVLEBORGS LÄN</t>
        </is>
      </c>
      <c r="E828" t="inlineStr">
        <is>
          <t>NORDANSTIG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18691-2026</t>
        </is>
      </c>
      <c r="B829" s="1" t="n">
        <v>46128</v>
      </c>
      <c r="C829" s="1" t="n">
        <v>46136</v>
      </c>
      <c r="D829" t="inlineStr">
        <is>
          <t>GÄVLEBORGS LÄN</t>
        </is>
      </c>
      <c r="E829" t="inlineStr">
        <is>
          <t>NORDANSTIG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35931-2023</t>
        </is>
      </c>
      <c r="B830" s="1" t="n">
        <v>45148.66540509259</v>
      </c>
      <c r="C830" s="1" t="n">
        <v>46136</v>
      </c>
      <c r="D830" t="inlineStr">
        <is>
          <t>GÄVLEBORGS LÄN</t>
        </is>
      </c>
      <c r="E830" t="inlineStr">
        <is>
          <t>NORDANSTIG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13096-2026</t>
        </is>
      </c>
      <c r="B831" s="1" t="n">
        <v>46093</v>
      </c>
      <c r="C831" s="1" t="n">
        <v>46136</v>
      </c>
      <c r="D831" t="inlineStr">
        <is>
          <t>GÄVLEBORGS LÄN</t>
        </is>
      </c>
      <c r="E831" t="inlineStr">
        <is>
          <t>NORDANSTIG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45058-2025</t>
        </is>
      </c>
      <c r="B832" s="1" t="n">
        <v>45919.34226851852</v>
      </c>
      <c r="C832" s="1" t="n">
        <v>46136</v>
      </c>
      <c r="D832" t="inlineStr">
        <is>
          <t>GÄVLEBORGS LÄN</t>
        </is>
      </c>
      <c r="E832" t="inlineStr">
        <is>
          <t>NORDANSTIG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19896-2025</t>
        </is>
      </c>
      <c r="B833" s="1" t="n">
        <v>45771.5834837963</v>
      </c>
      <c r="C833" s="1" t="n">
        <v>46136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17840-2023</t>
        </is>
      </c>
      <c r="B834" s="1" t="n">
        <v>45037</v>
      </c>
      <c r="C834" s="1" t="n">
        <v>46136</v>
      </c>
      <c r="D834" t="inlineStr">
        <is>
          <t>GÄVLEBORGS LÄN</t>
        </is>
      </c>
      <c r="E834" t="inlineStr">
        <is>
          <t>NORDANSTIG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19898-2026</t>
        </is>
      </c>
      <c r="B835" s="1" t="n">
        <v>46135.79243055556</v>
      </c>
      <c r="C835" s="1" t="n">
        <v>46136</v>
      </c>
      <c r="D835" t="inlineStr">
        <is>
          <t>GÄVLEBORGS LÄN</t>
        </is>
      </c>
      <c r="E835" t="inlineStr">
        <is>
          <t>NORDANSTIG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12956-2026</t>
        </is>
      </c>
      <c r="B836" s="1" t="n">
        <v>46092.63744212963</v>
      </c>
      <c r="C836" s="1" t="n">
        <v>46136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37739-2024</t>
        </is>
      </c>
      <c r="B837" s="1" t="n">
        <v>45541.67366898148</v>
      </c>
      <c r="C837" s="1" t="n">
        <v>46136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61419-2024</t>
        </is>
      </c>
      <c r="B838" s="1" t="n">
        <v>45646.4496875</v>
      </c>
      <c r="C838" s="1" t="n">
        <v>46136</v>
      </c>
      <c r="D838" t="inlineStr">
        <is>
          <t>GÄVLEBORGS LÄN</t>
        </is>
      </c>
      <c r="E838" t="inlineStr">
        <is>
          <t>NORDANSTIG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52695-2024</t>
        </is>
      </c>
      <c r="B839" s="1" t="n">
        <v>45610.40315972222</v>
      </c>
      <c r="C839" s="1" t="n">
        <v>46136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28238-2025</t>
        </is>
      </c>
      <c r="B840" s="1" t="n">
        <v>45818.50530092593</v>
      </c>
      <c r="C840" s="1" t="n">
        <v>46136</v>
      </c>
      <c r="D840" t="inlineStr">
        <is>
          <t>GÄVLEBORGS LÄN</t>
        </is>
      </c>
      <c r="E840" t="inlineStr">
        <is>
          <t>NORDANSTIG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19682-2026</t>
        </is>
      </c>
      <c r="B841" s="1" t="n">
        <v>46134.65063657407</v>
      </c>
      <c r="C841" s="1" t="n">
        <v>46136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28236-2025</t>
        </is>
      </c>
      <c r="B842" s="1" t="n">
        <v>45818.49982638889</v>
      </c>
      <c r="C842" s="1" t="n">
        <v>46136</v>
      </c>
      <c r="D842" t="inlineStr">
        <is>
          <t>GÄVLEBORGS LÄN</t>
        </is>
      </c>
      <c r="E842" t="inlineStr">
        <is>
          <t>NORDANSTIG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28237-2025</t>
        </is>
      </c>
      <c r="B843" s="1" t="n">
        <v>45818.50258101852</v>
      </c>
      <c r="C843" s="1" t="n">
        <v>46136</v>
      </c>
      <c r="D843" t="inlineStr">
        <is>
          <t>GÄVLEBORGS LÄN</t>
        </is>
      </c>
      <c r="E843" t="inlineStr">
        <is>
          <t>NORDANSTIG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45946-2025</t>
        </is>
      </c>
      <c r="B844" s="1" t="n">
        <v>45924.33208333333</v>
      </c>
      <c r="C844" s="1" t="n">
        <v>46136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45902-2025</t>
        </is>
      </c>
      <c r="B845" s="1" t="n">
        <v>45923.69837962963</v>
      </c>
      <c r="C845" s="1" t="n">
        <v>46136</v>
      </c>
      <c r="D845" t="inlineStr">
        <is>
          <t>GÄVLEBORGS LÄN</t>
        </is>
      </c>
      <c r="E845" t="inlineStr">
        <is>
          <t>NORDANSTIG</t>
        </is>
      </c>
      <c r="F845" t="inlineStr">
        <is>
          <t>SCA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19679-2026</t>
        </is>
      </c>
      <c r="B846" s="1" t="n">
        <v>46134.64133101852</v>
      </c>
      <c r="C846" s="1" t="n">
        <v>46136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19772-2026</t>
        </is>
      </c>
      <c r="B847" s="1" t="n">
        <v>46135.43440972222</v>
      </c>
      <c r="C847" s="1" t="n">
        <v>46136</v>
      </c>
      <c r="D847" t="inlineStr">
        <is>
          <t>GÄVLEBORGS LÄN</t>
        </is>
      </c>
      <c r="E847" t="inlineStr">
        <is>
          <t>NORDANSTIG</t>
        </is>
      </c>
      <c r="G847" t="n">
        <v>12.1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17178-2026</t>
        </is>
      </c>
      <c r="B848" s="1" t="n">
        <v>46116.66302083333</v>
      </c>
      <c r="C848" s="1" t="n">
        <v>46136</v>
      </c>
      <c r="D848" t="inlineStr">
        <is>
          <t>GÄVLEBORGS LÄN</t>
        </is>
      </c>
      <c r="E848" t="inlineStr">
        <is>
          <t>NORDANSTIG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14244-2026</t>
        </is>
      </c>
      <c r="B849" s="1" t="n">
        <v>46099.60747685185</v>
      </c>
      <c r="C849" s="1" t="n">
        <v>46136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46002-2025</t>
        </is>
      </c>
      <c r="B850" s="1" t="n">
        <v>45924.40707175926</v>
      </c>
      <c r="C850" s="1" t="n">
        <v>46136</v>
      </c>
      <c r="D850" t="inlineStr">
        <is>
          <t>GÄVLEBORGS LÄN</t>
        </is>
      </c>
      <c r="E850" t="inlineStr">
        <is>
          <t>NORDANSTIG</t>
        </is>
      </c>
      <c r="F850" t="inlineStr">
        <is>
          <t>SCA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46027-2025</t>
        </is>
      </c>
      <c r="B851" s="1" t="n">
        <v>45924.43771990741</v>
      </c>
      <c r="C851" s="1" t="n">
        <v>46136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58184-2022</t>
        </is>
      </c>
      <c r="B852" s="1" t="n">
        <v>44900</v>
      </c>
      <c r="C852" s="1" t="n">
        <v>46136</v>
      </c>
      <c r="D852" t="inlineStr">
        <is>
          <t>GÄVLEBORGS LÄN</t>
        </is>
      </c>
      <c r="E852" t="inlineStr">
        <is>
          <t>NORDANSTIG</t>
        </is>
      </c>
      <c r="F852" t="inlineStr">
        <is>
          <t>SCA</t>
        </is>
      </c>
      <c r="G852" t="n">
        <v>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13218-2026</t>
        </is>
      </c>
      <c r="B853" s="1" t="n">
        <v>46093.62025462963</v>
      </c>
      <c r="C853" s="1" t="n">
        <v>46136</v>
      </c>
      <c r="D853" t="inlineStr">
        <is>
          <t>GÄVLEBORGS LÄN</t>
        </is>
      </c>
      <c r="E853" t="inlineStr">
        <is>
          <t>NORDANSTIG</t>
        </is>
      </c>
      <c r="G853" t="n">
        <v>6.2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52206-2022</t>
        </is>
      </c>
      <c r="B854" s="1" t="n">
        <v>44869</v>
      </c>
      <c r="C854" s="1" t="n">
        <v>46136</v>
      </c>
      <c r="D854" t="inlineStr">
        <is>
          <t>GÄVLEBORGS LÄN</t>
        </is>
      </c>
      <c r="E854" t="inlineStr">
        <is>
          <t>NORDANSTIG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46000-2025</t>
        </is>
      </c>
      <c r="B855" s="1" t="n">
        <v>45924.40663194445</v>
      </c>
      <c r="C855" s="1" t="n">
        <v>46136</v>
      </c>
      <c r="D855" t="inlineStr">
        <is>
          <t>GÄVLEBORGS LÄN</t>
        </is>
      </c>
      <c r="E855" t="inlineStr">
        <is>
          <t>NORDANSTIG</t>
        </is>
      </c>
      <c r="F855" t="inlineStr">
        <is>
          <t>SCA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469-2024</t>
        </is>
      </c>
      <c r="B856" s="1" t="n">
        <v>45297.67460648148</v>
      </c>
      <c r="C856" s="1" t="n">
        <v>46136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46262-2025</t>
        </is>
      </c>
      <c r="B857" s="1" t="n">
        <v>45925.36134259259</v>
      </c>
      <c r="C857" s="1" t="n">
        <v>46136</v>
      </c>
      <c r="D857" t="inlineStr">
        <is>
          <t>GÄVLEBORGS LÄN</t>
        </is>
      </c>
      <c r="E857" t="inlineStr">
        <is>
          <t>NORDANSTIG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40477-2024</t>
        </is>
      </c>
      <c r="B858" s="1" t="n">
        <v>45555.54740740741</v>
      </c>
      <c r="C858" s="1" t="n">
        <v>46136</v>
      </c>
      <c r="D858" t="inlineStr">
        <is>
          <t>GÄVLEBORGS LÄN</t>
        </is>
      </c>
      <c r="E858" t="inlineStr">
        <is>
          <t>NORDANSTIG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44339-2024</t>
        </is>
      </c>
      <c r="B859" s="1" t="n">
        <v>45573.61497685185</v>
      </c>
      <c r="C859" s="1" t="n">
        <v>46136</v>
      </c>
      <c r="D859" t="inlineStr">
        <is>
          <t>GÄVLEBORGS LÄN</t>
        </is>
      </c>
      <c r="E859" t="inlineStr">
        <is>
          <t>NORDANSTIG</t>
        </is>
      </c>
      <c r="G859" t="n">
        <v>10.7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43378-2023</t>
        </is>
      </c>
      <c r="B860" s="1" t="n">
        <v>45183</v>
      </c>
      <c r="C860" s="1" t="n">
        <v>46136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43652-2025</t>
        </is>
      </c>
      <c r="B861" s="1" t="n">
        <v>45912</v>
      </c>
      <c r="C861" s="1" t="n">
        <v>46136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6099-2023</t>
        </is>
      </c>
      <c r="B862" s="1" t="n">
        <v>44964.58133101852</v>
      </c>
      <c r="C862" s="1" t="n">
        <v>46136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8.199999999999999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47544-2025</t>
        </is>
      </c>
      <c r="B863" s="1" t="n">
        <v>45931.36108796296</v>
      </c>
      <c r="C863" s="1" t="n">
        <v>46136</v>
      </c>
      <c r="D863" t="inlineStr">
        <is>
          <t>GÄVLEBORGS LÄN</t>
        </is>
      </c>
      <c r="E863" t="inlineStr">
        <is>
          <t>NORDANSTIG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47790-2025</t>
        </is>
      </c>
      <c r="B864" s="1" t="n">
        <v>45931.79914351852</v>
      </c>
      <c r="C864" s="1" t="n">
        <v>46136</v>
      </c>
      <c r="D864" t="inlineStr">
        <is>
          <t>GÄVLEBORGS LÄN</t>
        </is>
      </c>
      <c r="E864" t="inlineStr">
        <is>
          <t>NORDANSTIG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32635-2022</t>
        </is>
      </c>
      <c r="B865" s="1" t="n">
        <v>44783</v>
      </c>
      <c r="C865" s="1" t="n">
        <v>46136</v>
      </c>
      <c r="D865" t="inlineStr">
        <is>
          <t>GÄVLEBORGS LÄN</t>
        </is>
      </c>
      <c r="E865" t="inlineStr">
        <is>
          <t>NORDANSTIG</t>
        </is>
      </c>
      <c r="G865" t="n">
        <v>10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28680-2023</t>
        </is>
      </c>
      <c r="B866" s="1" t="n">
        <v>45103.67951388889</v>
      </c>
      <c r="C866" s="1" t="n">
        <v>46136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43883-2021</t>
        </is>
      </c>
      <c r="B867" s="1" t="n">
        <v>44434.33675925926</v>
      </c>
      <c r="C867" s="1" t="n">
        <v>46136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47795-2025</t>
        </is>
      </c>
      <c r="B868" s="1" t="n">
        <v>45931.8187962963</v>
      </c>
      <c r="C868" s="1" t="n">
        <v>46136</v>
      </c>
      <c r="D868" t="inlineStr">
        <is>
          <t>GÄVLEBORGS LÄN</t>
        </is>
      </c>
      <c r="E868" t="inlineStr">
        <is>
          <t>NORDANSTIG</t>
        </is>
      </c>
      <c r="G868" t="n">
        <v>6.7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49300-2024</t>
        </is>
      </c>
      <c r="B869" s="1" t="n">
        <v>45595.54486111111</v>
      </c>
      <c r="C869" s="1" t="n">
        <v>46136</v>
      </c>
      <c r="D869" t="inlineStr">
        <is>
          <t>GÄVLEBORGS LÄN</t>
        </is>
      </c>
      <c r="E869" t="inlineStr">
        <is>
          <t>NORDANSTIG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48566-2025</t>
        </is>
      </c>
      <c r="B870" s="1" t="n">
        <v>45936.44791666666</v>
      </c>
      <c r="C870" s="1" t="n">
        <v>46136</v>
      </c>
      <c r="D870" t="inlineStr">
        <is>
          <t>GÄVLEBORGS LÄN</t>
        </is>
      </c>
      <c r="E870" t="inlineStr">
        <is>
          <t>NORDANSTIG</t>
        </is>
      </c>
      <c r="G870" t="n">
        <v>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46459-2024</t>
        </is>
      </c>
      <c r="B871" s="1" t="n">
        <v>45582.52916666667</v>
      </c>
      <c r="C871" s="1" t="n">
        <v>46136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48715-2025</t>
        </is>
      </c>
      <c r="B872" s="1" t="n">
        <v>45936.63667824074</v>
      </c>
      <c r="C872" s="1" t="n">
        <v>46136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48724-2025</t>
        </is>
      </c>
      <c r="B873" s="1" t="n">
        <v>45936.65136574074</v>
      </c>
      <c r="C873" s="1" t="n">
        <v>46136</v>
      </c>
      <c r="D873" t="inlineStr">
        <is>
          <t>GÄVLEBORGS LÄN</t>
        </is>
      </c>
      <c r="E873" t="inlineStr">
        <is>
          <t>NORDANSTIG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48677-2025</t>
        </is>
      </c>
      <c r="B874" s="1" t="n">
        <v>45936.59133101852</v>
      </c>
      <c r="C874" s="1" t="n">
        <v>46136</v>
      </c>
      <c r="D874" t="inlineStr">
        <is>
          <t>GÄVLEBORGS LÄN</t>
        </is>
      </c>
      <c r="E874" t="inlineStr">
        <is>
          <t>NORDANSTIG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48916-2025</t>
        </is>
      </c>
      <c r="B875" s="1" t="n">
        <v>45937.49256944445</v>
      </c>
      <c r="C875" s="1" t="n">
        <v>46136</v>
      </c>
      <c r="D875" t="inlineStr">
        <is>
          <t>GÄVLEBORGS LÄN</t>
        </is>
      </c>
      <c r="E875" t="inlineStr">
        <is>
          <t>NORDANSTIG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48919-2025</t>
        </is>
      </c>
      <c r="B876" s="1" t="n">
        <v>45937.49377314815</v>
      </c>
      <c r="C876" s="1" t="n">
        <v>46136</v>
      </c>
      <c r="D876" t="inlineStr">
        <is>
          <t>GÄVLEBORGS LÄN</t>
        </is>
      </c>
      <c r="E876" t="inlineStr">
        <is>
          <t>NORDANSTIG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48832-2025</t>
        </is>
      </c>
      <c r="B877" s="1" t="n">
        <v>45937.38684027778</v>
      </c>
      <c r="C877" s="1" t="n">
        <v>46136</v>
      </c>
      <c r="D877" t="inlineStr">
        <is>
          <t>GÄVLEBORGS LÄN</t>
        </is>
      </c>
      <c r="E877" t="inlineStr">
        <is>
          <t>NORDANSTIG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49309-2025</t>
        </is>
      </c>
      <c r="B878" s="1" t="n">
        <v>45938.56237268518</v>
      </c>
      <c r="C878" s="1" t="n">
        <v>46136</v>
      </c>
      <c r="D878" t="inlineStr">
        <is>
          <t>GÄVLEBORGS LÄN</t>
        </is>
      </c>
      <c r="E878" t="inlineStr">
        <is>
          <t>NORDANSTIG</t>
        </is>
      </c>
      <c r="G878" t="n">
        <v>7.4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49334-2025</t>
        </is>
      </c>
      <c r="B879" s="1" t="n">
        <v>45938.58446759259</v>
      </c>
      <c r="C879" s="1" t="n">
        <v>46136</v>
      </c>
      <c r="D879" t="inlineStr">
        <is>
          <t>GÄVLEBORGS LÄN</t>
        </is>
      </c>
      <c r="E879" t="inlineStr">
        <is>
          <t>NORDANSTIG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49263-2025</t>
        </is>
      </c>
      <c r="B880" s="1" t="n">
        <v>45938.49930555555</v>
      </c>
      <c r="C880" s="1" t="n">
        <v>46136</v>
      </c>
      <c r="D880" t="inlineStr">
        <is>
          <t>GÄVLEBORGS LÄN</t>
        </is>
      </c>
      <c r="E880" t="inlineStr">
        <is>
          <t>NORDANSTIG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49287-2025</t>
        </is>
      </c>
      <c r="B881" s="1" t="n">
        <v>45938.52627314815</v>
      </c>
      <c r="C881" s="1" t="n">
        <v>46136</v>
      </c>
      <c r="D881" t="inlineStr">
        <is>
          <t>GÄVLEBORGS LÄN</t>
        </is>
      </c>
      <c r="E881" t="inlineStr">
        <is>
          <t>NORDANSTIG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49331-2025</t>
        </is>
      </c>
      <c r="B882" s="1" t="n">
        <v>45938.5815162037</v>
      </c>
      <c r="C882" s="1" t="n">
        <v>46136</v>
      </c>
      <c r="D882" t="inlineStr">
        <is>
          <t>GÄVLEBORGS LÄN</t>
        </is>
      </c>
      <c r="E882" t="inlineStr">
        <is>
          <t>NORDANSTIG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49268-2025</t>
        </is>
      </c>
      <c r="B883" s="1" t="n">
        <v>45938.50202546296</v>
      </c>
      <c r="C883" s="1" t="n">
        <v>46136</v>
      </c>
      <c r="D883" t="inlineStr">
        <is>
          <t>GÄVLEBORGS LÄN</t>
        </is>
      </c>
      <c r="E883" t="inlineStr">
        <is>
          <t>NORDANSTIG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60869-2024</t>
        </is>
      </c>
      <c r="B884" s="1" t="n">
        <v>45644.70296296296</v>
      </c>
      <c r="C884" s="1" t="n">
        <v>46136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49328-2025</t>
        </is>
      </c>
      <c r="B885" s="1" t="n">
        <v>45938.57550925926</v>
      </c>
      <c r="C885" s="1" t="n">
        <v>46136</v>
      </c>
      <c r="D885" t="inlineStr">
        <is>
          <t>GÄVLEBORGS LÄN</t>
        </is>
      </c>
      <c r="E885" t="inlineStr">
        <is>
          <t>NORDANSTIG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49342-2025</t>
        </is>
      </c>
      <c r="B886" s="1" t="n">
        <v>45938.59556712963</v>
      </c>
      <c r="C886" s="1" t="n">
        <v>46136</v>
      </c>
      <c r="D886" t="inlineStr">
        <is>
          <t>GÄVLEBORGS LÄN</t>
        </is>
      </c>
      <c r="E886" t="inlineStr">
        <is>
          <t>NORDANSTIG</t>
        </is>
      </c>
      <c r="G886" t="n">
        <v>6.2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49273-2025</t>
        </is>
      </c>
      <c r="B887" s="1" t="n">
        <v>45938.50575231481</v>
      </c>
      <c r="C887" s="1" t="n">
        <v>46136</v>
      </c>
      <c r="D887" t="inlineStr">
        <is>
          <t>GÄVLEBORGS LÄN</t>
        </is>
      </c>
      <c r="E887" t="inlineStr">
        <is>
          <t>NORDANSTIG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49282-2025</t>
        </is>
      </c>
      <c r="B888" s="1" t="n">
        <v>45938.51270833334</v>
      </c>
      <c r="C888" s="1" t="n">
        <v>46136</v>
      </c>
      <c r="D888" t="inlineStr">
        <is>
          <t>GÄVLEBORGS LÄN</t>
        </is>
      </c>
      <c r="E888" t="inlineStr">
        <is>
          <t>NORDANSTIG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49286-2025</t>
        </is>
      </c>
      <c r="B889" s="1" t="n">
        <v>45938.52304398148</v>
      </c>
      <c r="C889" s="1" t="n">
        <v>46136</v>
      </c>
      <c r="D889" t="inlineStr">
        <is>
          <t>GÄVLEBORGS LÄN</t>
        </is>
      </c>
      <c r="E889" t="inlineStr">
        <is>
          <t>NORDANSTIG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49597-2025</t>
        </is>
      </c>
      <c r="B890" s="1" t="n">
        <v>45939.53217592592</v>
      </c>
      <c r="C890" s="1" t="n">
        <v>46136</v>
      </c>
      <c r="D890" t="inlineStr">
        <is>
          <t>GÄVLEBORGS LÄN</t>
        </is>
      </c>
      <c r="E890" t="inlineStr">
        <is>
          <t>NORDANSTIG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64835-2021</t>
        </is>
      </c>
      <c r="B891" s="1" t="n">
        <v>44512.56263888889</v>
      </c>
      <c r="C891" s="1" t="n">
        <v>46136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49595-2025</t>
        </is>
      </c>
      <c r="B892" s="1" t="n">
        <v>45939.53207175926</v>
      </c>
      <c r="C892" s="1" t="n">
        <v>46136</v>
      </c>
      <c r="D892" t="inlineStr">
        <is>
          <t>GÄVLEBORGS LÄN</t>
        </is>
      </c>
      <c r="E892" t="inlineStr">
        <is>
          <t>NORDANSTIG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14866-2024</t>
        </is>
      </c>
      <c r="B893" s="1" t="n">
        <v>45397</v>
      </c>
      <c r="C893" s="1" t="n">
        <v>46136</v>
      </c>
      <c r="D893" t="inlineStr">
        <is>
          <t>GÄVLEBORGS LÄN</t>
        </is>
      </c>
      <c r="E893" t="inlineStr">
        <is>
          <t>NORDANSTIG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49594-2025</t>
        </is>
      </c>
      <c r="B894" s="1" t="n">
        <v>45939.53201388889</v>
      </c>
      <c r="C894" s="1" t="n">
        <v>46136</v>
      </c>
      <c r="D894" t="inlineStr">
        <is>
          <t>GÄVLEBORGS LÄN</t>
        </is>
      </c>
      <c r="E894" t="inlineStr">
        <is>
          <t>NORDANSTIG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49596-2025</t>
        </is>
      </c>
      <c r="B895" s="1" t="n">
        <v>45939.53211805555</v>
      </c>
      <c r="C895" s="1" t="n">
        <v>46136</v>
      </c>
      <c r="D895" t="inlineStr">
        <is>
          <t>GÄVLEBORGS LÄN</t>
        </is>
      </c>
      <c r="E895" t="inlineStr">
        <is>
          <t>NORDANSTIG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65039-2023</t>
        </is>
      </c>
      <c r="B896" s="1" t="n">
        <v>45287.48986111111</v>
      </c>
      <c r="C896" s="1" t="n">
        <v>46136</v>
      </c>
      <c r="D896" t="inlineStr">
        <is>
          <t>GÄVLEBORGS LÄN</t>
        </is>
      </c>
      <c r="E896" t="inlineStr">
        <is>
          <t>NORDANSTIG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60934-2024</t>
        </is>
      </c>
      <c r="B897" s="1" t="n">
        <v>45645.36635416667</v>
      </c>
      <c r="C897" s="1" t="n">
        <v>46136</v>
      </c>
      <c r="D897" t="inlineStr">
        <is>
          <t>GÄVLEBORGS LÄN</t>
        </is>
      </c>
      <c r="E897" t="inlineStr">
        <is>
          <t>NORDANSTIG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4021-2023</t>
        </is>
      </c>
      <c r="B898" s="1" t="n">
        <v>44952</v>
      </c>
      <c r="C898" s="1" t="n">
        <v>46136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55694-2024</t>
        </is>
      </c>
      <c r="B899" s="1" t="n">
        <v>45622.68012731482</v>
      </c>
      <c r="C899" s="1" t="n">
        <v>46136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14172-2024</t>
        </is>
      </c>
      <c r="B900" s="1" t="n">
        <v>45392</v>
      </c>
      <c r="C900" s="1" t="n">
        <v>46136</v>
      </c>
      <c r="D900" t="inlineStr">
        <is>
          <t>GÄVLEBORGS LÄN</t>
        </is>
      </c>
      <c r="E900" t="inlineStr">
        <is>
          <t>NORDANSTIG</t>
        </is>
      </c>
      <c r="F900" t="inlineStr">
        <is>
          <t>SCA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23770-2024</t>
        </is>
      </c>
      <c r="B901" s="1" t="n">
        <v>45455.38045138889</v>
      </c>
      <c r="C901" s="1" t="n">
        <v>46136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50328-2025</t>
        </is>
      </c>
      <c r="B902" s="1" t="n">
        <v>45944.46469907407</v>
      </c>
      <c r="C902" s="1" t="n">
        <v>46136</v>
      </c>
      <c r="D902" t="inlineStr">
        <is>
          <t>GÄVLEBORGS LÄN</t>
        </is>
      </c>
      <c r="E902" t="inlineStr">
        <is>
          <t>NORDANSTIG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24106-2023</t>
        </is>
      </c>
      <c r="B903" s="1" t="n">
        <v>45079.46560185185</v>
      </c>
      <c r="C903" s="1" t="n">
        <v>46136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50264-2025</t>
        </is>
      </c>
      <c r="B904" s="1" t="n">
        <v>45944.34552083333</v>
      </c>
      <c r="C904" s="1" t="n">
        <v>46136</v>
      </c>
      <c r="D904" t="inlineStr">
        <is>
          <t>GÄVLEBORGS LÄN</t>
        </is>
      </c>
      <c r="E904" t="inlineStr">
        <is>
          <t>NORDANSTIG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62816-2023</t>
        </is>
      </c>
      <c r="B905" s="1" t="n">
        <v>45271.92625</v>
      </c>
      <c r="C905" s="1" t="n">
        <v>46136</v>
      </c>
      <c r="D905" t="inlineStr">
        <is>
          <t>GÄVLEBORGS LÄN</t>
        </is>
      </c>
      <c r="E905" t="inlineStr">
        <is>
          <t>NORDANSTIG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1802-2023</t>
        </is>
      </c>
      <c r="B906" s="1" t="n">
        <v>44938.64047453704</v>
      </c>
      <c r="C906" s="1" t="n">
        <v>46136</v>
      </c>
      <c r="D906" t="inlineStr">
        <is>
          <t>GÄVLEBORGS LÄN</t>
        </is>
      </c>
      <c r="E906" t="inlineStr">
        <is>
          <t>NORDANSTIG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50824-2025</t>
        </is>
      </c>
      <c r="B907" s="1" t="n">
        <v>45946.54</v>
      </c>
      <c r="C907" s="1" t="n">
        <v>46136</v>
      </c>
      <c r="D907" t="inlineStr">
        <is>
          <t>GÄVLEBORGS LÄN</t>
        </is>
      </c>
      <c r="E907" t="inlineStr">
        <is>
          <t>NORDANSTIG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36369-2024</t>
        </is>
      </c>
      <c r="B908" s="1" t="n">
        <v>45534.66434027778</v>
      </c>
      <c r="C908" s="1" t="n">
        <v>46136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12095-2023</t>
        </is>
      </c>
      <c r="B909" s="1" t="n">
        <v>44998.3634375</v>
      </c>
      <c r="C909" s="1" t="n">
        <v>46136</v>
      </c>
      <c r="D909" t="inlineStr">
        <is>
          <t>GÄVLEBORGS LÄN</t>
        </is>
      </c>
      <c r="E909" t="inlineStr">
        <is>
          <t>NORDANSTIG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50818-2025</t>
        </is>
      </c>
      <c r="B910" s="1" t="n">
        <v>45946.53197916667</v>
      </c>
      <c r="C910" s="1" t="n">
        <v>46136</v>
      </c>
      <c r="D910" t="inlineStr">
        <is>
          <t>GÄVLEBORGS LÄN</t>
        </is>
      </c>
      <c r="E910" t="inlineStr">
        <is>
          <t>NORDANSTIG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50842-2025</t>
        </is>
      </c>
      <c r="B911" s="1" t="n">
        <v>45946.57175925926</v>
      </c>
      <c r="C911" s="1" t="n">
        <v>46136</v>
      </c>
      <c r="D911" t="inlineStr">
        <is>
          <t>GÄVLEBORGS LÄN</t>
        </is>
      </c>
      <c r="E911" t="inlineStr">
        <is>
          <t>NORDANSTIG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65208-2023</t>
        </is>
      </c>
      <c r="B912" s="1" t="n">
        <v>45289.46237268519</v>
      </c>
      <c r="C912" s="1" t="n">
        <v>46136</v>
      </c>
      <c r="D912" t="inlineStr">
        <is>
          <t>GÄVLEBORGS LÄN</t>
        </is>
      </c>
      <c r="E912" t="inlineStr">
        <is>
          <t>NORDANSTIG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51380-2024</t>
        </is>
      </c>
      <c r="B913" s="1" t="n">
        <v>45604.38657407407</v>
      </c>
      <c r="C913" s="1" t="n">
        <v>46136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19185-2025</t>
        </is>
      </c>
      <c r="B914" s="1" t="n">
        <v>45769.40646990741</v>
      </c>
      <c r="C914" s="1" t="n">
        <v>46136</v>
      </c>
      <c r="D914" t="inlineStr">
        <is>
          <t>GÄVLEBORGS LÄN</t>
        </is>
      </c>
      <c r="E914" t="inlineStr">
        <is>
          <t>NORDANSTIG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51360-2025</t>
        </is>
      </c>
      <c r="B915" s="1" t="n">
        <v>45950.44428240741</v>
      </c>
      <c r="C915" s="1" t="n">
        <v>46136</v>
      </c>
      <c r="D915" t="inlineStr">
        <is>
          <t>GÄVLEBORGS LÄN</t>
        </is>
      </c>
      <c r="E915" t="inlineStr">
        <is>
          <t>NORDANSTIG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51115-2025</t>
        </is>
      </c>
      <c r="B916" s="1" t="n">
        <v>45947.52074074074</v>
      </c>
      <c r="C916" s="1" t="n">
        <v>46136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62089-2021</t>
        </is>
      </c>
      <c r="B917" s="1" t="n">
        <v>44502.61646990741</v>
      </c>
      <c r="C917" s="1" t="n">
        <v>46136</v>
      </c>
      <c r="D917" t="inlineStr">
        <is>
          <t>GÄVLEBORGS LÄN</t>
        </is>
      </c>
      <c r="E917" t="inlineStr">
        <is>
          <t>NORDANSTIG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20747-2023</t>
        </is>
      </c>
      <c r="B918" s="1" t="n">
        <v>45058</v>
      </c>
      <c r="C918" s="1" t="n">
        <v>46136</v>
      </c>
      <c r="D918" t="inlineStr">
        <is>
          <t>GÄVLEBORGS LÄN</t>
        </is>
      </c>
      <c r="E918" t="inlineStr">
        <is>
          <t>NORDANSTIG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6109-2023</t>
        </is>
      </c>
      <c r="B919" s="1" t="n">
        <v>44964</v>
      </c>
      <c r="C919" s="1" t="n">
        <v>46136</v>
      </c>
      <c r="D919" t="inlineStr">
        <is>
          <t>GÄVLEBORGS LÄN</t>
        </is>
      </c>
      <c r="E919" t="inlineStr">
        <is>
          <t>NORDANSTIG</t>
        </is>
      </c>
      <c r="G919" t="n">
        <v>0.1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18288-2023</t>
        </is>
      </c>
      <c r="B920" s="1" t="n">
        <v>45041.5646412037</v>
      </c>
      <c r="C920" s="1" t="n">
        <v>46136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51503-2025</t>
        </is>
      </c>
      <c r="B921" s="1" t="n">
        <v>45950.63822916667</v>
      </c>
      <c r="C921" s="1" t="n">
        <v>46136</v>
      </c>
      <c r="D921" t="inlineStr">
        <is>
          <t>GÄVLEBORGS LÄN</t>
        </is>
      </c>
      <c r="E921" t="inlineStr">
        <is>
          <t>NORDANSTIG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51101-2025</t>
        </is>
      </c>
      <c r="B922" s="1" t="n">
        <v>45947.4889699074</v>
      </c>
      <c r="C922" s="1" t="n">
        <v>46136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6.1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11087-2022</t>
        </is>
      </c>
      <c r="B923" s="1" t="n">
        <v>44628.69327546296</v>
      </c>
      <c r="C923" s="1" t="n">
        <v>46136</v>
      </c>
      <c r="D923" t="inlineStr">
        <is>
          <t>GÄVLEBORGS LÄN</t>
        </is>
      </c>
      <c r="E923" t="inlineStr">
        <is>
          <t>NORDANSTIG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51014-2025</t>
        </is>
      </c>
      <c r="B924" s="1" t="n">
        <v>45947.38203703704</v>
      </c>
      <c r="C924" s="1" t="n">
        <v>46136</v>
      </c>
      <c r="D924" t="inlineStr">
        <is>
          <t>GÄVLEBORGS LÄN</t>
        </is>
      </c>
      <c r="E924" t="inlineStr">
        <is>
          <t>NORDANSTIG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50657-2024</t>
        </is>
      </c>
      <c r="B925" s="1" t="n">
        <v>45601.718125</v>
      </c>
      <c r="C925" s="1" t="n">
        <v>46136</v>
      </c>
      <c r="D925" t="inlineStr">
        <is>
          <t>GÄVLEBORGS LÄN</t>
        </is>
      </c>
      <c r="E925" t="inlineStr">
        <is>
          <t>NORDANSTIG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51466-2025</t>
        </is>
      </c>
      <c r="B926" s="1" t="n">
        <v>45950.61145833333</v>
      </c>
      <c r="C926" s="1" t="n">
        <v>46136</v>
      </c>
      <c r="D926" t="inlineStr">
        <is>
          <t>GÄVLEBORGS LÄN</t>
        </is>
      </c>
      <c r="E926" t="inlineStr">
        <is>
          <t>NORDANSTIG</t>
        </is>
      </c>
      <c r="G926" t="n">
        <v>30.9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1532-2024</t>
        </is>
      </c>
      <c r="B927" s="1" t="n">
        <v>45306</v>
      </c>
      <c r="C927" s="1" t="n">
        <v>46136</v>
      </c>
      <c r="D927" t="inlineStr">
        <is>
          <t>GÄVLEBORGS LÄN</t>
        </is>
      </c>
      <c r="E927" t="inlineStr">
        <is>
          <t>NORDANSTIG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51464-2025</t>
        </is>
      </c>
      <c r="B928" s="1" t="n">
        <v>45950.61001157408</v>
      </c>
      <c r="C928" s="1" t="n">
        <v>46136</v>
      </c>
      <c r="D928" t="inlineStr">
        <is>
          <t>GÄVLEBORGS LÄN</t>
        </is>
      </c>
      <c r="E928" t="inlineStr">
        <is>
          <t>NORDANSTIG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34842-2023</t>
        </is>
      </c>
      <c r="B929" s="1" t="n">
        <v>45141.92449074074</v>
      </c>
      <c r="C929" s="1" t="n">
        <v>46136</v>
      </c>
      <c r="D929" t="inlineStr">
        <is>
          <t>GÄVLEBORGS LÄN</t>
        </is>
      </c>
      <c r="E929" t="inlineStr">
        <is>
          <t>NORDANSTIG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6923-2024</t>
        </is>
      </c>
      <c r="B930" s="1" t="n">
        <v>45343.34635416666</v>
      </c>
      <c r="C930" s="1" t="n">
        <v>46136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51680-2025</t>
        </is>
      </c>
      <c r="B931" s="1" t="n">
        <v>45951.51335648148</v>
      </c>
      <c r="C931" s="1" t="n">
        <v>46136</v>
      </c>
      <c r="D931" t="inlineStr">
        <is>
          <t>GÄVLEBORGS LÄN</t>
        </is>
      </c>
      <c r="E931" t="inlineStr">
        <is>
          <t>NORDANSTIG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6583-2022</t>
        </is>
      </c>
      <c r="B932" s="1" t="n">
        <v>44601</v>
      </c>
      <c r="C932" s="1" t="n">
        <v>46136</v>
      </c>
      <c r="D932" t="inlineStr">
        <is>
          <t>GÄVLEBORGS LÄN</t>
        </is>
      </c>
      <c r="E932" t="inlineStr">
        <is>
          <t>NORDANSTIG</t>
        </is>
      </c>
      <c r="G932" t="n">
        <v>8.800000000000001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51681-2025</t>
        </is>
      </c>
      <c r="B933" s="1" t="n">
        <v>45951.51616898148</v>
      </c>
      <c r="C933" s="1" t="n">
        <v>46136</v>
      </c>
      <c r="D933" t="inlineStr">
        <is>
          <t>GÄVLEBORGS LÄN</t>
        </is>
      </c>
      <c r="E933" t="inlineStr">
        <is>
          <t>NORDANSTIG</t>
        </is>
      </c>
      <c r="G933" t="n">
        <v>9.1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49284-2025</t>
        </is>
      </c>
      <c r="B934" s="1" t="n">
        <v>45938.51703703704</v>
      </c>
      <c r="C934" s="1" t="n">
        <v>46136</v>
      </c>
      <c r="D934" t="inlineStr">
        <is>
          <t>GÄVLEBORGS LÄN</t>
        </is>
      </c>
      <c r="E934" t="inlineStr">
        <is>
          <t>NORDANSTIG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32471-2023</t>
        </is>
      </c>
      <c r="B935" s="1" t="n">
        <v>45120.92688657407</v>
      </c>
      <c r="C935" s="1" t="n">
        <v>46136</v>
      </c>
      <c r="D935" t="inlineStr">
        <is>
          <t>GÄVLEBORGS LÄN</t>
        </is>
      </c>
      <c r="E935" t="inlineStr">
        <is>
          <t>NORDANSTIG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45788-2025</t>
        </is>
      </c>
      <c r="B936" s="1" t="n">
        <v>45923.56583333333</v>
      </c>
      <c r="C936" s="1" t="n">
        <v>46136</v>
      </c>
      <c r="D936" t="inlineStr">
        <is>
          <t>GÄVLEBORGS LÄN</t>
        </is>
      </c>
      <c r="E936" t="inlineStr">
        <is>
          <t>NORDANSTIG</t>
        </is>
      </c>
      <c r="G936" t="n">
        <v>17.2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25402-2024</t>
        </is>
      </c>
      <c r="B937" s="1" t="n">
        <v>45463.33690972222</v>
      </c>
      <c r="C937" s="1" t="n">
        <v>46136</v>
      </c>
      <c r="D937" t="inlineStr">
        <is>
          <t>GÄVLEBORGS LÄN</t>
        </is>
      </c>
      <c r="E937" t="inlineStr">
        <is>
          <t>NORDANSTIG</t>
        </is>
      </c>
      <c r="F937" t="inlineStr">
        <is>
          <t>Holmen skog AB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34370-2024</t>
        </is>
      </c>
      <c r="B938" s="1" t="n">
        <v>45525.38375</v>
      </c>
      <c r="C938" s="1" t="n">
        <v>46136</v>
      </c>
      <c r="D938" t="inlineStr">
        <is>
          <t>GÄVLEBORGS LÄN</t>
        </is>
      </c>
      <c r="E938" t="inlineStr">
        <is>
          <t>NORDANSTIG</t>
        </is>
      </c>
      <c r="F938" t="inlineStr">
        <is>
          <t>Holmen skog AB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42796-2024</t>
        </is>
      </c>
      <c r="B939" s="1" t="n">
        <v>45566.55170138889</v>
      </c>
      <c r="C939" s="1" t="n">
        <v>46136</v>
      </c>
      <c r="D939" t="inlineStr">
        <is>
          <t>GÄVLEBORGS LÄN</t>
        </is>
      </c>
      <c r="E939" t="inlineStr">
        <is>
          <t>NORDANSTIG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49455-2024</t>
        </is>
      </c>
      <c r="B940" s="1" t="n">
        <v>45596.27561342593</v>
      </c>
      <c r="C940" s="1" t="n">
        <v>46136</v>
      </c>
      <c r="D940" t="inlineStr">
        <is>
          <t>GÄVLEBORGS LÄN</t>
        </is>
      </c>
      <c r="E940" t="inlineStr">
        <is>
          <t>NORDANSTIG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6581-2022</t>
        </is>
      </c>
      <c r="B941" s="1" t="n">
        <v>44601.62753472223</v>
      </c>
      <c r="C941" s="1" t="n">
        <v>46136</v>
      </c>
      <c r="D941" t="inlineStr">
        <is>
          <t>GÄVLEBORGS LÄN</t>
        </is>
      </c>
      <c r="E941" t="inlineStr">
        <is>
          <t>NORDANSTIG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54713-2024</t>
        </is>
      </c>
      <c r="B942" s="1" t="n">
        <v>45618.42712962963</v>
      </c>
      <c r="C942" s="1" t="n">
        <v>46136</v>
      </c>
      <c r="D942" t="inlineStr">
        <is>
          <t>GÄVLEBORGS LÄN</t>
        </is>
      </c>
      <c r="E942" t="inlineStr">
        <is>
          <t>NORDANSTIG</t>
        </is>
      </c>
      <c r="F942" t="inlineStr">
        <is>
          <t>Holmen skog AB</t>
        </is>
      </c>
      <c r="G942" t="n">
        <v>5.7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62646-2023</t>
        </is>
      </c>
      <c r="B943" s="1" t="n">
        <v>45271.42679398148</v>
      </c>
      <c r="C943" s="1" t="n">
        <v>46136</v>
      </c>
      <c r="D943" t="inlineStr">
        <is>
          <t>GÄVLEBORGS LÄN</t>
        </is>
      </c>
      <c r="E943" t="inlineStr">
        <is>
          <t>NORDANSTIG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60193-2024</t>
        </is>
      </c>
      <c r="B944" s="1" t="n">
        <v>45642.65353009259</v>
      </c>
      <c r="C944" s="1" t="n">
        <v>46136</v>
      </c>
      <c r="D944" t="inlineStr">
        <is>
          <t>GÄVLEBORGS LÄN</t>
        </is>
      </c>
      <c r="E944" t="inlineStr">
        <is>
          <t>NORDANSTIG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53028-2025</t>
        </is>
      </c>
      <c r="B945" s="1" t="n">
        <v>45958.34267361111</v>
      </c>
      <c r="C945" s="1" t="n">
        <v>46136</v>
      </c>
      <c r="D945" t="inlineStr">
        <is>
          <t>GÄVLEBORGS LÄN</t>
        </is>
      </c>
      <c r="E945" t="inlineStr">
        <is>
          <t>NORDANSTIG</t>
        </is>
      </c>
      <c r="F945" t="inlineStr">
        <is>
          <t>Holmen skog AB</t>
        </is>
      </c>
      <c r="G945" t="n">
        <v>17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23417-2023</t>
        </is>
      </c>
      <c r="B946" s="1" t="n">
        <v>45076</v>
      </c>
      <c r="C946" s="1" t="n">
        <v>46136</v>
      </c>
      <c r="D946" t="inlineStr">
        <is>
          <t>GÄVLEBORGS LÄN</t>
        </is>
      </c>
      <c r="E946" t="inlineStr">
        <is>
          <t>NORDANSTIG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7149-2022</t>
        </is>
      </c>
      <c r="B947" s="1" t="n">
        <v>44603</v>
      </c>
      <c r="C947" s="1" t="n">
        <v>46136</v>
      </c>
      <c r="D947" t="inlineStr">
        <is>
          <t>GÄVLEBORGS LÄN</t>
        </is>
      </c>
      <c r="E947" t="inlineStr">
        <is>
          <t>NORDANSTIG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9382-2022</t>
        </is>
      </c>
      <c r="B948" s="1" t="n">
        <v>44616.63564814815</v>
      </c>
      <c r="C948" s="1" t="n">
        <v>46136</v>
      </c>
      <c r="D948" t="inlineStr">
        <is>
          <t>GÄVLEBORGS LÄN</t>
        </is>
      </c>
      <c r="E948" t="inlineStr">
        <is>
          <t>NORDANSTIG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50827-2025</t>
        </is>
      </c>
      <c r="B949" s="1" t="n">
        <v>45946.54997685185</v>
      </c>
      <c r="C949" s="1" t="n">
        <v>46136</v>
      </c>
      <c r="D949" t="inlineStr">
        <is>
          <t>GÄVLEBORGS LÄN</t>
        </is>
      </c>
      <c r="E949" t="inlineStr">
        <is>
          <t>NORDANSTIG</t>
        </is>
      </c>
      <c r="G949" t="n">
        <v>6.5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36186-2023</t>
        </is>
      </c>
      <c r="B950" s="1" t="n">
        <v>45149.70965277778</v>
      </c>
      <c r="C950" s="1" t="n">
        <v>46136</v>
      </c>
      <c r="D950" t="inlineStr">
        <is>
          <t>GÄVLEBORGS LÄN</t>
        </is>
      </c>
      <c r="E950" t="inlineStr">
        <is>
          <t>NORDANSTIG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53646-2025</t>
        </is>
      </c>
      <c r="B951" s="1" t="n">
        <v>45960.5203125</v>
      </c>
      <c r="C951" s="1" t="n">
        <v>46136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40738-2023</t>
        </is>
      </c>
      <c r="B952" s="1" t="n">
        <v>45170</v>
      </c>
      <c r="C952" s="1" t="n">
        <v>46136</v>
      </c>
      <c r="D952" t="inlineStr">
        <is>
          <t>GÄVLEBORGS LÄN</t>
        </is>
      </c>
      <c r="E952" t="inlineStr">
        <is>
          <t>NORDANSTIG</t>
        </is>
      </c>
      <c r="F952" t="inlineStr">
        <is>
          <t>Holmen skog AB</t>
        </is>
      </c>
      <c r="G952" t="n">
        <v>9.5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53340-2025</t>
        </is>
      </c>
      <c r="B953" s="1" t="n">
        <v>45959.4071412037</v>
      </c>
      <c r="C953" s="1" t="n">
        <v>46136</v>
      </c>
      <c r="D953" t="inlineStr">
        <is>
          <t>GÄVLEBORGS LÄN</t>
        </is>
      </c>
      <c r="E953" t="inlineStr">
        <is>
          <t>NORDANSTIG</t>
        </is>
      </c>
      <c r="F953" t="inlineStr">
        <is>
          <t>SCA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62465-2021</t>
        </is>
      </c>
      <c r="B954" s="1" t="n">
        <v>44503.53527777778</v>
      </c>
      <c r="C954" s="1" t="n">
        <v>46136</v>
      </c>
      <c r="D954" t="inlineStr">
        <is>
          <t>GÄVLEBORGS LÄN</t>
        </is>
      </c>
      <c r="E954" t="inlineStr">
        <is>
          <t>NORDANSTIG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53311-2025</t>
        </is>
      </c>
      <c r="B955" s="1" t="n">
        <v>45959.34434027778</v>
      </c>
      <c r="C955" s="1" t="n">
        <v>46136</v>
      </c>
      <c r="D955" t="inlineStr">
        <is>
          <t>GÄVLEBORGS LÄN</t>
        </is>
      </c>
      <c r="E955" t="inlineStr">
        <is>
          <t>NORDANSTIG</t>
        </is>
      </c>
      <c r="F955" t="inlineStr">
        <is>
          <t>SCA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21473-2023</t>
        </is>
      </c>
      <c r="B956" s="1" t="n">
        <v>45063</v>
      </c>
      <c r="C956" s="1" t="n">
        <v>46136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54705-2024</t>
        </is>
      </c>
      <c r="B957" s="1" t="n">
        <v>45618.41390046296</v>
      </c>
      <c r="C957" s="1" t="n">
        <v>46136</v>
      </c>
      <c r="D957" t="inlineStr">
        <is>
          <t>GÄVLEBORGS LÄN</t>
        </is>
      </c>
      <c r="E957" t="inlineStr">
        <is>
          <t>NORDANSTIG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53360-2025</t>
        </is>
      </c>
      <c r="B958" s="1" t="n">
        <v>45959.47620370371</v>
      </c>
      <c r="C958" s="1" t="n">
        <v>46136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6.4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32925-2023</t>
        </is>
      </c>
      <c r="B959" s="1" t="n">
        <v>45125</v>
      </c>
      <c r="C959" s="1" t="n">
        <v>46136</v>
      </c>
      <c r="D959" t="inlineStr">
        <is>
          <t>GÄVLEBORGS LÄN</t>
        </is>
      </c>
      <c r="E959" t="inlineStr">
        <is>
          <t>NORDANSTIG</t>
        </is>
      </c>
      <c r="F959" t="inlineStr">
        <is>
          <t>Holmen skog AB</t>
        </is>
      </c>
      <c r="G959" t="n">
        <v>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36028-2024</t>
        </is>
      </c>
      <c r="B960" s="1" t="n">
        <v>45533.57940972222</v>
      </c>
      <c r="C960" s="1" t="n">
        <v>46136</v>
      </c>
      <c r="D960" t="inlineStr">
        <is>
          <t>GÄVLEBORGS LÄN</t>
        </is>
      </c>
      <c r="E960" t="inlineStr">
        <is>
          <t>NORDANSTIG</t>
        </is>
      </c>
      <c r="F960" t="inlineStr">
        <is>
          <t>Holmen skog AB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38332-2024</t>
        </is>
      </c>
      <c r="B961" s="1" t="n">
        <v>45545.68222222223</v>
      </c>
      <c r="C961" s="1" t="n">
        <v>46136</v>
      </c>
      <c r="D961" t="inlineStr">
        <is>
          <t>GÄVLEBORGS LÄN</t>
        </is>
      </c>
      <c r="E961" t="inlineStr">
        <is>
          <t>NORDANSTIG</t>
        </is>
      </c>
      <c r="G961" t="n">
        <v>11.5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38346-2024</t>
        </is>
      </c>
      <c r="B962" s="1" t="n">
        <v>45545.70670138889</v>
      </c>
      <c r="C962" s="1" t="n">
        <v>46136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18322-2024</t>
        </is>
      </c>
      <c r="B963" s="1" t="n">
        <v>45422.53849537037</v>
      </c>
      <c r="C963" s="1" t="n">
        <v>46136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48636-2024</t>
        </is>
      </c>
      <c r="B964" s="1" t="n">
        <v>45593.47171296296</v>
      </c>
      <c r="C964" s="1" t="n">
        <v>46136</v>
      </c>
      <c r="D964" t="inlineStr">
        <is>
          <t>GÄVLEBORGS LÄN</t>
        </is>
      </c>
      <c r="E964" t="inlineStr">
        <is>
          <t>NORDANSTIG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52001-2024</t>
        </is>
      </c>
      <c r="B965" s="1" t="n">
        <v>45607.75534722222</v>
      </c>
      <c r="C965" s="1" t="n">
        <v>46136</v>
      </c>
      <c r="D965" t="inlineStr">
        <is>
          <t>GÄVLEBORGS LÄN</t>
        </is>
      </c>
      <c r="E965" t="inlineStr">
        <is>
          <t>NORDANSTIG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54077-2025</t>
        </is>
      </c>
      <c r="B966" s="1" t="n">
        <v>45964.36503472222</v>
      </c>
      <c r="C966" s="1" t="n">
        <v>46136</v>
      </c>
      <c r="D966" t="inlineStr">
        <is>
          <t>GÄVLEBORGS LÄN</t>
        </is>
      </c>
      <c r="E966" t="inlineStr">
        <is>
          <t>NORDANSTIG</t>
        </is>
      </c>
      <c r="F966" t="inlineStr">
        <is>
          <t>SCA</t>
        </is>
      </c>
      <c r="G966" t="n">
        <v>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54373-2025</t>
        </is>
      </c>
      <c r="B967" s="1" t="n">
        <v>45965.41546296296</v>
      </c>
      <c r="C967" s="1" t="n">
        <v>46136</v>
      </c>
      <c r="D967" t="inlineStr">
        <is>
          <t>GÄVLEBORGS LÄN</t>
        </is>
      </c>
      <c r="E967" t="inlineStr">
        <is>
          <t>NORDANSTIG</t>
        </is>
      </c>
      <c r="F967" t="inlineStr">
        <is>
          <t>Holmen skog AB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37031-2024</t>
        </is>
      </c>
      <c r="B968" s="1" t="n">
        <v>45539.38991898148</v>
      </c>
      <c r="C968" s="1" t="n">
        <v>46136</v>
      </c>
      <c r="D968" t="inlineStr">
        <is>
          <t>GÄVLEBORGS LÄN</t>
        </is>
      </c>
      <c r="E968" t="inlineStr">
        <is>
          <t>NORDANSTIG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44500-2024</t>
        </is>
      </c>
      <c r="B969" s="1" t="n">
        <v>45574.39741898148</v>
      </c>
      <c r="C969" s="1" t="n">
        <v>46136</v>
      </c>
      <c r="D969" t="inlineStr">
        <is>
          <t>GÄVLEBORGS LÄN</t>
        </is>
      </c>
      <c r="E969" t="inlineStr">
        <is>
          <t>NORDANSTIG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54685-2024</t>
        </is>
      </c>
      <c r="B970" s="1" t="n">
        <v>45618.36010416667</v>
      </c>
      <c r="C970" s="1" t="n">
        <v>46136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13025-2025</t>
        </is>
      </c>
      <c r="B971" s="1" t="n">
        <v>45734.55638888889</v>
      </c>
      <c r="C971" s="1" t="n">
        <v>46136</v>
      </c>
      <c r="D971" t="inlineStr">
        <is>
          <t>GÄVLEBORGS LÄN</t>
        </is>
      </c>
      <c r="E971" t="inlineStr">
        <is>
          <t>NORDANSTIG</t>
        </is>
      </c>
      <c r="G971" t="n">
        <v>9.699999999999999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54415-2025</t>
        </is>
      </c>
      <c r="B972" s="1" t="n">
        <v>45965.47361111111</v>
      </c>
      <c r="C972" s="1" t="n">
        <v>46136</v>
      </c>
      <c r="D972" t="inlineStr">
        <is>
          <t>GÄVLEBORGS LÄN</t>
        </is>
      </c>
      <c r="E972" t="inlineStr">
        <is>
          <t>NORDANSTIG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55170-2025</t>
        </is>
      </c>
      <c r="B973" s="1" t="n">
        <v>45968.49258101852</v>
      </c>
      <c r="C973" s="1" t="n">
        <v>46136</v>
      </c>
      <c r="D973" t="inlineStr">
        <is>
          <t>GÄVLEBORGS LÄN</t>
        </is>
      </c>
      <c r="E973" t="inlineStr">
        <is>
          <t>NORDANSTIG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55186-2025</t>
        </is>
      </c>
      <c r="B974" s="1" t="n">
        <v>45968.53877314815</v>
      </c>
      <c r="C974" s="1" t="n">
        <v>46136</v>
      </c>
      <c r="D974" t="inlineStr">
        <is>
          <t>GÄVLEBORGS LÄN</t>
        </is>
      </c>
      <c r="E974" t="inlineStr">
        <is>
          <t>NORDANSTIG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20434-2024</t>
        </is>
      </c>
      <c r="B975" s="1" t="n">
        <v>45435.61346064815</v>
      </c>
      <c r="C975" s="1" t="n">
        <v>46136</v>
      </c>
      <c r="D975" t="inlineStr">
        <is>
          <t>GÄVLEBORGS LÄN</t>
        </is>
      </c>
      <c r="E975" t="inlineStr">
        <is>
          <t>NORDANSTIG</t>
        </is>
      </c>
      <c r="F975" t="inlineStr">
        <is>
          <t>Holmen skog AB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44009-2023</t>
        </is>
      </c>
      <c r="B976" s="1" t="n">
        <v>45188.33112268519</v>
      </c>
      <c r="C976" s="1" t="n">
        <v>46136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55203-2025</t>
        </is>
      </c>
      <c r="B977" s="1" t="n">
        <v>45968.5668287037</v>
      </c>
      <c r="C977" s="1" t="n">
        <v>46136</v>
      </c>
      <c r="D977" t="inlineStr">
        <is>
          <t>GÄVLEBORGS LÄN</t>
        </is>
      </c>
      <c r="E977" t="inlineStr">
        <is>
          <t>NORDANSTIG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38658-2023</t>
        </is>
      </c>
      <c r="B978" s="1" t="n">
        <v>45162.8475925926</v>
      </c>
      <c r="C978" s="1" t="n">
        <v>46136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52655-2024</t>
        </is>
      </c>
      <c r="B979" s="1" t="n">
        <v>45610.35550925926</v>
      </c>
      <c r="C979" s="1" t="n">
        <v>46136</v>
      </c>
      <c r="D979" t="inlineStr">
        <is>
          <t>GÄVLEBORGS LÄN</t>
        </is>
      </c>
      <c r="E979" t="inlineStr">
        <is>
          <t>NORDANSTIG</t>
        </is>
      </c>
      <c r="F979" t="inlineStr">
        <is>
          <t>Holmen skog AB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73389-2021</t>
        </is>
      </c>
      <c r="B980" s="1" t="n">
        <v>44551</v>
      </c>
      <c r="C980" s="1" t="n">
        <v>46136</v>
      </c>
      <c r="D980" t="inlineStr">
        <is>
          <t>GÄVLEBORGS LÄN</t>
        </is>
      </c>
      <c r="E980" t="inlineStr">
        <is>
          <t>NORDANSTIG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12858-2025</t>
        </is>
      </c>
      <c r="B981" s="1" t="n">
        <v>45733.66342592592</v>
      </c>
      <c r="C981" s="1" t="n">
        <v>46136</v>
      </c>
      <c r="D981" t="inlineStr">
        <is>
          <t>GÄVLEBORGS LÄN</t>
        </is>
      </c>
      <c r="E981" t="inlineStr">
        <is>
          <t>NORDANSTIG</t>
        </is>
      </c>
      <c r="F981" t="inlineStr">
        <is>
          <t>Holmen skog AB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5892-2022</t>
        </is>
      </c>
      <c r="B982" s="1" t="n">
        <v>44596</v>
      </c>
      <c r="C982" s="1" t="n">
        <v>46136</v>
      </c>
      <c r="D982" t="inlineStr">
        <is>
          <t>GÄVLEBORGS LÄN</t>
        </is>
      </c>
      <c r="E982" t="inlineStr">
        <is>
          <t>NORDANSTIG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55513-2025</t>
        </is>
      </c>
      <c r="B983" s="1" t="n">
        <v>45971.60115740741</v>
      </c>
      <c r="C983" s="1" t="n">
        <v>46136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55460-2025</t>
        </is>
      </c>
      <c r="B984" s="1" t="n">
        <v>45971.51922453703</v>
      </c>
      <c r="C984" s="1" t="n">
        <v>46136</v>
      </c>
      <c r="D984" t="inlineStr">
        <is>
          <t>GÄVLEBORGS LÄN</t>
        </is>
      </c>
      <c r="E984" t="inlineStr">
        <is>
          <t>NORDANSTIG</t>
        </is>
      </c>
      <c r="F984" t="inlineStr">
        <is>
          <t>Holmen skog AB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57806-2024</t>
        </is>
      </c>
      <c r="B985" s="1" t="n">
        <v>45631.35064814815</v>
      </c>
      <c r="C985" s="1" t="n">
        <v>46136</v>
      </c>
      <c r="D985" t="inlineStr">
        <is>
          <t>GÄVLEBORGS LÄN</t>
        </is>
      </c>
      <c r="E985" t="inlineStr">
        <is>
          <t>NORDANSTIG</t>
        </is>
      </c>
      <c r="F985" t="inlineStr">
        <is>
          <t>Holmen skog AB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  <c r="U985">
        <f>HYPERLINK("https://klasma.github.io/Logging_2132/knärot/A 57806-2024 karta knärot.png", "A 57806-2024")</f>
        <v/>
      </c>
      <c r="V985">
        <f>HYPERLINK("https://klasma.github.io/Logging_2132/klagomål/A 57806-2024 FSC-klagomål.docx", "A 57806-2024")</f>
        <v/>
      </c>
      <c r="W985">
        <f>HYPERLINK("https://klasma.github.io/Logging_2132/klagomålsmail/A 57806-2024 FSC-klagomål mail.docx", "A 57806-2024")</f>
        <v/>
      </c>
      <c r="X985">
        <f>HYPERLINK("https://klasma.github.io/Logging_2132/tillsyn/A 57806-2024 tillsynsbegäran.docx", "A 57806-2024")</f>
        <v/>
      </c>
      <c r="Y985">
        <f>HYPERLINK("https://klasma.github.io/Logging_2132/tillsynsmail/A 57806-2024 tillsynsbegäran mail.docx", "A 57806-2024")</f>
        <v/>
      </c>
    </row>
    <row r="986" ht="15" customHeight="1">
      <c r="A986" t="inlineStr">
        <is>
          <t>A 10042-2025</t>
        </is>
      </c>
      <c r="B986" s="1" t="n">
        <v>45719.50333333333</v>
      </c>
      <c r="C986" s="1" t="n">
        <v>46136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6.6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55590-2025</t>
        </is>
      </c>
      <c r="B987" s="1" t="n">
        <v>45971.68881944445</v>
      </c>
      <c r="C987" s="1" t="n">
        <v>46136</v>
      </c>
      <c r="D987" t="inlineStr">
        <is>
          <t>GÄVLEBORGS LÄN</t>
        </is>
      </c>
      <c r="E987" t="inlineStr">
        <is>
          <t>NORDANSTIG</t>
        </is>
      </c>
      <c r="F987" t="inlineStr">
        <is>
          <t>Holmen skog AB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57863-2024</t>
        </is>
      </c>
      <c r="B988" s="1" t="n">
        <v>45631.43291666666</v>
      </c>
      <c r="C988" s="1" t="n">
        <v>46136</v>
      </c>
      <c r="D988" t="inlineStr">
        <is>
          <t>GÄVLEBORGS LÄN</t>
        </is>
      </c>
      <c r="E988" t="inlineStr">
        <is>
          <t>NORDANSTIG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57866-2024</t>
        </is>
      </c>
      <c r="B989" s="1" t="n">
        <v>45631.43737268518</v>
      </c>
      <c r="C989" s="1" t="n">
        <v>46136</v>
      </c>
      <c r="D989" t="inlineStr">
        <is>
          <t>GÄVLEBORGS LÄN</t>
        </is>
      </c>
      <c r="E989" t="inlineStr">
        <is>
          <t>NORDANSTIG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41616-2023</t>
        </is>
      </c>
      <c r="B990" s="1" t="n">
        <v>45175.67030092593</v>
      </c>
      <c r="C990" s="1" t="n">
        <v>46136</v>
      </c>
      <c r="D990" t="inlineStr">
        <is>
          <t>GÄVLEBORGS LÄN</t>
        </is>
      </c>
      <c r="E990" t="inlineStr">
        <is>
          <t>NORDANSTIG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41074-2023</t>
        </is>
      </c>
      <c r="B991" s="1" t="n">
        <v>45173</v>
      </c>
      <c r="C991" s="1" t="n">
        <v>46136</v>
      </c>
      <c r="D991" t="inlineStr">
        <is>
          <t>GÄVLEBORGS LÄN</t>
        </is>
      </c>
      <c r="E991" t="inlineStr">
        <is>
          <t>NORDANSTIG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40613-2023</t>
        </is>
      </c>
      <c r="B992" s="1" t="n">
        <v>45170.51297453704</v>
      </c>
      <c r="C992" s="1" t="n">
        <v>46136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56733-2024</t>
        </is>
      </c>
      <c r="B993" s="1" t="n">
        <v>45628.36013888889</v>
      </c>
      <c r="C993" s="1" t="n">
        <v>46136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55453-2025</t>
        </is>
      </c>
      <c r="B994" s="1" t="n">
        <v>45971.50894675926</v>
      </c>
      <c r="C994" s="1" t="n">
        <v>46136</v>
      </c>
      <c r="D994" t="inlineStr">
        <is>
          <t>GÄVLEBORGS LÄN</t>
        </is>
      </c>
      <c r="E994" t="inlineStr">
        <is>
          <t>NORDANSTIG</t>
        </is>
      </c>
      <c r="F994" t="inlineStr">
        <is>
          <t>Holmen skog AB</t>
        </is>
      </c>
      <c r="G994" t="n">
        <v>5.6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13270-2022</t>
        </is>
      </c>
      <c r="B995" s="1" t="n">
        <v>44644.71585648148</v>
      </c>
      <c r="C995" s="1" t="n">
        <v>46136</v>
      </c>
      <c r="D995" t="inlineStr">
        <is>
          <t>GÄVLEBORGS LÄN</t>
        </is>
      </c>
      <c r="E995" t="inlineStr">
        <is>
          <t>NORDANSTIG</t>
        </is>
      </c>
      <c r="G995" t="n">
        <v>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57977-2024</t>
        </is>
      </c>
      <c r="B996" s="1" t="n">
        <v>45631.60908564815</v>
      </c>
      <c r="C996" s="1" t="n">
        <v>46136</v>
      </c>
      <c r="D996" t="inlineStr">
        <is>
          <t>GÄVLEBORGS LÄN</t>
        </is>
      </c>
      <c r="E996" t="inlineStr">
        <is>
          <t>NORDANSTIG</t>
        </is>
      </c>
      <c r="F996" t="inlineStr">
        <is>
          <t>Holmen skog AB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40261-2023</t>
        </is>
      </c>
      <c r="B997" s="1" t="n">
        <v>45169.5165625</v>
      </c>
      <c r="C997" s="1" t="n">
        <v>46136</v>
      </c>
      <c r="D997" t="inlineStr">
        <is>
          <t>GÄVLEBORGS LÄN</t>
        </is>
      </c>
      <c r="E997" t="inlineStr">
        <is>
          <t>NORDANSTIG</t>
        </is>
      </c>
      <c r="F997" t="inlineStr">
        <is>
          <t>Holmen skog AB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56039-2025</t>
        </is>
      </c>
      <c r="B998" s="1" t="n">
        <v>45973.61271990741</v>
      </c>
      <c r="C998" s="1" t="n">
        <v>46136</v>
      </c>
      <c r="D998" t="inlineStr">
        <is>
          <t>GÄVLEBORGS LÄN</t>
        </is>
      </c>
      <c r="E998" t="inlineStr">
        <is>
          <t>NORDANSTIG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2141-2024</t>
        </is>
      </c>
      <c r="B999" s="1" t="n">
        <v>45309.55506944445</v>
      </c>
      <c r="C999" s="1" t="n">
        <v>46136</v>
      </c>
      <c r="D999" t="inlineStr">
        <is>
          <t>GÄVLEBORGS LÄN</t>
        </is>
      </c>
      <c r="E999" t="inlineStr">
        <is>
          <t>NORDANSTIG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60285-2024</t>
        </is>
      </c>
      <c r="B1000" s="1" t="n">
        <v>45642.92408564815</v>
      </c>
      <c r="C1000" s="1" t="n">
        <v>46136</v>
      </c>
      <c r="D1000" t="inlineStr">
        <is>
          <t>GÄVLEBORGS LÄN</t>
        </is>
      </c>
      <c r="E1000" t="inlineStr">
        <is>
          <t>NORDANSTIG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55964-2025</t>
        </is>
      </c>
      <c r="B1001" s="1" t="n">
        <v>45973.48133101852</v>
      </c>
      <c r="C1001" s="1" t="n">
        <v>46136</v>
      </c>
      <c r="D1001" t="inlineStr">
        <is>
          <t>GÄVLEBORGS LÄN</t>
        </is>
      </c>
      <c r="E1001" t="inlineStr">
        <is>
          <t>NORDANSTIG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7012-2025</t>
        </is>
      </c>
      <c r="B1002" s="1" t="n">
        <v>45701.60899305555</v>
      </c>
      <c r="C1002" s="1" t="n">
        <v>46136</v>
      </c>
      <c r="D1002" t="inlineStr">
        <is>
          <t>GÄVLEBORGS LÄN</t>
        </is>
      </c>
      <c r="E1002" t="inlineStr">
        <is>
          <t>NORDANSTIG</t>
        </is>
      </c>
      <c r="F1002" t="inlineStr">
        <is>
          <t>Holmen skog AB</t>
        </is>
      </c>
      <c r="G1002" t="n">
        <v>6.9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56056-2025</t>
        </is>
      </c>
      <c r="B1003" s="1" t="n">
        <v>45973.63414351852</v>
      </c>
      <c r="C1003" s="1" t="n">
        <v>46136</v>
      </c>
      <c r="D1003" t="inlineStr">
        <is>
          <t>GÄVLEBORGS LÄN</t>
        </is>
      </c>
      <c r="E1003" t="inlineStr">
        <is>
          <t>NORDANSTIG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55477-2024</t>
        </is>
      </c>
      <c r="B1004" s="1" t="n">
        <v>45622</v>
      </c>
      <c r="C1004" s="1" t="n">
        <v>46136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Holmen skog AB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56357-2025</t>
        </is>
      </c>
      <c r="B1005" s="1" t="n">
        <v>45974.66179398148</v>
      </c>
      <c r="C1005" s="1" t="n">
        <v>46136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4.9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4445-2025</t>
        </is>
      </c>
      <c r="B1006" s="1" t="n">
        <v>45686.56731481481</v>
      </c>
      <c r="C1006" s="1" t="n">
        <v>46136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13.4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56031-2025</t>
        </is>
      </c>
      <c r="B1007" s="1" t="n">
        <v>45973.60341435186</v>
      </c>
      <c r="C1007" s="1" t="n">
        <v>46136</v>
      </c>
      <c r="D1007" t="inlineStr">
        <is>
          <t>GÄVLEBORGS LÄN</t>
        </is>
      </c>
      <c r="E1007" t="inlineStr">
        <is>
          <t>NORDANSTIG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55955-2025</t>
        </is>
      </c>
      <c r="B1008" s="1" t="n">
        <v>45973.47506944444</v>
      </c>
      <c r="C1008" s="1" t="n">
        <v>46136</v>
      </c>
      <c r="D1008" t="inlineStr">
        <is>
          <t>GÄVLEBORGS LÄN</t>
        </is>
      </c>
      <c r="E1008" t="inlineStr">
        <is>
          <t>NORDANSTIG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31002-2024</t>
        </is>
      </c>
      <c r="B1009" s="1" t="n">
        <v>45499.62605324074</v>
      </c>
      <c r="C1009" s="1" t="n">
        <v>46136</v>
      </c>
      <c r="D1009" t="inlineStr">
        <is>
          <t>GÄVLEBORGS LÄN</t>
        </is>
      </c>
      <c r="E1009" t="inlineStr">
        <is>
          <t>NORDANSTIG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56189-2025</t>
        </is>
      </c>
      <c r="B1010" s="1" t="n">
        <v>45974.43295138889</v>
      </c>
      <c r="C1010" s="1" t="n">
        <v>46136</v>
      </c>
      <c r="D1010" t="inlineStr">
        <is>
          <t>GÄVLEBORGS LÄN</t>
        </is>
      </c>
      <c r="E1010" t="inlineStr">
        <is>
          <t>NORDANSTIG</t>
        </is>
      </c>
      <c r="G1010" t="n">
        <v>5.3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60675-2024</t>
        </is>
      </c>
      <c r="B1011" s="1" t="n">
        <v>45644.45839120371</v>
      </c>
      <c r="C1011" s="1" t="n">
        <v>46136</v>
      </c>
      <c r="D1011" t="inlineStr">
        <is>
          <t>GÄVLEBORGS LÄN</t>
        </is>
      </c>
      <c r="E1011" t="inlineStr">
        <is>
          <t>NORDANSTIG</t>
        </is>
      </c>
      <c r="F1011" t="inlineStr">
        <is>
          <t>Holmen skog AB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56191-2025</t>
        </is>
      </c>
      <c r="B1012" s="1" t="n">
        <v>45974.44013888889</v>
      </c>
      <c r="C1012" s="1" t="n">
        <v>46136</v>
      </c>
      <c r="D1012" t="inlineStr">
        <is>
          <t>GÄVLEBORGS LÄN</t>
        </is>
      </c>
      <c r="E1012" t="inlineStr">
        <is>
          <t>NORDANSTIG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55498-2024</t>
        </is>
      </c>
      <c r="B1013" s="1" t="n">
        <v>45622</v>
      </c>
      <c r="C1013" s="1" t="n">
        <v>46136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7503-2022</t>
        </is>
      </c>
      <c r="B1014" s="1" t="n">
        <v>44607.46671296296</v>
      </c>
      <c r="C1014" s="1" t="n">
        <v>46136</v>
      </c>
      <c r="D1014" t="inlineStr">
        <is>
          <t>GÄVLEBORGS LÄN</t>
        </is>
      </c>
      <c r="E1014" t="inlineStr">
        <is>
          <t>NORDANSTIG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47876-2023</t>
        </is>
      </c>
      <c r="B1015" s="1" t="n">
        <v>45204</v>
      </c>
      <c r="C1015" s="1" t="n">
        <v>46136</v>
      </c>
      <c r="D1015" t="inlineStr">
        <is>
          <t>GÄVLEBORGS LÄN</t>
        </is>
      </c>
      <c r="E1015" t="inlineStr">
        <is>
          <t>NORDANSTIG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38298-2024</t>
        </is>
      </c>
      <c r="B1016" s="1" t="n">
        <v>45545</v>
      </c>
      <c r="C1016" s="1" t="n">
        <v>46136</v>
      </c>
      <c r="D1016" t="inlineStr">
        <is>
          <t>GÄVLEBORGS LÄN</t>
        </is>
      </c>
      <c r="E1016" t="inlineStr">
        <is>
          <t>NORDANSTIG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56789-2025</t>
        </is>
      </c>
      <c r="B1017" s="1" t="n">
        <v>45978.42759259259</v>
      </c>
      <c r="C1017" s="1" t="n">
        <v>46136</v>
      </c>
      <c r="D1017" t="inlineStr">
        <is>
          <t>GÄVLEBORGS LÄN</t>
        </is>
      </c>
      <c r="E1017" t="inlineStr">
        <is>
          <t>NORDANSTIG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51091-2024</t>
        </is>
      </c>
      <c r="B1018" s="1" t="n">
        <v>45603.46905092592</v>
      </c>
      <c r="C1018" s="1" t="n">
        <v>46136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SCA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33478-2023</t>
        </is>
      </c>
      <c r="B1019" s="1" t="n">
        <v>45131.4106712963</v>
      </c>
      <c r="C1019" s="1" t="n">
        <v>46136</v>
      </c>
      <c r="D1019" t="inlineStr">
        <is>
          <t>GÄVLEBORGS LÄN</t>
        </is>
      </c>
      <c r="E1019" t="inlineStr">
        <is>
          <t>NORDANSTIG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53691-2024</t>
        </is>
      </c>
      <c r="B1020" s="1" t="n">
        <v>45615.37226851852</v>
      </c>
      <c r="C1020" s="1" t="n">
        <v>46136</v>
      </c>
      <c r="D1020" t="inlineStr">
        <is>
          <t>GÄVLEBORGS LÄN</t>
        </is>
      </c>
      <c r="E1020" t="inlineStr">
        <is>
          <t>NORDANSTIG</t>
        </is>
      </c>
      <c r="G1020" t="n">
        <v>3.8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57559-2025</t>
        </is>
      </c>
      <c r="B1021" s="1" t="n">
        <v>45980.6985300926</v>
      </c>
      <c r="C1021" s="1" t="n">
        <v>46136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SCA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57558-2025</t>
        </is>
      </c>
      <c r="B1022" s="1" t="n">
        <v>45980.69833333333</v>
      </c>
      <c r="C1022" s="1" t="n">
        <v>46136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SCA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57284-2025</t>
        </is>
      </c>
      <c r="B1023" s="1" t="n">
        <v>45979.71936342592</v>
      </c>
      <c r="C1023" s="1" t="n">
        <v>46136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SCA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48832-2022</t>
        </is>
      </c>
      <c r="B1024" s="1" t="n">
        <v>44859.65696759259</v>
      </c>
      <c r="C1024" s="1" t="n">
        <v>46136</v>
      </c>
      <c r="D1024" t="inlineStr">
        <is>
          <t>GÄVLEBORGS LÄN</t>
        </is>
      </c>
      <c r="E1024" t="inlineStr">
        <is>
          <t>NORDANSTIG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1860-2025</t>
        </is>
      </c>
      <c r="B1025" s="1" t="n">
        <v>45671.60770833334</v>
      </c>
      <c r="C1025" s="1" t="n">
        <v>46136</v>
      </c>
      <c r="D1025" t="inlineStr">
        <is>
          <t>GÄVLEBORGS LÄN</t>
        </is>
      </c>
      <c r="E1025" t="inlineStr">
        <is>
          <t>NORDANSTIG</t>
        </is>
      </c>
      <c r="F1025" t="inlineStr">
        <is>
          <t>Holmen skog AB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57186-2025</t>
        </is>
      </c>
      <c r="B1026" s="1" t="n">
        <v>45979.57400462963</v>
      </c>
      <c r="C1026" s="1" t="n">
        <v>46136</v>
      </c>
      <c r="D1026" t="inlineStr">
        <is>
          <t>GÄVLEBORGS LÄN</t>
        </is>
      </c>
      <c r="E1026" t="inlineStr">
        <is>
          <t>NORDANSTIG</t>
        </is>
      </c>
      <c r="G1026" t="n">
        <v>5.1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5963-2025</t>
        </is>
      </c>
      <c r="B1027" s="1" t="n">
        <v>45695.48805555556</v>
      </c>
      <c r="C1027" s="1" t="n">
        <v>46136</v>
      </c>
      <c r="D1027" t="inlineStr">
        <is>
          <t>GÄVLEBORGS LÄN</t>
        </is>
      </c>
      <c r="E1027" t="inlineStr">
        <is>
          <t>NORDANSTIG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56295-2024</t>
        </is>
      </c>
      <c r="B1028" s="1" t="n">
        <v>45624.6821875</v>
      </c>
      <c r="C1028" s="1" t="n">
        <v>46136</v>
      </c>
      <c r="D1028" t="inlineStr">
        <is>
          <t>GÄVLEBORGS LÄN</t>
        </is>
      </c>
      <c r="E1028" t="inlineStr">
        <is>
          <t>NORDANSTIG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57875-2025</t>
        </is>
      </c>
      <c r="B1029" s="1" t="n">
        <v>45981.65532407408</v>
      </c>
      <c r="C1029" s="1" t="n">
        <v>46136</v>
      </c>
      <c r="D1029" t="inlineStr">
        <is>
          <t>GÄVLEBORGS LÄN</t>
        </is>
      </c>
      <c r="E1029" t="inlineStr">
        <is>
          <t>NORDANSTIG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58891-2024</t>
        </is>
      </c>
      <c r="B1030" s="1" t="n">
        <v>45636.46212962963</v>
      </c>
      <c r="C1030" s="1" t="n">
        <v>46136</v>
      </c>
      <c r="D1030" t="inlineStr">
        <is>
          <t>GÄVLEBORGS LÄN</t>
        </is>
      </c>
      <c r="E1030" t="inlineStr">
        <is>
          <t>NORDANSTIG</t>
        </is>
      </c>
      <c r="F1030" t="inlineStr">
        <is>
          <t>Holmen skog AB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46299-2023</t>
        </is>
      </c>
      <c r="B1031" s="1" t="n">
        <v>45197.33954861111</v>
      </c>
      <c r="C1031" s="1" t="n">
        <v>46136</v>
      </c>
      <c r="D1031" t="inlineStr">
        <is>
          <t>GÄVLEBORGS LÄN</t>
        </is>
      </c>
      <c r="E1031" t="inlineStr">
        <is>
          <t>NORDANSTIG</t>
        </is>
      </c>
      <c r="F1031" t="inlineStr">
        <is>
          <t>Holmen skog AB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72820-2021</t>
        </is>
      </c>
      <c r="B1032" s="1" t="n">
        <v>44547</v>
      </c>
      <c r="C1032" s="1" t="n">
        <v>46136</v>
      </c>
      <c r="D1032" t="inlineStr">
        <is>
          <t>GÄVLEBORGS LÄN</t>
        </is>
      </c>
      <c r="E1032" t="inlineStr">
        <is>
          <t>NORDANSTIG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57831-2025</t>
        </is>
      </c>
      <c r="B1033" s="1" t="n">
        <v>45981.61270833333</v>
      </c>
      <c r="C1033" s="1" t="n">
        <v>46136</v>
      </c>
      <c r="D1033" t="inlineStr">
        <is>
          <t>GÄVLEBORGS LÄN</t>
        </is>
      </c>
      <c r="E1033" t="inlineStr">
        <is>
          <t>NORDANSTIG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58531-2025</t>
        </is>
      </c>
      <c r="B1034" s="1" t="n">
        <v>45985.79703703704</v>
      </c>
      <c r="C1034" s="1" t="n">
        <v>46136</v>
      </c>
      <c r="D1034" t="inlineStr">
        <is>
          <t>GÄVLEBORGS LÄN</t>
        </is>
      </c>
      <c r="E1034" t="inlineStr">
        <is>
          <t>NORDANSTIG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58522-2025</t>
        </is>
      </c>
      <c r="B1035" s="1" t="n">
        <v>45985.71815972222</v>
      </c>
      <c r="C1035" s="1" t="n">
        <v>46136</v>
      </c>
      <c r="D1035" t="inlineStr">
        <is>
          <t>GÄVLEBORGS LÄN</t>
        </is>
      </c>
      <c r="E1035" t="inlineStr">
        <is>
          <t>NORDANSTIG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58533-2025</t>
        </is>
      </c>
      <c r="B1036" s="1" t="n">
        <v>45985.79769675926</v>
      </c>
      <c r="C1036" s="1" t="n">
        <v>46136</v>
      </c>
      <c r="D1036" t="inlineStr">
        <is>
          <t>GÄVLEBORGS LÄN</t>
        </is>
      </c>
      <c r="E1036" t="inlineStr">
        <is>
          <t>NORDANSTIG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59851-2024</t>
        </is>
      </c>
      <c r="B1037" s="1" t="n">
        <v>45639</v>
      </c>
      <c r="C1037" s="1" t="n">
        <v>46136</v>
      </c>
      <c r="D1037" t="inlineStr">
        <is>
          <t>GÄVLEBORGS LÄN</t>
        </is>
      </c>
      <c r="E1037" t="inlineStr">
        <is>
          <t>NORDANSTIG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58595-2025</t>
        </is>
      </c>
      <c r="B1038" s="1" t="n">
        <v>45986.42084490741</v>
      </c>
      <c r="C1038" s="1" t="n">
        <v>46136</v>
      </c>
      <c r="D1038" t="inlineStr">
        <is>
          <t>GÄVLEBORGS LÄN</t>
        </is>
      </c>
      <c r="E1038" t="inlineStr">
        <is>
          <t>NORDANSTIG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5143-2025</t>
        </is>
      </c>
      <c r="B1039" s="1" t="n">
        <v>45691.58659722222</v>
      </c>
      <c r="C1039" s="1" t="n">
        <v>46136</v>
      </c>
      <c r="D1039" t="inlineStr">
        <is>
          <t>GÄVLEBORGS LÄN</t>
        </is>
      </c>
      <c r="E1039" t="inlineStr">
        <is>
          <t>NORDANSTIG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58532-2025</t>
        </is>
      </c>
      <c r="B1040" s="1" t="n">
        <v>45985.79741898148</v>
      </c>
      <c r="C1040" s="1" t="n">
        <v>46136</v>
      </c>
      <c r="D1040" t="inlineStr">
        <is>
          <t>GÄVLEBORGS LÄN</t>
        </is>
      </c>
      <c r="E1040" t="inlineStr">
        <is>
          <t>NORDANSTIG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58535-2025</t>
        </is>
      </c>
      <c r="B1041" s="1" t="n">
        <v>45985.805625</v>
      </c>
      <c r="C1041" s="1" t="n">
        <v>46136</v>
      </c>
      <c r="D1041" t="inlineStr">
        <is>
          <t>GÄVLEBORGS LÄN</t>
        </is>
      </c>
      <c r="E1041" t="inlineStr">
        <is>
          <t>NORDANSTIG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3692-2022</t>
        </is>
      </c>
      <c r="B1042" s="1" t="n">
        <v>44586</v>
      </c>
      <c r="C1042" s="1" t="n">
        <v>46136</v>
      </c>
      <c r="D1042" t="inlineStr">
        <is>
          <t>GÄVLEBORGS LÄN</t>
        </is>
      </c>
      <c r="E1042" t="inlineStr">
        <is>
          <t>NORDANSTIG</t>
        </is>
      </c>
      <c r="F1042" t="inlineStr">
        <is>
          <t>Holmen skog AB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4409-2025</t>
        </is>
      </c>
      <c r="B1043" s="1" t="n">
        <v>45686.44449074074</v>
      </c>
      <c r="C1043" s="1" t="n">
        <v>46136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5.4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4559-2025</t>
        </is>
      </c>
      <c r="B1044" s="1" t="n">
        <v>45687.45087962963</v>
      </c>
      <c r="C1044" s="1" t="n">
        <v>46136</v>
      </c>
      <c r="D1044" t="inlineStr">
        <is>
          <t>GÄVLEBORGS LÄN</t>
        </is>
      </c>
      <c r="E1044" t="inlineStr">
        <is>
          <t>NORDANSTIG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56263-2024</t>
        </is>
      </c>
      <c r="B1045" s="1" t="n">
        <v>45624.65340277777</v>
      </c>
      <c r="C1045" s="1" t="n">
        <v>46136</v>
      </c>
      <c r="D1045" t="inlineStr">
        <is>
          <t>GÄVLEBORGS LÄN</t>
        </is>
      </c>
      <c r="E1045" t="inlineStr">
        <is>
          <t>NORDANSTIG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51740-2023</t>
        </is>
      </c>
      <c r="B1046" s="1" t="n">
        <v>45222.66674768519</v>
      </c>
      <c r="C1046" s="1" t="n">
        <v>46136</v>
      </c>
      <c r="D1046" t="inlineStr">
        <is>
          <t>GÄVLEBORGS LÄN</t>
        </is>
      </c>
      <c r="E1046" t="inlineStr">
        <is>
          <t>NORDANSTIG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51438-2023</t>
        </is>
      </c>
      <c r="B1047" s="1" t="n">
        <v>45219</v>
      </c>
      <c r="C1047" s="1" t="n">
        <v>46136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SCA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55494-2024</t>
        </is>
      </c>
      <c r="B1048" s="1" t="n">
        <v>45622</v>
      </c>
      <c r="C1048" s="1" t="n">
        <v>46136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55531-2024</t>
        </is>
      </c>
      <c r="B1049" s="1" t="n">
        <v>45622.48667824074</v>
      </c>
      <c r="C1049" s="1" t="n">
        <v>46136</v>
      </c>
      <c r="D1049" t="inlineStr">
        <is>
          <t>GÄVLEBORGS LÄN</t>
        </is>
      </c>
      <c r="E1049" t="inlineStr">
        <is>
          <t>NORDANSTIG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59003-2025</t>
        </is>
      </c>
      <c r="B1050" s="1" t="n">
        <v>45987</v>
      </c>
      <c r="C1050" s="1" t="n">
        <v>46136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SCA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59008-2025</t>
        </is>
      </c>
      <c r="B1051" s="1" t="n">
        <v>45987</v>
      </c>
      <c r="C1051" s="1" t="n">
        <v>46136</v>
      </c>
      <c r="D1051" t="inlineStr">
        <is>
          <t>GÄVLEBORGS LÄN</t>
        </is>
      </c>
      <c r="E1051" t="inlineStr">
        <is>
          <t>NORDANSTIG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19567-2024</t>
        </is>
      </c>
      <c r="B1052" s="1" t="n">
        <v>45429.92321759259</v>
      </c>
      <c r="C1052" s="1" t="n">
        <v>46136</v>
      </c>
      <c r="D1052" t="inlineStr">
        <is>
          <t>GÄVLEBORGS LÄN</t>
        </is>
      </c>
      <c r="E1052" t="inlineStr">
        <is>
          <t>NORDANSTIG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59001-2025</t>
        </is>
      </c>
      <c r="B1053" s="1" t="n">
        <v>45987</v>
      </c>
      <c r="C1053" s="1" t="n">
        <v>46136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SCA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20512-2022</t>
        </is>
      </c>
      <c r="B1054" s="1" t="n">
        <v>44699</v>
      </c>
      <c r="C1054" s="1" t="n">
        <v>46136</v>
      </c>
      <c r="D1054" t="inlineStr">
        <is>
          <t>GÄVLEBORGS LÄN</t>
        </is>
      </c>
      <c r="E1054" t="inlineStr">
        <is>
          <t>NORDANSTIG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17482-2022</t>
        </is>
      </c>
      <c r="B1055" s="1" t="n">
        <v>44679.44565972222</v>
      </c>
      <c r="C1055" s="1" t="n">
        <v>46136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16640-2025</t>
        </is>
      </c>
      <c r="B1056" s="1" t="n">
        <v>45754.36946759259</v>
      </c>
      <c r="C1056" s="1" t="n">
        <v>46136</v>
      </c>
      <c r="D1056" t="inlineStr">
        <is>
          <t>GÄVLEBORGS LÄN</t>
        </is>
      </c>
      <c r="E1056" t="inlineStr">
        <is>
          <t>NORDANSTIG</t>
        </is>
      </c>
      <c r="F1056" t="inlineStr">
        <is>
          <t>Holmen skog AB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17271-2022</t>
        </is>
      </c>
      <c r="B1057" s="1" t="n">
        <v>44678</v>
      </c>
      <c r="C1057" s="1" t="n">
        <v>46136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36025-2023</t>
        </is>
      </c>
      <c r="B1058" s="1" t="n">
        <v>45149.37282407407</v>
      </c>
      <c r="C1058" s="1" t="n">
        <v>46136</v>
      </c>
      <c r="D1058" t="inlineStr">
        <is>
          <t>GÄVLEBORGS LÄN</t>
        </is>
      </c>
      <c r="E1058" t="inlineStr">
        <is>
          <t>NORDANSTIG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50413-2023</t>
        </is>
      </c>
      <c r="B1059" s="1" t="n">
        <v>45216.66340277778</v>
      </c>
      <c r="C1059" s="1" t="n">
        <v>46136</v>
      </c>
      <c r="D1059" t="inlineStr">
        <is>
          <t>GÄVLEBORGS LÄN</t>
        </is>
      </c>
      <c r="E1059" t="inlineStr">
        <is>
          <t>NORDANSTIG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18529-2022</t>
        </is>
      </c>
      <c r="B1060" s="1" t="n">
        <v>44686.7058912037</v>
      </c>
      <c r="C1060" s="1" t="n">
        <v>46136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44826-2024</t>
        </is>
      </c>
      <c r="B1061" s="1" t="n">
        <v>45574.67715277777</v>
      </c>
      <c r="C1061" s="1" t="n">
        <v>46136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15.3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59930-2024</t>
        </is>
      </c>
      <c r="B1062" s="1" t="n">
        <v>45642</v>
      </c>
      <c r="C1062" s="1" t="n">
        <v>46136</v>
      </c>
      <c r="D1062" t="inlineStr">
        <is>
          <t>GÄVLEBORGS LÄN</t>
        </is>
      </c>
      <c r="E1062" t="inlineStr">
        <is>
          <t>NORDANSTIG</t>
        </is>
      </c>
      <c r="G1062" t="n">
        <v>0.1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59997-2025</t>
        </is>
      </c>
      <c r="B1063" s="1" t="n">
        <v>45993.57200231482</v>
      </c>
      <c r="C1063" s="1" t="n">
        <v>46136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13470-2025</t>
        </is>
      </c>
      <c r="B1064" s="1" t="n">
        <v>45736.40509259259</v>
      </c>
      <c r="C1064" s="1" t="n">
        <v>46136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60299-2025</t>
        </is>
      </c>
      <c r="B1065" s="1" t="n">
        <v>45994</v>
      </c>
      <c r="C1065" s="1" t="n">
        <v>46136</v>
      </c>
      <c r="D1065" t="inlineStr">
        <is>
          <t>GÄVLEBORGS LÄN</t>
        </is>
      </c>
      <c r="E1065" t="inlineStr">
        <is>
          <t>NORDANSTIG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60372-2025</t>
        </is>
      </c>
      <c r="B1066" s="1" t="n">
        <v>45995.34509259259</v>
      </c>
      <c r="C1066" s="1" t="n">
        <v>46136</v>
      </c>
      <c r="D1066" t="inlineStr">
        <is>
          <t>GÄVLEBORGS LÄN</t>
        </is>
      </c>
      <c r="E1066" t="inlineStr">
        <is>
          <t>NORDANSTIG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60371-2025</t>
        </is>
      </c>
      <c r="B1067" s="1" t="n">
        <v>45995.34503472222</v>
      </c>
      <c r="C1067" s="1" t="n">
        <v>46136</v>
      </c>
      <c r="D1067" t="inlineStr">
        <is>
          <t>GÄVLEBORGS LÄN</t>
        </is>
      </c>
      <c r="E1067" t="inlineStr">
        <is>
          <t>NORDANSTIG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24999-2022</t>
        </is>
      </c>
      <c r="B1068" s="1" t="n">
        <v>44728</v>
      </c>
      <c r="C1068" s="1" t="n">
        <v>46136</v>
      </c>
      <c r="D1068" t="inlineStr">
        <is>
          <t>GÄVLEBORGS LÄN</t>
        </is>
      </c>
      <c r="E1068" t="inlineStr">
        <is>
          <t>NORDANSTIG</t>
        </is>
      </c>
      <c r="G1068" t="n">
        <v>18.5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4084-2025</t>
        </is>
      </c>
      <c r="B1069" s="1" t="n">
        <v>45684.66099537037</v>
      </c>
      <c r="C1069" s="1" t="n">
        <v>46136</v>
      </c>
      <c r="D1069" t="inlineStr">
        <is>
          <t>GÄVLEBORGS LÄN</t>
        </is>
      </c>
      <c r="E1069" t="inlineStr">
        <is>
          <t>NORDANSTIG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32149-2024</t>
        </is>
      </c>
      <c r="B1070" s="1" t="n">
        <v>45511</v>
      </c>
      <c r="C1070" s="1" t="n">
        <v>46136</v>
      </c>
      <c r="D1070" t="inlineStr">
        <is>
          <t>GÄVLEBORGS LÄN</t>
        </is>
      </c>
      <c r="E1070" t="inlineStr">
        <is>
          <t>NORDANSTIG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30630-2022</t>
        </is>
      </c>
      <c r="B1071" s="1" t="n">
        <v>44763.44563657408</v>
      </c>
      <c r="C1071" s="1" t="n">
        <v>46136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60787-2025</t>
        </is>
      </c>
      <c r="B1072" s="1" t="n">
        <v>45999.40980324074</v>
      </c>
      <c r="C1072" s="1" t="n">
        <v>46136</v>
      </c>
      <c r="D1072" t="inlineStr">
        <is>
          <t>GÄVLEBORGS LÄN</t>
        </is>
      </c>
      <c r="E1072" t="inlineStr">
        <is>
          <t>NORDANSTIG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28711-2022</t>
        </is>
      </c>
      <c r="B1073" s="1" t="n">
        <v>44748</v>
      </c>
      <c r="C1073" s="1" t="n">
        <v>46136</v>
      </c>
      <c r="D1073" t="inlineStr">
        <is>
          <t>GÄVLEBORGS LÄN</t>
        </is>
      </c>
      <c r="E1073" t="inlineStr">
        <is>
          <t>NORDANSTIG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14402-2025</t>
        </is>
      </c>
      <c r="B1074" s="1" t="n">
        <v>45741.4575</v>
      </c>
      <c r="C1074" s="1" t="n">
        <v>46136</v>
      </c>
      <c r="D1074" t="inlineStr">
        <is>
          <t>GÄVLEBORGS LÄN</t>
        </is>
      </c>
      <c r="E1074" t="inlineStr">
        <is>
          <t>NORDANSTIG</t>
        </is>
      </c>
      <c r="G1074" t="n">
        <v>17.1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36960-2023</t>
        </is>
      </c>
      <c r="B1075" s="1" t="n">
        <v>45154</v>
      </c>
      <c r="C1075" s="1" t="n">
        <v>46136</v>
      </c>
      <c r="D1075" t="inlineStr">
        <is>
          <t>GÄVLEBORGS LÄN</t>
        </is>
      </c>
      <c r="E1075" t="inlineStr">
        <is>
          <t>NORDANSTIG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61067-2025</t>
        </is>
      </c>
      <c r="B1076" s="1" t="n">
        <v>46000.37758101852</v>
      </c>
      <c r="C1076" s="1" t="n">
        <v>46136</v>
      </c>
      <c r="D1076" t="inlineStr">
        <is>
          <t>GÄVLEBORGS LÄN</t>
        </is>
      </c>
      <c r="E1076" t="inlineStr">
        <is>
          <t>NORDANSTIG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7252-2025</t>
        </is>
      </c>
      <c r="B1077" s="1" t="n">
        <v>45702.56151620371</v>
      </c>
      <c r="C1077" s="1" t="n">
        <v>46136</v>
      </c>
      <c r="D1077" t="inlineStr">
        <is>
          <t>GÄVLEBORGS LÄN</t>
        </is>
      </c>
      <c r="E1077" t="inlineStr">
        <is>
          <t>NORDANSTIG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61072-2025</t>
        </is>
      </c>
      <c r="B1078" s="1" t="n">
        <v>46000.39049768518</v>
      </c>
      <c r="C1078" s="1" t="n">
        <v>46136</v>
      </c>
      <c r="D1078" t="inlineStr">
        <is>
          <t>GÄVLEBORGS LÄN</t>
        </is>
      </c>
      <c r="E1078" t="inlineStr">
        <is>
          <t>NORDANSTIG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30940-2022</t>
        </is>
      </c>
      <c r="B1079" s="1" t="n">
        <v>44768.34793981481</v>
      </c>
      <c r="C1079" s="1" t="n">
        <v>46136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61046-2025</t>
        </is>
      </c>
      <c r="B1080" s="1" t="n">
        <v>46000.30241898148</v>
      </c>
      <c r="C1080" s="1" t="n">
        <v>46136</v>
      </c>
      <c r="D1080" t="inlineStr">
        <is>
          <t>GÄVLEBORGS LÄN</t>
        </is>
      </c>
      <c r="E1080" t="inlineStr">
        <is>
          <t>NORDANSTIG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55002-2023</t>
        </is>
      </c>
      <c r="B1081" s="1" t="n">
        <v>45236</v>
      </c>
      <c r="C1081" s="1" t="n">
        <v>46136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SCA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60041-2023</t>
        </is>
      </c>
      <c r="B1082" s="1" t="n">
        <v>45258.34424768519</v>
      </c>
      <c r="C1082" s="1" t="n">
        <v>46136</v>
      </c>
      <c r="D1082" t="inlineStr">
        <is>
          <t>GÄVLEBORGS LÄN</t>
        </is>
      </c>
      <c r="E1082" t="inlineStr">
        <is>
          <t>NORDANSTIG</t>
        </is>
      </c>
      <c r="G1082" t="n">
        <v>7.2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51560-2023</t>
        </is>
      </c>
      <c r="B1083" s="1" t="n">
        <v>45222.44016203703</v>
      </c>
      <c r="C1083" s="1" t="n">
        <v>46136</v>
      </c>
      <c r="D1083" t="inlineStr">
        <is>
          <t>GÄVLEBORGS LÄN</t>
        </is>
      </c>
      <c r="E1083" t="inlineStr">
        <is>
          <t>NORDANSTIG</t>
        </is>
      </c>
      <c r="G1083" t="n">
        <v>26.9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60398-2023</t>
        </is>
      </c>
      <c r="B1084" s="1" t="n">
        <v>45259</v>
      </c>
      <c r="C1084" s="1" t="n">
        <v>46136</v>
      </c>
      <c r="D1084" t="inlineStr">
        <is>
          <t>GÄVLEBORGS LÄN</t>
        </is>
      </c>
      <c r="E1084" t="inlineStr">
        <is>
          <t>NORDANSTIG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7916-2022</t>
        </is>
      </c>
      <c r="B1085" s="1" t="n">
        <v>44608.68528935185</v>
      </c>
      <c r="C1085" s="1" t="n">
        <v>46136</v>
      </c>
      <c r="D1085" t="inlineStr">
        <is>
          <t>GÄVLEBORGS LÄN</t>
        </is>
      </c>
      <c r="E1085" t="inlineStr">
        <is>
          <t>NORDANSTIG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23369-2022</t>
        </is>
      </c>
      <c r="B1086" s="1" t="n">
        <v>44720.60880787037</v>
      </c>
      <c r="C1086" s="1" t="n">
        <v>46136</v>
      </c>
      <c r="D1086" t="inlineStr">
        <is>
          <t>GÄVLEBORGS LÄN</t>
        </is>
      </c>
      <c r="E1086" t="inlineStr">
        <is>
          <t>NORDANSTIG</t>
        </is>
      </c>
      <c r="G1086" t="n">
        <v>5.3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40269-2023</t>
        </is>
      </c>
      <c r="B1087" s="1" t="n">
        <v>45169.54965277778</v>
      </c>
      <c r="C1087" s="1" t="n">
        <v>46136</v>
      </c>
      <c r="D1087" t="inlineStr">
        <is>
          <t>GÄVLEBORGS LÄN</t>
        </is>
      </c>
      <c r="E1087" t="inlineStr">
        <is>
          <t>NORDANSTIG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12216-2025</t>
        </is>
      </c>
      <c r="B1088" s="1" t="n">
        <v>45729.53565972222</v>
      </c>
      <c r="C1088" s="1" t="n">
        <v>46136</v>
      </c>
      <c r="D1088" t="inlineStr">
        <is>
          <t>GÄVLEBORGS LÄN</t>
        </is>
      </c>
      <c r="E1088" t="inlineStr">
        <is>
          <t>NORDANSTIG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62185-2025</t>
        </is>
      </c>
      <c r="B1089" s="1" t="n">
        <v>46006.53935185185</v>
      </c>
      <c r="C1089" s="1" t="n">
        <v>46136</v>
      </c>
      <c r="D1089" t="inlineStr">
        <is>
          <t>GÄVLEBORGS LÄN</t>
        </is>
      </c>
      <c r="E1089" t="inlineStr">
        <is>
          <t>NORDANSTIG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61871-2025</t>
        </is>
      </c>
      <c r="B1090" s="1" t="n">
        <v>46003.39693287037</v>
      </c>
      <c r="C1090" s="1" t="n">
        <v>46136</v>
      </c>
      <c r="D1090" t="inlineStr">
        <is>
          <t>GÄVLEBORGS LÄN</t>
        </is>
      </c>
      <c r="E1090" t="inlineStr">
        <is>
          <t>NORDANSTIG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10796-2025</t>
        </is>
      </c>
      <c r="B1091" s="1" t="n">
        <v>45722.50196759259</v>
      </c>
      <c r="C1091" s="1" t="n">
        <v>46136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47762-2021</t>
        </is>
      </c>
      <c r="B1092" s="1" t="n">
        <v>44448</v>
      </c>
      <c r="C1092" s="1" t="n">
        <v>46136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62182-2025</t>
        </is>
      </c>
      <c r="B1093" s="1" t="n">
        <v>46006.53503472222</v>
      </c>
      <c r="C1093" s="1" t="n">
        <v>46136</v>
      </c>
      <c r="D1093" t="inlineStr">
        <is>
          <t>GÄVLEBORGS LÄN</t>
        </is>
      </c>
      <c r="E1093" t="inlineStr">
        <is>
          <t>NORDANSTIG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41620-2023</t>
        </is>
      </c>
      <c r="B1094" s="1" t="n">
        <v>45175.67440972223</v>
      </c>
      <c r="C1094" s="1" t="n">
        <v>46136</v>
      </c>
      <c r="D1094" t="inlineStr">
        <is>
          <t>GÄVLEBORGS LÄN</t>
        </is>
      </c>
      <c r="E1094" t="inlineStr">
        <is>
          <t>NORDANSTIG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20577-2025</t>
        </is>
      </c>
      <c r="B1095" s="1" t="n">
        <v>45775.67856481481</v>
      </c>
      <c r="C1095" s="1" t="n">
        <v>46136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18445-2025</t>
        </is>
      </c>
      <c r="B1096" s="1" t="n">
        <v>45762.6605787037</v>
      </c>
      <c r="C1096" s="1" t="n">
        <v>46136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5.2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62833-2025</t>
        </is>
      </c>
      <c r="B1097" s="1" t="n">
        <v>46008.6775</v>
      </c>
      <c r="C1097" s="1" t="n">
        <v>46136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SCA</t>
        </is>
      </c>
      <c r="G1097" t="n">
        <v>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44446-2023</t>
        </is>
      </c>
      <c r="B1098" s="1" t="n">
        <v>45189.378125</v>
      </c>
      <c r="C1098" s="1" t="n">
        <v>46136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4.9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40388-2022</t>
        </is>
      </c>
      <c r="B1099" s="1" t="n">
        <v>44823</v>
      </c>
      <c r="C1099" s="1" t="n">
        <v>46136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18433-2025</t>
        </is>
      </c>
      <c r="B1100" s="1" t="n">
        <v>45762.63892361111</v>
      </c>
      <c r="C1100" s="1" t="n">
        <v>46136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53179-2024</t>
        </is>
      </c>
      <c r="B1101" s="1" t="n">
        <v>45611.66996527778</v>
      </c>
      <c r="C1101" s="1" t="n">
        <v>46136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56028-2024</t>
        </is>
      </c>
      <c r="B1102" s="1" t="n">
        <v>45624.30975694444</v>
      </c>
      <c r="C1102" s="1" t="n">
        <v>46136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18.8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62458-2023</t>
        </is>
      </c>
      <c r="B1103" s="1" t="n">
        <v>45268.51303240741</v>
      </c>
      <c r="C1103" s="1" t="n">
        <v>46136</v>
      </c>
      <c r="D1103" t="inlineStr">
        <is>
          <t>GÄVLEBORGS LÄN</t>
        </is>
      </c>
      <c r="E1103" t="inlineStr">
        <is>
          <t>NORDANSTIG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63314-2025</t>
        </is>
      </c>
      <c r="B1104" s="1" t="n">
        <v>46010</v>
      </c>
      <c r="C1104" s="1" t="n">
        <v>46136</v>
      </c>
      <c r="D1104" t="inlineStr">
        <is>
          <t>GÄVLEBORGS LÄN</t>
        </is>
      </c>
      <c r="E1104" t="inlineStr">
        <is>
          <t>NORDANSTIG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62960-2025</t>
        </is>
      </c>
      <c r="B1105" s="1" t="n">
        <v>46009.45855324074</v>
      </c>
      <c r="C1105" s="1" t="n">
        <v>46136</v>
      </c>
      <c r="D1105" t="inlineStr">
        <is>
          <t>GÄVLEBORGS LÄN</t>
        </is>
      </c>
      <c r="E1105" t="inlineStr">
        <is>
          <t>NORDANSTIG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31899-2022</t>
        </is>
      </c>
      <c r="B1106" s="1" t="n">
        <v>44777</v>
      </c>
      <c r="C1106" s="1" t="n">
        <v>46136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37295-2022</t>
        </is>
      </c>
      <c r="B1107" s="1" t="n">
        <v>44808</v>
      </c>
      <c r="C1107" s="1" t="n">
        <v>46136</v>
      </c>
      <c r="D1107" t="inlineStr">
        <is>
          <t>GÄVLEBORGS LÄN</t>
        </is>
      </c>
      <c r="E1107" t="inlineStr">
        <is>
          <t>NORDANSTIG</t>
        </is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3474-2024</t>
        </is>
      </c>
      <c r="B1108" s="1" t="n">
        <v>45320</v>
      </c>
      <c r="C1108" s="1" t="n">
        <v>46136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2573-2024</t>
        </is>
      </c>
      <c r="B1109" s="1" t="n">
        <v>45313.63486111111</v>
      </c>
      <c r="C1109" s="1" t="n">
        <v>46136</v>
      </c>
      <c r="D1109" t="inlineStr">
        <is>
          <t>GÄVLEBORGS LÄN</t>
        </is>
      </c>
      <c r="E1109" t="inlineStr">
        <is>
          <t>NORDANSTIG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5411-2022</t>
        </is>
      </c>
      <c r="B1110" s="1" t="n">
        <v>44595.38513888889</v>
      </c>
      <c r="C1110" s="1" t="n">
        <v>46136</v>
      </c>
      <c r="D1110" t="inlineStr">
        <is>
          <t>GÄVLEBORGS LÄN</t>
        </is>
      </c>
      <c r="E1110" t="inlineStr">
        <is>
          <t>NORDANSTIG</t>
        </is>
      </c>
      <c r="G1110" t="n">
        <v>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51541-2025</t>
        </is>
      </c>
      <c r="B1111" s="1" t="n">
        <v>45950.70054398148</v>
      </c>
      <c r="C1111" s="1" t="n">
        <v>46136</v>
      </c>
      <c r="D1111" t="inlineStr">
        <is>
          <t>GÄVLEBORGS LÄN</t>
        </is>
      </c>
      <c r="E1111" t="inlineStr">
        <is>
          <t>NORDANSTIG</t>
        </is>
      </c>
      <c r="F1111" t="inlineStr">
        <is>
          <t>Holmen skog AB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37972-2022</t>
        </is>
      </c>
      <c r="B1112" s="1" t="n">
        <v>44811</v>
      </c>
      <c r="C1112" s="1" t="n">
        <v>46136</v>
      </c>
      <c r="D1112" t="inlineStr">
        <is>
          <t>GÄVLEBORGS LÄN</t>
        </is>
      </c>
      <c r="E1112" t="inlineStr">
        <is>
          <t>NORDANSTIG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37986-2022</t>
        </is>
      </c>
      <c r="B1113" s="1" t="n">
        <v>44811.56202546296</v>
      </c>
      <c r="C1113" s="1" t="n">
        <v>46136</v>
      </c>
      <c r="D1113" t="inlineStr">
        <is>
          <t>GÄVLEBORGS LÄN</t>
        </is>
      </c>
      <c r="E1113" t="inlineStr">
        <is>
          <t>NORDANSTIG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63787-2025</t>
        </is>
      </c>
      <c r="B1114" s="1" t="n">
        <v>46019</v>
      </c>
      <c r="C1114" s="1" t="n">
        <v>46136</v>
      </c>
      <c r="D1114" t="inlineStr">
        <is>
          <t>GÄVLEBORGS LÄN</t>
        </is>
      </c>
      <c r="E1114" t="inlineStr">
        <is>
          <t>NORDANSTIG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63934-2025</t>
        </is>
      </c>
      <c r="B1115" s="1" t="n">
        <v>46020</v>
      </c>
      <c r="C1115" s="1" t="n">
        <v>46136</v>
      </c>
      <c r="D1115" t="inlineStr">
        <is>
          <t>GÄVLEBORGS LÄN</t>
        </is>
      </c>
      <c r="E1115" t="inlineStr">
        <is>
          <t>NORDANSTIG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63783-2025</t>
        </is>
      </c>
      <c r="B1116" s="1" t="n">
        <v>46019</v>
      </c>
      <c r="C1116" s="1" t="n">
        <v>46136</v>
      </c>
      <c r="D1116" t="inlineStr">
        <is>
          <t>GÄVLEBORGS LÄN</t>
        </is>
      </c>
      <c r="E1116" t="inlineStr">
        <is>
          <t>NORDANSTIG</t>
        </is>
      </c>
      <c r="G1116" t="n">
        <v>6.4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63784-2025</t>
        </is>
      </c>
      <c r="B1117" s="1" t="n">
        <v>46019</v>
      </c>
      <c r="C1117" s="1" t="n">
        <v>46136</v>
      </c>
      <c r="D1117" t="inlineStr">
        <is>
          <t>GÄVLEBORGS LÄN</t>
        </is>
      </c>
      <c r="E1117" t="inlineStr">
        <is>
          <t>NORDANSTIG</t>
        </is>
      </c>
      <c r="G1117" t="n">
        <v>6.3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63786-2025</t>
        </is>
      </c>
      <c r="B1118" s="1" t="n">
        <v>46019</v>
      </c>
      <c r="C1118" s="1" t="n">
        <v>46136</v>
      </c>
      <c r="D1118" t="inlineStr">
        <is>
          <t>GÄVLEBORGS LÄN</t>
        </is>
      </c>
      <c r="E1118" t="inlineStr">
        <is>
          <t>NORDANSTIG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35070-2022</t>
        </is>
      </c>
      <c r="B1119" s="1" t="n">
        <v>44797.36980324074</v>
      </c>
      <c r="C1119" s="1" t="n">
        <v>46136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46111-2023</t>
        </is>
      </c>
      <c r="B1120" s="1" t="n">
        <v>45196.54778935185</v>
      </c>
      <c r="C1120" s="1" t="n">
        <v>46136</v>
      </c>
      <c r="D1120" t="inlineStr">
        <is>
          <t>GÄVLEBORGS LÄN</t>
        </is>
      </c>
      <c r="E1120" t="inlineStr">
        <is>
          <t>NORDANSTIG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63806-2025</t>
        </is>
      </c>
      <c r="B1121" s="1" t="n">
        <v>46019</v>
      </c>
      <c r="C1121" s="1" t="n">
        <v>46136</v>
      </c>
      <c r="D1121" t="inlineStr">
        <is>
          <t>GÄVLEBORGS LÄN</t>
        </is>
      </c>
      <c r="E1121" t="inlineStr">
        <is>
          <t>NORDANSTIG</t>
        </is>
      </c>
      <c r="G1121" t="n">
        <v>16.2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7796-2026</t>
        </is>
      </c>
      <c r="B1122" s="1" t="n">
        <v>46062.59929398148</v>
      </c>
      <c r="C1122" s="1" t="n">
        <v>46136</v>
      </c>
      <c r="D1122" t="inlineStr">
        <is>
          <t>GÄVLEBORGS LÄN</t>
        </is>
      </c>
      <c r="E1122" t="inlineStr">
        <is>
          <t>NORDANSTIG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63980-2025</t>
        </is>
      </c>
      <c r="B1123" s="1" t="n">
        <v>46021.34444444445</v>
      </c>
      <c r="C1123" s="1" t="n">
        <v>46136</v>
      </c>
      <c r="D1123" t="inlineStr">
        <is>
          <t>GÄVLEBORGS LÄN</t>
        </is>
      </c>
      <c r="E1123" t="inlineStr">
        <is>
          <t>NORDANSTIG</t>
        </is>
      </c>
      <c r="G1123" t="n">
        <v>7.4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64034-2025</t>
        </is>
      </c>
      <c r="B1124" s="1" t="n">
        <v>46021.51075231482</v>
      </c>
      <c r="C1124" s="1" t="n">
        <v>46136</v>
      </c>
      <c r="D1124" t="inlineStr">
        <is>
          <t>GÄVLEBORGS LÄN</t>
        </is>
      </c>
      <c r="E1124" t="inlineStr">
        <is>
          <t>NORDANSTIG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64033-2025</t>
        </is>
      </c>
      <c r="B1125" s="1" t="n">
        <v>46021.51074074074</v>
      </c>
      <c r="C1125" s="1" t="n">
        <v>46136</v>
      </c>
      <c r="D1125" t="inlineStr">
        <is>
          <t>GÄVLEBORGS LÄN</t>
        </is>
      </c>
      <c r="E1125" t="inlineStr">
        <is>
          <t>NORDANSTIG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55026-2022</t>
        </is>
      </c>
      <c r="B1126" s="1" t="n">
        <v>44886</v>
      </c>
      <c r="C1126" s="1" t="n">
        <v>46136</v>
      </c>
      <c r="D1126" t="inlineStr">
        <is>
          <t>GÄVLEBORGS LÄN</t>
        </is>
      </c>
      <c r="E1126" t="inlineStr">
        <is>
          <t>NORDANSTIG</t>
        </is>
      </c>
      <c r="F1126" t="inlineStr">
        <is>
          <t>Holmen skog AB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55120-2022</t>
        </is>
      </c>
      <c r="B1127" s="1" t="n">
        <v>44886</v>
      </c>
      <c r="C1127" s="1" t="n">
        <v>46136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8.4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63986-2025</t>
        </is>
      </c>
      <c r="B1128" s="1" t="n">
        <v>46021</v>
      </c>
      <c r="C1128" s="1" t="n">
        <v>46136</v>
      </c>
      <c r="D1128" t="inlineStr">
        <is>
          <t>GÄVLEBORGS LÄN</t>
        </is>
      </c>
      <c r="E1128" t="inlineStr">
        <is>
          <t>NORDANSTIG</t>
        </is>
      </c>
      <c r="F1128" t="inlineStr">
        <is>
          <t>Holmen skog AB</t>
        </is>
      </c>
      <c r="G1128" t="n">
        <v>7.8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135-2026</t>
        </is>
      </c>
      <c r="B1129" s="1" t="n">
        <v>46024.60648148148</v>
      </c>
      <c r="C1129" s="1" t="n">
        <v>46136</v>
      </c>
      <c r="D1129" t="inlineStr">
        <is>
          <t>GÄVLEBORGS LÄN</t>
        </is>
      </c>
      <c r="E1129" t="inlineStr">
        <is>
          <t>NORDANSTIG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25271-2024</t>
        </is>
      </c>
      <c r="B1130" s="1" t="n">
        <v>45462</v>
      </c>
      <c r="C1130" s="1" t="n">
        <v>46136</v>
      </c>
      <c r="D1130" t="inlineStr">
        <is>
          <t>GÄVLEBORGS LÄN</t>
        </is>
      </c>
      <c r="E1130" t="inlineStr">
        <is>
          <t>NORDANSTIG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6820-2023</t>
        </is>
      </c>
      <c r="B1131" s="1" t="n">
        <v>44967.38015046297</v>
      </c>
      <c r="C1131" s="1" t="n">
        <v>46136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8909-2024</t>
        </is>
      </c>
      <c r="B1132" s="1" t="n">
        <v>45357</v>
      </c>
      <c r="C1132" s="1" t="n">
        <v>46136</v>
      </c>
      <c r="D1132" t="inlineStr">
        <is>
          <t>GÄVLEBORGS LÄN</t>
        </is>
      </c>
      <c r="E1132" t="inlineStr">
        <is>
          <t>NORDANSTIG</t>
        </is>
      </c>
      <c r="G1132" t="n">
        <v>15.3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32622-2022</t>
        </is>
      </c>
      <c r="B1133" s="1" t="n">
        <v>44783.45782407407</v>
      </c>
      <c r="C1133" s="1" t="n">
        <v>46136</v>
      </c>
      <c r="D1133" t="inlineStr">
        <is>
          <t>GÄVLEBORGS LÄN</t>
        </is>
      </c>
      <c r="E1133" t="inlineStr">
        <is>
          <t>NORDANSTIG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15226-2023</t>
        </is>
      </c>
      <c r="B1134" s="1" t="n">
        <v>45019</v>
      </c>
      <c r="C1134" s="1" t="n">
        <v>46136</v>
      </c>
      <c r="D1134" t="inlineStr">
        <is>
          <t>GÄVLEBORGS LÄN</t>
        </is>
      </c>
      <c r="E1134" t="inlineStr">
        <is>
          <t>NORDANSTIG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7436-2024</t>
        </is>
      </c>
      <c r="B1135" s="1" t="n">
        <v>45345</v>
      </c>
      <c r="C1135" s="1" t="n">
        <v>46136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62.5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7460-2024</t>
        </is>
      </c>
      <c r="B1136" s="1" t="n">
        <v>45345.92609953704</v>
      </c>
      <c r="C1136" s="1" t="n">
        <v>46136</v>
      </c>
      <c r="D1136" t="inlineStr">
        <is>
          <t>GÄVLEBORGS LÄN</t>
        </is>
      </c>
      <c r="E1136" t="inlineStr">
        <is>
          <t>NORDANSTIG</t>
        </is>
      </c>
      <c r="G1136" t="n">
        <v>10.8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56586-2023</t>
        </is>
      </c>
      <c r="B1137" s="1" t="n">
        <v>45243.63503472223</v>
      </c>
      <c r="C1137" s="1" t="n">
        <v>46136</v>
      </c>
      <c r="D1137" t="inlineStr">
        <is>
          <t>GÄVLEBORGS LÄN</t>
        </is>
      </c>
      <c r="E1137" t="inlineStr">
        <is>
          <t>NORDANSTIG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52881-2024</t>
        </is>
      </c>
      <c r="B1138" s="1" t="n">
        <v>45610.64039351852</v>
      </c>
      <c r="C1138" s="1" t="n">
        <v>46136</v>
      </c>
      <c r="D1138" t="inlineStr">
        <is>
          <t>GÄVLEBORGS LÄN</t>
        </is>
      </c>
      <c r="E1138" t="inlineStr">
        <is>
          <t>NORDANSTIG</t>
        </is>
      </c>
      <c r="F1138" t="inlineStr">
        <is>
          <t>Holmen skog AB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51250-2022</t>
        </is>
      </c>
      <c r="B1139" s="1" t="n">
        <v>44868.66506944445</v>
      </c>
      <c r="C1139" s="1" t="n">
        <v>46136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15088-2024</t>
        </is>
      </c>
      <c r="B1140" s="1" t="n">
        <v>45399.64290509259</v>
      </c>
      <c r="C1140" s="1" t="n">
        <v>46136</v>
      </c>
      <c r="D1140" t="inlineStr">
        <is>
          <t>GÄVLEBORGS LÄN</t>
        </is>
      </c>
      <c r="E1140" t="inlineStr">
        <is>
          <t>NORDANSTIG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1327-2024</t>
        </is>
      </c>
      <c r="B1141" s="1" t="n">
        <v>45303.42979166667</v>
      </c>
      <c r="C1141" s="1" t="n">
        <v>46136</v>
      </c>
      <c r="D1141" t="inlineStr">
        <is>
          <t>GÄVLEBORGS LÄN</t>
        </is>
      </c>
      <c r="E1141" t="inlineStr">
        <is>
          <t>NORDANSTIG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19569-2024</t>
        </is>
      </c>
      <c r="B1142" s="1" t="n">
        <v>45429.92331018519</v>
      </c>
      <c r="C1142" s="1" t="n">
        <v>46136</v>
      </c>
      <c r="D1142" t="inlineStr">
        <is>
          <t>GÄVLEBORGS LÄN</t>
        </is>
      </c>
      <c r="E1142" t="inlineStr">
        <is>
          <t>NORDANSTIG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35765-2024</t>
        </is>
      </c>
      <c r="B1143" s="1" t="n">
        <v>45532.57923611111</v>
      </c>
      <c r="C1143" s="1" t="n">
        <v>46136</v>
      </c>
      <c r="D1143" t="inlineStr">
        <is>
          <t>GÄVLEBORGS LÄN</t>
        </is>
      </c>
      <c r="E1143" t="inlineStr">
        <is>
          <t>NORDANSTIG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18479-2024</t>
        </is>
      </c>
      <c r="B1144" s="1" t="n">
        <v>45425.5177662037</v>
      </c>
      <c r="C1144" s="1" t="n">
        <v>46136</v>
      </c>
      <c r="D1144" t="inlineStr">
        <is>
          <t>GÄVLEBORGS LÄN</t>
        </is>
      </c>
      <c r="E1144" t="inlineStr">
        <is>
          <t>NORDANSTIG</t>
        </is>
      </c>
      <c r="G1144" t="n">
        <v>7.6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59912-2024</t>
        </is>
      </c>
      <c r="B1145" s="1" t="n">
        <v>45641</v>
      </c>
      <c r="C1145" s="1" t="n">
        <v>46136</v>
      </c>
      <c r="D1145" t="inlineStr">
        <is>
          <t>GÄVLEBORGS LÄN</t>
        </is>
      </c>
      <c r="E1145" t="inlineStr">
        <is>
          <t>NORDANSTIG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6324-2023</t>
        </is>
      </c>
      <c r="B1146" s="1" t="n">
        <v>44965.48253472222</v>
      </c>
      <c r="C1146" s="1" t="n">
        <v>46136</v>
      </c>
      <c r="D1146" t="inlineStr">
        <is>
          <t>GÄVLEBORGS LÄN</t>
        </is>
      </c>
      <c r="E1146" t="inlineStr">
        <is>
          <t>NORDANSTIG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14961-2025</t>
        </is>
      </c>
      <c r="B1147" s="1" t="n">
        <v>45743.58578703704</v>
      </c>
      <c r="C1147" s="1" t="n">
        <v>46136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28879-2021</t>
        </is>
      </c>
      <c r="B1148" s="1" t="n">
        <v>44357</v>
      </c>
      <c r="C1148" s="1" t="n">
        <v>46136</v>
      </c>
      <c r="D1148" t="inlineStr">
        <is>
          <t>GÄVLEBORGS LÄN</t>
        </is>
      </c>
      <c r="E1148" t="inlineStr">
        <is>
          <t>NORDANSTIG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30130-2024</t>
        </is>
      </c>
      <c r="B1149" s="1" t="n">
        <v>45489</v>
      </c>
      <c r="C1149" s="1" t="n">
        <v>46136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40798-2022</t>
        </is>
      </c>
      <c r="B1150" s="1" t="n">
        <v>44824.65527777778</v>
      </c>
      <c r="C1150" s="1" t="n">
        <v>46136</v>
      </c>
      <c r="D1150" t="inlineStr">
        <is>
          <t>GÄVLEBORGS LÄN</t>
        </is>
      </c>
      <c r="E1150" t="inlineStr">
        <is>
          <t>NORDANSTIG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37005-2022</t>
        </is>
      </c>
      <c r="B1151" s="1" t="n">
        <v>44806</v>
      </c>
      <c r="C1151" s="1" t="n">
        <v>46136</v>
      </c>
      <c r="D1151" t="inlineStr">
        <is>
          <t>GÄVLEBORGS LÄN</t>
        </is>
      </c>
      <c r="E1151" t="inlineStr">
        <is>
          <t>NORDANSTIG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14415-2022</t>
        </is>
      </c>
      <c r="B1152" s="1" t="n">
        <v>44652</v>
      </c>
      <c r="C1152" s="1" t="n">
        <v>46136</v>
      </c>
      <c r="D1152" t="inlineStr">
        <is>
          <t>GÄVLEBORGS LÄN</t>
        </is>
      </c>
      <c r="E1152" t="inlineStr">
        <is>
          <t>NORDANSTIG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43893-2023</t>
        </is>
      </c>
      <c r="B1153" s="1" t="n">
        <v>45187.66037037037</v>
      </c>
      <c r="C1153" s="1" t="n">
        <v>46136</v>
      </c>
      <c r="D1153" t="inlineStr">
        <is>
          <t>GÄVLEBORGS LÄN</t>
        </is>
      </c>
      <c r="E1153" t="inlineStr">
        <is>
          <t>NORDANSTIG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5999-2024</t>
        </is>
      </c>
      <c r="B1154" s="1" t="n">
        <v>45336.59125</v>
      </c>
      <c r="C1154" s="1" t="n">
        <v>46136</v>
      </c>
      <c r="D1154" t="inlineStr">
        <is>
          <t>GÄVLEBORGS LÄN</t>
        </is>
      </c>
      <c r="E1154" t="inlineStr">
        <is>
          <t>NORDANSTIG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61366-2022</t>
        </is>
      </c>
      <c r="B1155" s="1" t="n">
        <v>44915</v>
      </c>
      <c r="C1155" s="1" t="n">
        <v>46136</v>
      </c>
      <c r="D1155" t="inlineStr">
        <is>
          <t>GÄVLEBORGS LÄN</t>
        </is>
      </c>
      <c r="E1155" t="inlineStr">
        <is>
          <t>NORDANSTIG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43465-2024</t>
        </is>
      </c>
      <c r="B1156" s="1" t="n">
        <v>45568.71283564815</v>
      </c>
      <c r="C1156" s="1" t="n">
        <v>46136</v>
      </c>
      <c r="D1156" t="inlineStr">
        <is>
          <t>GÄVLEBORGS LÄN</t>
        </is>
      </c>
      <c r="E1156" t="inlineStr">
        <is>
          <t>NORDANSTIG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27161-2021</t>
        </is>
      </c>
      <c r="B1157" s="1" t="n">
        <v>44350.61917824074</v>
      </c>
      <c r="C1157" s="1" t="n">
        <v>46136</v>
      </c>
      <c r="D1157" t="inlineStr">
        <is>
          <t>GÄVLEBORGS LÄN</t>
        </is>
      </c>
      <c r="E1157" t="inlineStr">
        <is>
          <t>NORDANSTIG</t>
        </is>
      </c>
      <c r="G1157" t="n">
        <v>11.5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57463-2023</t>
        </is>
      </c>
      <c r="B1158" s="1" t="n">
        <v>45246.36513888889</v>
      </c>
      <c r="C1158" s="1" t="n">
        <v>46136</v>
      </c>
      <c r="D1158" t="inlineStr">
        <is>
          <t>GÄVLEBORGS LÄN</t>
        </is>
      </c>
      <c r="E1158" t="inlineStr">
        <is>
          <t>NORDANSTIG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22863-2023</t>
        </is>
      </c>
      <c r="B1159" s="1" t="n">
        <v>45072</v>
      </c>
      <c r="C1159" s="1" t="n">
        <v>46136</v>
      </c>
      <c r="D1159" t="inlineStr">
        <is>
          <t>GÄVLEBORGS LÄN</t>
        </is>
      </c>
      <c r="E1159" t="inlineStr">
        <is>
          <t>NORDANSTIG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43657-2023</t>
        </is>
      </c>
      <c r="B1160" s="1" t="n">
        <v>45187.344375</v>
      </c>
      <c r="C1160" s="1" t="n">
        <v>46136</v>
      </c>
      <c r="D1160" t="inlineStr">
        <is>
          <t>GÄVLEBORGS LÄN</t>
        </is>
      </c>
      <c r="E1160" t="inlineStr">
        <is>
          <t>NORDANSTIG</t>
        </is>
      </c>
      <c r="F1160" t="inlineStr">
        <is>
          <t>Holmen skog AB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37217-2024</t>
        </is>
      </c>
      <c r="B1161" s="1" t="n">
        <v>45539</v>
      </c>
      <c r="C1161" s="1" t="n">
        <v>46136</v>
      </c>
      <c r="D1161" t="inlineStr">
        <is>
          <t>GÄVLEBORGS LÄN</t>
        </is>
      </c>
      <c r="E1161" t="inlineStr">
        <is>
          <t>NORDANSTIG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51988-2024</t>
        </is>
      </c>
      <c r="B1162" s="1" t="n">
        <v>45607.68701388889</v>
      </c>
      <c r="C1162" s="1" t="n">
        <v>46136</v>
      </c>
      <c r="D1162" t="inlineStr">
        <is>
          <t>GÄVLEBORGS LÄN</t>
        </is>
      </c>
      <c r="E1162" t="inlineStr">
        <is>
          <t>NORDANSTIG</t>
        </is>
      </c>
      <c r="G1162" t="n">
        <v>4.8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52002-2024</t>
        </is>
      </c>
      <c r="B1163" s="1" t="n">
        <v>45607.75846064815</v>
      </c>
      <c r="C1163" s="1" t="n">
        <v>46136</v>
      </c>
      <c r="D1163" t="inlineStr">
        <is>
          <t>GÄVLEBORGS LÄN</t>
        </is>
      </c>
      <c r="E1163" t="inlineStr">
        <is>
          <t>NORDANSTIG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25665-2023</t>
        </is>
      </c>
      <c r="B1164" s="1" t="n">
        <v>45089</v>
      </c>
      <c r="C1164" s="1" t="n">
        <v>46136</v>
      </c>
      <c r="D1164" t="inlineStr">
        <is>
          <t>GÄVLEBORGS LÄN</t>
        </is>
      </c>
      <c r="E1164" t="inlineStr">
        <is>
          <t>NORDANSTIG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12764-2025</t>
        </is>
      </c>
      <c r="B1165" s="1" t="n">
        <v>45733.57371527778</v>
      </c>
      <c r="C1165" s="1" t="n">
        <v>46136</v>
      </c>
      <c r="D1165" t="inlineStr">
        <is>
          <t>GÄVLEBORGS LÄN</t>
        </is>
      </c>
      <c r="E1165" t="inlineStr">
        <is>
          <t>NORDANSTIG</t>
        </is>
      </c>
      <c r="F1165" t="inlineStr">
        <is>
          <t>Holmen skog AB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37974-2024</t>
        </is>
      </c>
      <c r="B1166" s="1" t="n">
        <v>45544.57392361111</v>
      </c>
      <c r="C1166" s="1" t="n">
        <v>46136</v>
      </c>
      <c r="D1166" t="inlineStr">
        <is>
          <t>GÄVLEBORGS LÄN</t>
        </is>
      </c>
      <c r="E1166" t="inlineStr">
        <is>
          <t>NORDANSTIG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26827-2021</t>
        </is>
      </c>
      <c r="B1167" s="1" t="n">
        <v>44349</v>
      </c>
      <c r="C1167" s="1" t="n">
        <v>46136</v>
      </c>
      <c r="D1167" t="inlineStr">
        <is>
          <t>GÄVLEBORGS LÄN</t>
        </is>
      </c>
      <c r="E1167" t="inlineStr">
        <is>
          <t>NORDANSTIG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52006-2024</t>
        </is>
      </c>
      <c r="B1168" s="1" t="n">
        <v>45607.76726851852</v>
      </c>
      <c r="C1168" s="1" t="n">
        <v>46136</v>
      </c>
      <c r="D1168" t="inlineStr">
        <is>
          <t>GÄVLEBORGS LÄN</t>
        </is>
      </c>
      <c r="E1168" t="inlineStr">
        <is>
          <t>NORDANSTIG</t>
        </is>
      </c>
      <c r="G1168" t="n">
        <v>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18988-2022</t>
        </is>
      </c>
      <c r="B1169" s="1" t="n">
        <v>44690</v>
      </c>
      <c r="C1169" s="1" t="n">
        <v>46136</v>
      </c>
      <c r="D1169" t="inlineStr">
        <is>
          <t>GÄVLEBORGS LÄN</t>
        </is>
      </c>
      <c r="E1169" t="inlineStr">
        <is>
          <t>NORDANSTIG</t>
        </is>
      </c>
      <c r="G1169" t="n">
        <v>9.300000000000001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12607-2024</t>
        </is>
      </c>
      <c r="B1170" s="1" t="n">
        <v>45382.54315972222</v>
      </c>
      <c r="C1170" s="1" t="n">
        <v>46136</v>
      </c>
      <c r="D1170" t="inlineStr">
        <is>
          <t>GÄVLEBORGS LÄN</t>
        </is>
      </c>
      <c r="E1170" t="inlineStr">
        <is>
          <t>NORDANSTIG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18332-2024</t>
        </is>
      </c>
      <c r="B1171" s="1" t="n">
        <v>45422.56459490741</v>
      </c>
      <c r="C1171" s="1" t="n">
        <v>46136</v>
      </c>
      <c r="D1171" t="inlineStr">
        <is>
          <t>GÄVLEBORGS LÄN</t>
        </is>
      </c>
      <c r="E1171" t="inlineStr">
        <is>
          <t>NORDANSTIG</t>
        </is>
      </c>
      <c r="F1171" t="inlineStr">
        <is>
          <t>Holmen skog AB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51387-2024</t>
        </is>
      </c>
      <c r="B1172" s="1" t="n">
        <v>45604.39825231482</v>
      </c>
      <c r="C1172" s="1" t="n">
        <v>46136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Holmen skog AB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38581-2024</t>
        </is>
      </c>
      <c r="B1173" s="1" t="n">
        <v>45546.64888888889</v>
      </c>
      <c r="C1173" s="1" t="n">
        <v>46136</v>
      </c>
      <c r="D1173" t="inlineStr">
        <is>
          <t>GÄVLEBORGS LÄN</t>
        </is>
      </c>
      <c r="E1173" t="inlineStr">
        <is>
          <t>NORDANSTIG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38589-2024</t>
        </is>
      </c>
      <c r="B1174" s="1" t="n">
        <v>45546.65302083334</v>
      </c>
      <c r="C1174" s="1" t="n">
        <v>46136</v>
      </c>
      <c r="D1174" t="inlineStr">
        <is>
          <t>GÄVLEBORGS LÄN</t>
        </is>
      </c>
      <c r="E1174" t="inlineStr">
        <is>
          <t>NORDANSTIG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40078-2024</t>
        </is>
      </c>
      <c r="B1175" s="1" t="n">
        <v>45554.34570601852</v>
      </c>
      <c r="C1175" s="1" t="n">
        <v>46136</v>
      </c>
      <c r="D1175" t="inlineStr">
        <is>
          <t>GÄVLEBORGS LÄN</t>
        </is>
      </c>
      <c r="E1175" t="inlineStr">
        <is>
          <t>NORDANSTIG</t>
        </is>
      </c>
      <c r="G1175" t="n">
        <v>0.3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55704-2024</t>
        </is>
      </c>
      <c r="B1176" s="1" t="n">
        <v>45622.69447916667</v>
      </c>
      <c r="C1176" s="1" t="n">
        <v>46136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Holmen skog AB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19566-2025</t>
        </is>
      </c>
      <c r="B1177" s="1" t="n">
        <v>45770.53225694445</v>
      </c>
      <c r="C1177" s="1" t="n">
        <v>46136</v>
      </c>
      <c r="D1177" t="inlineStr">
        <is>
          <t>GÄVLEBORGS LÄN</t>
        </is>
      </c>
      <c r="E1177" t="inlineStr">
        <is>
          <t>NORDANSTIG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19569-2025</t>
        </is>
      </c>
      <c r="B1178" s="1" t="n">
        <v>45770.53775462963</v>
      </c>
      <c r="C1178" s="1" t="n">
        <v>46136</v>
      </c>
      <c r="D1178" t="inlineStr">
        <is>
          <t>GÄVLEBORGS LÄN</t>
        </is>
      </c>
      <c r="E1178" t="inlineStr">
        <is>
          <t>NORDANSTIG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3606-2025</t>
        </is>
      </c>
      <c r="B1179" s="1" t="n">
        <v>45681.35346064815</v>
      </c>
      <c r="C1179" s="1" t="n">
        <v>46136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Holmen skog AB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58870-2023</t>
        </is>
      </c>
      <c r="B1180" s="1" t="n">
        <v>45252</v>
      </c>
      <c r="C1180" s="1" t="n">
        <v>46136</v>
      </c>
      <c r="D1180" t="inlineStr">
        <is>
          <t>GÄVLEBORGS LÄN</t>
        </is>
      </c>
      <c r="E1180" t="inlineStr">
        <is>
          <t>NORDANSTIG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3404-2025</t>
        </is>
      </c>
      <c r="B1181" s="1" t="n">
        <v>45680.37916666667</v>
      </c>
      <c r="C1181" s="1" t="n">
        <v>46136</v>
      </c>
      <c r="D1181" t="inlineStr">
        <is>
          <t>GÄVLEBORGS LÄN</t>
        </is>
      </c>
      <c r="E1181" t="inlineStr">
        <is>
          <t>NORDANSTIG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17843-2023</t>
        </is>
      </c>
      <c r="B1182" s="1" t="n">
        <v>45037</v>
      </c>
      <c r="C1182" s="1" t="n">
        <v>46136</v>
      </c>
      <c r="D1182" t="inlineStr">
        <is>
          <t>GÄVLEBORGS LÄN</t>
        </is>
      </c>
      <c r="E1182" t="inlineStr">
        <is>
          <t>NORDANSTIG</t>
        </is>
      </c>
      <c r="G1182" t="n">
        <v>3.7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31724-2024</t>
        </is>
      </c>
      <c r="B1183" s="1" t="n">
        <v>45509.33159722222</v>
      </c>
      <c r="C1183" s="1" t="n">
        <v>46136</v>
      </c>
      <c r="D1183" t="inlineStr">
        <is>
          <t>GÄVLEBORGS LÄN</t>
        </is>
      </c>
      <c r="E1183" t="inlineStr">
        <is>
          <t>NORDANSTIG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12815-2023</t>
        </is>
      </c>
      <c r="B1184" s="1" t="n">
        <v>45001</v>
      </c>
      <c r="C1184" s="1" t="n">
        <v>46136</v>
      </c>
      <c r="D1184" t="inlineStr">
        <is>
          <t>GÄVLEBORGS LÄN</t>
        </is>
      </c>
      <c r="E1184" t="inlineStr">
        <is>
          <t>NORDANSTIG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37002-2024</t>
        </is>
      </c>
      <c r="B1185" s="1" t="n">
        <v>45539</v>
      </c>
      <c r="C1185" s="1" t="n">
        <v>46136</v>
      </c>
      <c r="D1185" t="inlineStr">
        <is>
          <t>GÄVLEBORGS LÄN</t>
        </is>
      </c>
      <c r="E1185" t="inlineStr">
        <is>
          <t>NORDANSTIG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20044-2024</t>
        </is>
      </c>
      <c r="B1186" s="1" t="n">
        <v>45434.36261574074</v>
      </c>
      <c r="C1186" s="1" t="n">
        <v>46136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9.1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11599-2024</t>
        </is>
      </c>
      <c r="B1187" s="1" t="n">
        <v>45373.38446759259</v>
      </c>
      <c r="C1187" s="1" t="n">
        <v>46136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30842-2024</t>
        </is>
      </c>
      <c r="B1188" s="1" t="n">
        <v>45497.57481481481</v>
      </c>
      <c r="C1188" s="1" t="n">
        <v>46136</v>
      </c>
      <c r="D1188" t="inlineStr">
        <is>
          <t>GÄVLEBORGS LÄN</t>
        </is>
      </c>
      <c r="E1188" t="inlineStr">
        <is>
          <t>NORDANSTIG</t>
        </is>
      </c>
      <c r="F1188" t="inlineStr">
        <is>
          <t>Holmen skog AB</t>
        </is>
      </c>
      <c r="G1188" t="n">
        <v>6.9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11338-2023</t>
        </is>
      </c>
      <c r="B1189" s="1" t="n">
        <v>44993.35480324074</v>
      </c>
      <c r="C1189" s="1" t="n">
        <v>46136</v>
      </c>
      <c r="D1189" t="inlineStr">
        <is>
          <t>GÄVLEBORGS LÄN</t>
        </is>
      </c>
      <c r="E1189" t="inlineStr">
        <is>
          <t>NORDANSTIG</t>
        </is>
      </c>
      <c r="G1189" t="n">
        <v>3.4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39068-2023</t>
        </is>
      </c>
      <c r="B1190" s="1" t="n">
        <v>45163</v>
      </c>
      <c r="C1190" s="1" t="n">
        <v>46136</v>
      </c>
      <c r="D1190" t="inlineStr">
        <is>
          <t>GÄVLEBORGS LÄN</t>
        </is>
      </c>
      <c r="E1190" t="inlineStr">
        <is>
          <t>NORDANSTIG</t>
        </is>
      </c>
      <c r="F1190" t="inlineStr">
        <is>
          <t>SCA</t>
        </is>
      </c>
      <c r="G1190" t="n">
        <v>11.8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19231-2024</t>
        </is>
      </c>
      <c r="B1191" s="1" t="n">
        <v>45428</v>
      </c>
      <c r="C1191" s="1" t="n">
        <v>46136</v>
      </c>
      <c r="D1191" t="inlineStr">
        <is>
          <t>GÄVLEBORGS LÄN</t>
        </is>
      </c>
      <c r="E1191" t="inlineStr">
        <is>
          <t>NORDANSTIG</t>
        </is>
      </c>
      <c r="F1191" t="inlineStr">
        <is>
          <t>Holmen skog AB</t>
        </is>
      </c>
      <c r="G1191" t="n">
        <v>21.5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52746-2022</t>
        </is>
      </c>
      <c r="B1192" s="1" t="n">
        <v>44874</v>
      </c>
      <c r="C1192" s="1" t="n">
        <v>46136</v>
      </c>
      <c r="D1192" t="inlineStr">
        <is>
          <t>GÄVLEBORGS LÄN</t>
        </is>
      </c>
      <c r="E1192" t="inlineStr">
        <is>
          <t>NORDANSTIG</t>
        </is>
      </c>
      <c r="F1192" t="inlineStr">
        <is>
          <t>SCA</t>
        </is>
      </c>
      <c r="G1192" t="n">
        <v>7.1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54524-2024</t>
        </is>
      </c>
      <c r="B1193" s="1" t="n">
        <v>45617</v>
      </c>
      <c r="C1193" s="1" t="n">
        <v>46136</v>
      </c>
      <c r="D1193" t="inlineStr">
        <is>
          <t>GÄVLEBORGS LÄN</t>
        </is>
      </c>
      <c r="E1193" t="inlineStr">
        <is>
          <t>NORDANSTIG</t>
        </is>
      </c>
      <c r="F1193" t="inlineStr">
        <is>
          <t>Holmen skog AB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8898-2024</t>
        </is>
      </c>
      <c r="B1194" s="1" t="n">
        <v>45357</v>
      </c>
      <c r="C1194" s="1" t="n">
        <v>46136</v>
      </c>
      <c r="D1194" t="inlineStr">
        <is>
          <t>GÄVLEBORGS LÄN</t>
        </is>
      </c>
      <c r="E1194" t="inlineStr">
        <is>
          <t>NORDANSTIG</t>
        </is>
      </c>
      <c r="G1194" t="n">
        <v>8.199999999999999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6467-2024</t>
        </is>
      </c>
      <c r="B1195" s="1" t="n">
        <v>45338.92774305555</v>
      </c>
      <c r="C1195" s="1" t="n">
        <v>46136</v>
      </c>
      <c r="D1195" t="inlineStr">
        <is>
          <t>GÄVLEBORGS LÄN</t>
        </is>
      </c>
      <c r="E1195" t="inlineStr">
        <is>
          <t>NORDANSTIG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34735-2024</t>
        </is>
      </c>
      <c r="B1196" s="1" t="n">
        <v>45526.58457175926</v>
      </c>
      <c r="C1196" s="1" t="n">
        <v>46136</v>
      </c>
      <c r="D1196" t="inlineStr">
        <is>
          <t>GÄVLEBORGS LÄN</t>
        </is>
      </c>
      <c r="E1196" t="inlineStr">
        <is>
          <t>NORDANSTIG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41318-2024</t>
        </is>
      </c>
      <c r="B1197" s="1" t="n">
        <v>45559.63951388889</v>
      </c>
      <c r="C1197" s="1" t="n">
        <v>46136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15385-2023</t>
        </is>
      </c>
      <c r="B1198" s="1" t="n">
        <v>45019.6284837963</v>
      </c>
      <c r="C1198" s="1" t="n">
        <v>46136</v>
      </c>
      <c r="D1198" t="inlineStr">
        <is>
          <t>GÄVLEBORGS LÄN</t>
        </is>
      </c>
      <c r="E1198" t="inlineStr">
        <is>
          <t>NORDANSTIG</t>
        </is>
      </c>
      <c r="G1198" t="n">
        <v>5.9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1351-2024</t>
        </is>
      </c>
      <c r="B1199" s="1" t="n">
        <v>45303</v>
      </c>
      <c r="C1199" s="1" t="n">
        <v>46136</v>
      </c>
      <c r="D1199" t="inlineStr">
        <is>
          <t>GÄVLEBORGS LÄN</t>
        </is>
      </c>
      <c r="E1199" t="inlineStr">
        <is>
          <t>NORDANSTIG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26503-2021</t>
        </is>
      </c>
      <c r="B1200" s="1" t="n">
        <v>44348</v>
      </c>
      <c r="C1200" s="1" t="n">
        <v>46136</v>
      </c>
      <c r="D1200" t="inlineStr">
        <is>
          <t>GÄVLEBORGS LÄN</t>
        </is>
      </c>
      <c r="E1200" t="inlineStr">
        <is>
          <t>NORDANSTIG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1564-2025</t>
        </is>
      </c>
      <c r="B1201" s="1" t="n">
        <v>45667</v>
      </c>
      <c r="C1201" s="1" t="n">
        <v>46136</v>
      </c>
      <c r="D1201" t="inlineStr">
        <is>
          <t>GÄVLEBORGS LÄN</t>
        </is>
      </c>
      <c r="E1201" t="inlineStr">
        <is>
          <t>NORDANSTIG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1576-2025</t>
        </is>
      </c>
      <c r="B1202" s="1" t="n">
        <v>45670.55952546297</v>
      </c>
      <c r="C1202" s="1" t="n">
        <v>46136</v>
      </c>
      <c r="D1202" t="inlineStr">
        <is>
          <t>GÄVLEBORGS LÄN</t>
        </is>
      </c>
      <c r="E1202" t="inlineStr">
        <is>
          <t>NORDANSTIG</t>
        </is>
      </c>
      <c r="F1202" t="inlineStr">
        <is>
          <t>Holmen skog AB</t>
        </is>
      </c>
      <c r="G1202" t="n">
        <v>5.6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1579-2025</t>
        </is>
      </c>
      <c r="B1203" s="1" t="n">
        <v>45670.56143518518</v>
      </c>
      <c r="C1203" s="1" t="n">
        <v>46136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Holmen skog AB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2705-2025</t>
        </is>
      </c>
      <c r="B1204" s="1" t="n">
        <v>45677.41510416667</v>
      </c>
      <c r="C1204" s="1" t="n">
        <v>46136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Holmen skog AB</t>
        </is>
      </c>
      <c r="G1204" t="n">
        <v>14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55276-2024</t>
        </is>
      </c>
      <c r="B1205" s="1" t="n">
        <v>45621.62126157407</v>
      </c>
      <c r="C1205" s="1" t="n">
        <v>46136</v>
      </c>
      <c r="D1205" t="inlineStr">
        <is>
          <t>GÄVLEBORGS LÄN</t>
        </is>
      </c>
      <c r="E1205" t="inlineStr">
        <is>
          <t>NORDANSTIG</t>
        </is>
      </c>
      <c r="F1205" t="inlineStr">
        <is>
          <t>Holmen skog AB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58749-2024</t>
        </is>
      </c>
      <c r="B1206" s="1" t="n">
        <v>45635.71554398148</v>
      </c>
      <c r="C1206" s="1" t="n">
        <v>46136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Holmen skog AB</t>
        </is>
      </c>
      <c r="G1206" t="n">
        <v>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25631-2023</t>
        </is>
      </c>
      <c r="B1207" s="1" t="n">
        <v>45089.71152777778</v>
      </c>
      <c r="C1207" s="1" t="n">
        <v>46136</v>
      </c>
      <c r="D1207" t="inlineStr">
        <is>
          <t>GÄVLEBORGS LÄN</t>
        </is>
      </c>
      <c r="E1207" t="inlineStr">
        <is>
          <t>NORDANSTIG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51842-2024</t>
        </is>
      </c>
      <c r="B1208" s="1" t="n">
        <v>45607.52349537037</v>
      </c>
      <c r="C1208" s="1" t="n">
        <v>46136</v>
      </c>
      <c r="D1208" t="inlineStr">
        <is>
          <t>GÄVLEBORGS LÄN</t>
        </is>
      </c>
      <c r="E1208" t="inlineStr">
        <is>
          <t>NORDANSTIG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54401-2024</t>
        </is>
      </c>
      <c r="B1209" s="1" t="n">
        <v>45617.46939814815</v>
      </c>
      <c r="C1209" s="1" t="n">
        <v>46136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17641-2025</t>
        </is>
      </c>
      <c r="B1210" s="1" t="n">
        <v>45758.32194444445</v>
      </c>
      <c r="C1210" s="1" t="n">
        <v>46136</v>
      </c>
      <c r="D1210" t="inlineStr">
        <is>
          <t>GÄVLEBORGS LÄN</t>
        </is>
      </c>
      <c r="E1210" t="inlineStr">
        <is>
          <t>NORDANSTIG</t>
        </is>
      </c>
      <c r="G1210" t="n">
        <v>4.7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1392-2025</t>
        </is>
      </c>
      <c r="B1211" s="1" t="n">
        <v>45667</v>
      </c>
      <c r="C1211" s="1" t="n">
        <v>46136</v>
      </c>
      <c r="D1211" t="inlineStr">
        <is>
          <t>GÄVLEBORGS LÄN</t>
        </is>
      </c>
      <c r="E1211" t="inlineStr">
        <is>
          <t>NORDANSTIG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54200-2023</t>
        </is>
      </c>
      <c r="B1212" s="1" t="n">
        <v>45232.55104166667</v>
      </c>
      <c r="C1212" s="1" t="n">
        <v>46136</v>
      </c>
      <c r="D1212" t="inlineStr">
        <is>
          <t>GÄVLEBORGS LÄN</t>
        </is>
      </c>
      <c r="E1212" t="inlineStr">
        <is>
          <t>NORDANSTIG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59043-2024</t>
        </is>
      </c>
      <c r="B1213" s="1" t="n">
        <v>45636</v>
      </c>
      <c r="C1213" s="1" t="n">
        <v>46136</v>
      </c>
      <c r="D1213" t="inlineStr">
        <is>
          <t>GÄVLEBORGS LÄN</t>
        </is>
      </c>
      <c r="E1213" t="inlineStr">
        <is>
          <t>NORDANSTIG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10069-2025</t>
        </is>
      </c>
      <c r="B1214" s="1" t="n">
        <v>45719.54538194444</v>
      </c>
      <c r="C1214" s="1" t="n">
        <v>46136</v>
      </c>
      <c r="D1214" t="inlineStr">
        <is>
          <t>GÄVLEBORGS LÄN</t>
        </is>
      </c>
      <c r="E1214" t="inlineStr">
        <is>
          <t>NORDANSTIG</t>
        </is>
      </c>
      <c r="F1214" t="inlineStr">
        <is>
          <t>Holmen skog AB</t>
        </is>
      </c>
      <c r="G1214" t="n">
        <v>4.6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50336-2023</t>
        </is>
      </c>
      <c r="B1215" s="1" t="n">
        <v>45216.56440972222</v>
      </c>
      <c r="C1215" s="1" t="n">
        <v>46136</v>
      </c>
      <c r="D1215" t="inlineStr">
        <is>
          <t>GÄVLEBORGS LÄN</t>
        </is>
      </c>
      <c r="E1215" t="inlineStr">
        <is>
          <t>NORDANSTIG</t>
        </is>
      </c>
      <c r="F1215" t="inlineStr">
        <is>
          <t>Holmen skog AB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40241-2023</t>
        </is>
      </c>
      <c r="B1216" s="1" t="n">
        <v>45169.48854166667</v>
      </c>
      <c r="C1216" s="1" t="n">
        <v>46136</v>
      </c>
      <c r="D1216" t="inlineStr">
        <is>
          <t>GÄVLEBORGS LÄN</t>
        </is>
      </c>
      <c r="E1216" t="inlineStr">
        <is>
          <t>NORDANSTIG</t>
        </is>
      </c>
      <c r="F1216" t="inlineStr">
        <is>
          <t>Holmen skog AB</t>
        </is>
      </c>
      <c r="G1216" t="n">
        <v>4.3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11394-2025</t>
        </is>
      </c>
      <c r="B1217" s="1" t="n">
        <v>45726</v>
      </c>
      <c r="C1217" s="1" t="n">
        <v>46136</v>
      </c>
      <c r="D1217" t="inlineStr">
        <is>
          <t>GÄVLEBORGS LÄN</t>
        </is>
      </c>
      <c r="E1217" t="inlineStr">
        <is>
          <t>NORDANSTIG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55523-2024</t>
        </is>
      </c>
      <c r="B1218" s="1" t="n">
        <v>45622.47424768518</v>
      </c>
      <c r="C1218" s="1" t="n">
        <v>46136</v>
      </c>
      <c r="D1218" t="inlineStr">
        <is>
          <t>GÄVLEBORGS LÄN</t>
        </is>
      </c>
      <c r="E1218" t="inlineStr">
        <is>
          <t>NORDANSTIG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32350-2022</t>
        </is>
      </c>
      <c r="B1219" s="1" t="n">
        <v>44781.92569444444</v>
      </c>
      <c r="C1219" s="1" t="n">
        <v>46136</v>
      </c>
      <c r="D1219" t="inlineStr">
        <is>
          <t>GÄVLEBORGS LÄN</t>
        </is>
      </c>
      <c r="E1219" t="inlineStr">
        <is>
          <t>NORDANSTIG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55948-2024</t>
        </is>
      </c>
      <c r="B1220" s="1" t="n">
        <v>45623</v>
      </c>
      <c r="C1220" s="1" t="n">
        <v>46136</v>
      </c>
      <c r="D1220" t="inlineStr">
        <is>
          <t>GÄVLEBORGS LÄN</t>
        </is>
      </c>
      <c r="E1220" t="inlineStr">
        <is>
          <t>NORDANSTIG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44837-2024</t>
        </is>
      </c>
      <c r="B1221" s="1" t="n">
        <v>45574</v>
      </c>
      <c r="C1221" s="1" t="n">
        <v>46136</v>
      </c>
      <c r="D1221" t="inlineStr">
        <is>
          <t>GÄVLEBORGS LÄN</t>
        </is>
      </c>
      <c r="E1221" t="inlineStr">
        <is>
          <t>NORDANSTIG</t>
        </is>
      </c>
      <c r="F1221" t="inlineStr">
        <is>
          <t>Holmen skog AB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  <c r="U1221">
        <f>HYPERLINK("https://klasma.github.io/Logging_2132/knärot/A 44837-2024 karta knärot.png", "A 44837-2024")</f>
        <v/>
      </c>
      <c r="V1221">
        <f>HYPERLINK("https://klasma.github.io/Logging_2132/klagomål/A 44837-2024 FSC-klagomål.docx", "A 44837-2024")</f>
        <v/>
      </c>
      <c r="W1221">
        <f>HYPERLINK("https://klasma.github.io/Logging_2132/klagomålsmail/A 44837-2024 FSC-klagomål mail.docx", "A 44837-2024")</f>
        <v/>
      </c>
      <c r="X1221">
        <f>HYPERLINK("https://klasma.github.io/Logging_2132/tillsyn/A 44837-2024 tillsynsbegäran.docx", "A 44837-2024")</f>
        <v/>
      </c>
      <c r="Y1221">
        <f>HYPERLINK("https://klasma.github.io/Logging_2132/tillsynsmail/A 44837-2024 tillsynsbegäran mail.docx", "A 44837-2024")</f>
        <v/>
      </c>
    </row>
    <row r="1222" ht="15" customHeight="1">
      <c r="A1222" t="inlineStr">
        <is>
          <t>A 32827-2023</t>
        </is>
      </c>
      <c r="B1222" s="1" t="n">
        <v>45124.57927083333</v>
      </c>
      <c r="C1222" s="1" t="n">
        <v>46136</v>
      </c>
      <c r="D1222" t="inlineStr">
        <is>
          <t>GÄVLEBORGS LÄN</t>
        </is>
      </c>
      <c r="E1222" t="inlineStr">
        <is>
          <t>NORDANSTIG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28697-2023</t>
        </is>
      </c>
      <c r="B1223" s="1" t="n">
        <v>45103</v>
      </c>
      <c r="C1223" s="1" t="n">
        <v>46136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24096-2023</t>
        </is>
      </c>
      <c r="B1224" s="1" t="n">
        <v>45079.43686342592</v>
      </c>
      <c r="C1224" s="1" t="n">
        <v>46136</v>
      </c>
      <c r="D1224" t="inlineStr">
        <is>
          <t>GÄVLEBORGS LÄN</t>
        </is>
      </c>
      <c r="E1224" t="inlineStr">
        <is>
          <t>NORDANSTIG</t>
        </is>
      </c>
      <c r="F1224" t="inlineStr">
        <is>
          <t>Holmen skog AB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1708-2023</t>
        </is>
      </c>
      <c r="B1225" s="1" t="n">
        <v>44938</v>
      </c>
      <c r="C1225" s="1" t="n">
        <v>46136</v>
      </c>
      <c r="D1225" t="inlineStr">
        <is>
          <t>GÄVLEBORGS LÄN</t>
        </is>
      </c>
      <c r="E1225" t="inlineStr">
        <is>
          <t>NORDANSTIG</t>
        </is>
      </c>
      <c r="F1225" t="inlineStr">
        <is>
          <t>Holmen skog AB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59799-2022</t>
        </is>
      </c>
      <c r="B1226" s="1" t="n">
        <v>44908.56585648148</v>
      </c>
      <c r="C1226" s="1" t="n">
        <v>46136</v>
      </c>
      <c r="D1226" t="inlineStr">
        <is>
          <t>GÄVLEBORGS LÄN</t>
        </is>
      </c>
      <c r="E1226" t="inlineStr">
        <is>
          <t>NORDANSTIG</t>
        </is>
      </c>
      <c r="F1226" t="inlineStr">
        <is>
          <t>Holmen skog AB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29532-2024</t>
        </is>
      </c>
      <c r="B1227" s="1" t="n">
        <v>45484.48097222222</v>
      </c>
      <c r="C1227" s="1" t="n">
        <v>46136</v>
      </c>
      <c r="D1227" t="inlineStr">
        <is>
          <t>GÄVLEBORGS LÄN</t>
        </is>
      </c>
      <c r="E1227" t="inlineStr">
        <is>
          <t>NORDANSTIG</t>
        </is>
      </c>
      <c r="F1227" t="inlineStr">
        <is>
          <t>Holmen skog AB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36525-2024</t>
        </is>
      </c>
      <c r="B1228" s="1" t="n">
        <v>45537.43836805555</v>
      </c>
      <c r="C1228" s="1" t="n">
        <v>46136</v>
      </c>
      <c r="D1228" t="inlineStr">
        <is>
          <t>GÄVLEBORGS LÄN</t>
        </is>
      </c>
      <c r="E1228" t="inlineStr">
        <is>
          <t>NORDANSTIG</t>
        </is>
      </c>
      <c r="F1228" t="inlineStr">
        <is>
          <t>Holmen skog AB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59422-2022</t>
        </is>
      </c>
      <c r="B1229" s="1" t="n">
        <v>44907.35174768518</v>
      </c>
      <c r="C1229" s="1" t="n">
        <v>46136</v>
      </c>
      <c r="D1229" t="inlineStr">
        <is>
          <t>GÄVLEBORGS LÄN</t>
        </is>
      </c>
      <c r="E1229" t="inlineStr">
        <is>
          <t>NORDANSTIG</t>
        </is>
      </c>
      <c r="F1229" t="inlineStr">
        <is>
          <t>Holmen skog AB</t>
        </is>
      </c>
      <c r="G1229" t="n">
        <v>2.7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22547-2022</t>
        </is>
      </c>
      <c r="B1230" s="1" t="n">
        <v>44713</v>
      </c>
      <c r="C1230" s="1" t="n">
        <v>46136</v>
      </c>
      <c r="D1230" t="inlineStr">
        <is>
          <t>GÄVLEBORGS LÄN</t>
        </is>
      </c>
      <c r="E1230" t="inlineStr">
        <is>
          <t>NORDANSTIG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38451-2024</t>
        </is>
      </c>
      <c r="B1231" s="1" t="n">
        <v>45546</v>
      </c>
      <c r="C1231" s="1" t="n">
        <v>46136</v>
      </c>
      <c r="D1231" t="inlineStr">
        <is>
          <t>GÄVLEBORGS LÄN</t>
        </is>
      </c>
      <c r="E1231" t="inlineStr">
        <is>
          <t>NORDANSTIG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45551-2024</t>
        </is>
      </c>
      <c r="B1232" s="1" t="n">
        <v>45579</v>
      </c>
      <c r="C1232" s="1" t="n">
        <v>46136</v>
      </c>
      <c r="D1232" t="inlineStr">
        <is>
          <t>GÄVLEBORGS LÄN</t>
        </is>
      </c>
      <c r="E1232" t="inlineStr">
        <is>
          <t>NORDANSTIG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58162-2024</t>
        </is>
      </c>
      <c r="B1233" s="1" t="n">
        <v>45632</v>
      </c>
      <c r="C1233" s="1" t="n">
        <v>46136</v>
      </c>
      <c r="D1233" t="inlineStr">
        <is>
          <t>GÄVLEBORGS LÄN</t>
        </is>
      </c>
      <c r="E1233" t="inlineStr">
        <is>
          <t>NORDANSTIG</t>
        </is>
      </c>
      <c r="F1233" t="inlineStr">
        <is>
          <t>Kyrkan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29500-2024</t>
        </is>
      </c>
      <c r="B1234" s="1" t="n">
        <v>45484.39853009259</v>
      </c>
      <c r="C1234" s="1" t="n">
        <v>46136</v>
      </c>
      <c r="D1234" t="inlineStr">
        <is>
          <t>GÄVLEBORGS LÄN</t>
        </is>
      </c>
      <c r="E1234" t="inlineStr">
        <is>
          <t>NORDANSTIG</t>
        </is>
      </c>
      <c r="F1234" t="inlineStr">
        <is>
          <t>Holmen skog AB</t>
        </is>
      </c>
      <c r="G1234" t="n">
        <v>7.6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4227-2025</t>
        </is>
      </c>
      <c r="B1235" s="1" t="n">
        <v>45685.54583333333</v>
      </c>
      <c r="C1235" s="1" t="n">
        <v>46136</v>
      </c>
      <c r="D1235" t="inlineStr">
        <is>
          <t>GÄVLEBORGS LÄN</t>
        </is>
      </c>
      <c r="E1235" t="inlineStr">
        <is>
          <t>NORDANSTIG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61427-2024</t>
        </is>
      </c>
      <c r="B1236" s="1" t="n">
        <v>45646.45481481482</v>
      </c>
      <c r="C1236" s="1" t="n">
        <v>46136</v>
      </c>
      <c r="D1236" t="inlineStr">
        <is>
          <t>GÄVLEBORGS LÄN</t>
        </is>
      </c>
      <c r="E1236" t="inlineStr">
        <is>
          <t>NORDANSTIG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58876-2024</t>
        </is>
      </c>
      <c r="B1237" s="1" t="n">
        <v>45636.44318287037</v>
      </c>
      <c r="C1237" s="1" t="n">
        <v>46136</v>
      </c>
      <c r="D1237" t="inlineStr">
        <is>
          <t>GÄVLEBORGS LÄN</t>
        </is>
      </c>
      <c r="E1237" t="inlineStr">
        <is>
          <t>NORDANSTIG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20876-2025</t>
        </is>
      </c>
      <c r="B1238" s="1" t="n">
        <v>45777.35241898148</v>
      </c>
      <c r="C1238" s="1" t="n">
        <v>46136</v>
      </c>
      <c r="D1238" t="inlineStr">
        <is>
          <t>GÄVLEBORGS LÄN</t>
        </is>
      </c>
      <c r="E1238" t="inlineStr">
        <is>
          <t>NORDANSTIG</t>
        </is>
      </c>
      <c r="F1238" t="inlineStr">
        <is>
          <t>Holmen skog AB</t>
        </is>
      </c>
      <c r="G1238" t="n">
        <v>5.5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21287-2025</t>
        </is>
      </c>
      <c r="B1239" s="1" t="n">
        <v>45779.70166666667</v>
      </c>
      <c r="C1239" s="1" t="n">
        <v>46136</v>
      </c>
      <c r="D1239" t="inlineStr">
        <is>
          <t>GÄVLEBORGS LÄN</t>
        </is>
      </c>
      <c r="E1239" t="inlineStr">
        <is>
          <t>NORDANSTIG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21725-2025</t>
        </is>
      </c>
      <c r="B1240" s="1" t="n">
        <v>45783.56886574074</v>
      </c>
      <c r="C1240" s="1" t="n">
        <v>46136</v>
      </c>
      <c r="D1240" t="inlineStr">
        <is>
          <t>GÄVLEBORGS LÄN</t>
        </is>
      </c>
      <c r="E1240" t="inlineStr">
        <is>
          <t>NORDANSTIG</t>
        </is>
      </c>
      <c r="G1240" t="n">
        <v>6.4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18681-2025</t>
        </is>
      </c>
      <c r="B1241" s="1" t="n">
        <v>45763.60788194444</v>
      </c>
      <c r="C1241" s="1" t="n">
        <v>46136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6.7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18716-2025</t>
        </is>
      </c>
      <c r="B1242" s="1" t="n">
        <v>45763.64425925926</v>
      </c>
      <c r="C1242" s="1" t="n">
        <v>46136</v>
      </c>
      <c r="D1242" t="inlineStr">
        <is>
          <t>GÄVLEBORGS LÄN</t>
        </is>
      </c>
      <c r="E1242" t="inlineStr">
        <is>
          <t>NORDANSTIG</t>
        </is>
      </c>
      <c r="F1242" t="inlineStr">
        <is>
          <t>Holmen skog AB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18707-2025</t>
        </is>
      </c>
      <c r="B1243" s="1" t="n">
        <v>45763.63564814815</v>
      </c>
      <c r="C1243" s="1" t="n">
        <v>46136</v>
      </c>
      <c r="D1243" t="inlineStr">
        <is>
          <t>GÄVLEBORGS LÄN</t>
        </is>
      </c>
      <c r="E1243" t="inlineStr">
        <is>
          <t>NORDANSTIG</t>
        </is>
      </c>
      <c r="F1243" t="inlineStr">
        <is>
          <t>Holmen skog AB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12389-2023</t>
        </is>
      </c>
      <c r="B1244" s="1" t="n">
        <v>44999.47921296296</v>
      </c>
      <c r="C1244" s="1" t="n">
        <v>46136</v>
      </c>
      <c r="D1244" t="inlineStr">
        <is>
          <t>GÄVLEBORGS LÄN</t>
        </is>
      </c>
      <c r="E1244" t="inlineStr">
        <is>
          <t>NORDANSTIG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21928-2025</t>
        </is>
      </c>
      <c r="B1245" s="1" t="n">
        <v>45784.54953703703</v>
      </c>
      <c r="C1245" s="1" t="n">
        <v>46136</v>
      </c>
      <c r="D1245" t="inlineStr">
        <is>
          <t>GÄVLEBORGS LÄN</t>
        </is>
      </c>
      <c r="E1245" t="inlineStr">
        <is>
          <t>NORDANSTIG</t>
        </is>
      </c>
      <c r="G1245" t="n">
        <v>2.8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30879-2024</t>
        </is>
      </c>
      <c r="B1246" s="1" t="n">
        <v>45498.35340277778</v>
      </c>
      <c r="C1246" s="1" t="n">
        <v>46136</v>
      </c>
      <c r="D1246" t="inlineStr">
        <is>
          <t>GÄVLEBORGS LÄN</t>
        </is>
      </c>
      <c r="E1246" t="inlineStr">
        <is>
          <t>NORDANSTIG</t>
        </is>
      </c>
      <c r="F1246" t="inlineStr">
        <is>
          <t>Holmen skog AB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32470-2023</t>
        </is>
      </c>
      <c r="B1247" s="1" t="n">
        <v>45120.92684027777</v>
      </c>
      <c r="C1247" s="1" t="n">
        <v>46136</v>
      </c>
      <c r="D1247" t="inlineStr">
        <is>
          <t>GÄVLEBORGS LÄN</t>
        </is>
      </c>
      <c r="E1247" t="inlineStr">
        <is>
          <t>NORDANSTIG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22310-2025</t>
        </is>
      </c>
      <c r="B1248" s="1" t="n">
        <v>45786.36578703704</v>
      </c>
      <c r="C1248" s="1" t="n">
        <v>46136</v>
      </c>
      <c r="D1248" t="inlineStr">
        <is>
          <t>GÄVLEBORGS LÄN</t>
        </is>
      </c>
      <c r="E1248" t="inlineStr">
        <is>
          <t>NORDANSTIG</t>
        </is>
      </c>
      <c r="F1248" t="inlineStr">
        <is>
          <t>Holmen skog AB</t>
        </is>
      </c>
      <c r="G1248" t="n">
        <v>27.9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22689-2025</t>
        </is>
      </c>
      <c r="B1249" s="1" t="n">
        <v>45789.52925925926</v>
      </c>
      <c r="C1249" s="1" t="n">
        <v>46136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3.5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67879-2021</t>
        </is>
      </c>
      <c r="B1250" s="1" t="n">
        <v>44525.53486111111</v>
      </c>
      <c r="C1250" s="1" t="n">
        <v>46136</v>
      </c>
      <c r="D1250" t="inlineStr">
        <is>
          <t>GÄVLEBORGS LÄN</t>
        </is>
      </c>
      <c r="E1250" t="inlineStr">
        <is>
          <t>NORDANSTIG</t>
        </is>
      </c>
      <c r="F1250" t="inlineStr">
        <is>
          <t>Holmen skog AB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16616-2025</t>
        </is>
      </c>
      <c r="B1251" s="1" t="n">
        <v>45754</v>
      </c>
      <c r="C1251" s="1" t="n">
        <v>46136</v>
      </c>
      <c r="D1251" t="inlineStr">
        <is>
          <t>GÄVLEBORGS LÄN</t>
        </is>
      </c>
      <c r="E1251" t="inlineStr">
        <is>
          <t>NORDANSTIG</t>
        </is>
      </c>
      <c r="F1251" t="inlineStr">
        <is>
          <t>Holmen skog AB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22319-2025</t>
        </is>
      </c>
      <c r="B1252" s="1" t="n">
        <v>45786.39515046297</v>
      </c>
      <c r="C1252" s="1" t="n">
        <v>46136</v>
      </c>
      <c r="D1252" t="inlineStr">
        <is>
          <t>GÄVLEBORGS LÄN</t>
        </is>
      </c>
      <c r="E1252" t="inlineStr">
        <is>
          <t>NORDANSTIG</t>
        </is>
      </c>
      <c r="F1252" t="inlineStr">
        <is>
          <t>Holmen skog AB</t>
        </is>
      </c>
      <c r="G1252" t="n">
        <v>4.3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22784-2025</t>
        </is>
      </c>
      <c r="B1253" s="1" t="n">
        <v>45789.63913194444</v>
      </c>
      <c r="C1253" s="1" t="n">
        <v>46136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55.6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23122-2025</t>
        </is>
      </c>
      <c r="B1254" s="1" t="n">
        <v>45791</v>
      </c>
      <c r="C1254" s="1" t="n">
        <v>46136</v>
      </c>
      <c r="D1254" t="inlineStr">
        <is>
          <t>GÄVLEBORGS LÄN</t>
        </is>
      </c>
      <c r="E1254" t="inlineStr">
        <is>
          <t>NORDANSTIG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17678-2025</t>
        </is>
      </c>
      <c r="B1255" s="1" t="n">
        <v>45758.37297453704</v>
      </c>
      <c r="C1255" s="1" t="n">
        <v>46136</v>
      </c>
      <c r="D1255" t="inlineStr">
        <is>
          <t>GÄVLEBORGS LÄN</t>
        </is>
      </c>
      <c r="E1255" t="inlineStr">
        <is>
          <t>NORDANSTIG</t>
        </is>
      </c>
      <c r="F1255" t="inlineStr">
        <is>
          <t>Holmen skog AB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23467-2025</t>
        </is>
      </c>
      <c r="B1256" s="1" t="n">
        <v>45792.43704861111</v>
      </c>
      <c r="C1256" s="1" t="n">
        <v>46136</v>
      </c>
      <c r="D1256" t="inlineStr">
        <is>
          <t>GÄVLEBORGS LÄN</t>
        </is>
      </c>
      <c r="E1256" t="inlineStr">
        <is>
          <t>NORDANSTIG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23623-2025</t>
        </is>
      </c>
      <c r="B1257" s="1" t="n">
        <v>45792</v>
      </c>
      <c r="C1257" s="1" t="n">
        <v>46136</v>
      </c>
      <c r="D1257" t="inlineStr">
        <is>
          <t>GÄVLEBORGS LÄN</t>
        </is>
      </c>
      <c r="E1257" t="inlineStr">
        <is>
          <t>NORDANSTIG</t>
        </is>
      </c>
      <c r="G1257" t="n">
        <v>12.9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23154-2025</t>
        </is>
      </c>
      <c r="B1258" s="1" t="n">
        <v>45791</v>
      </c>
      <c r="C1258" s="1" t="n">
        <v>46136</v>
      </c>
      <c r="D1258" t="inlineStr">
        <is>
          <t>GÄVLEBORGS LÄN</t>
        </is>
      </c>
      <c r="E1258" t="inlineStr">
        <is>
          <t>NORDANSTIG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20137-2023</t>
        </is>
      </c>
      <c r="B1259" s="1" t="n">
        <v>45055</v>
      </c>
      <c r="C1259" s="1" t="n">
        <v>46136</v>
      </c>
      <c r="D1259" t="inlineStr">
        <is>
          <t>GÄVLEBORGS LÄN</t>
        </is>
      </c>
      <c r="E1259" t="inlineStr">
        <is>
          <t>NORDANSTIG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54803-2023</t>
        </is>
      </c>
      <c r="B1260" s="1" t="n">
        <v>45236</v>
      </c>
      <c r="C1260" s="1" t="n">
        <v>46136</v>
      </c>
      <c r="D1260" t="inlineStr">
        <is>
          <t>GÄVLEBORGS LÄN</t>
        </is>
      </c>
      <c r="E1260" t="inlineStr">
        <is>
          <t>NORDANSTIG</t>
        </is>
      </c>
      <c r="F1260" t="inlineStr">
        <is>
          <t>Holmen skog AB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33414-2022</t>
        </is>
      </c>
      <c r="B1261" s="1" t="n">
        <v>44788.60025462963</v>
      </c>
      <c r="C1261" s="1" t="n">
        <v>46136</v>
      </c>
      <c r="D1261" t="inlineStr">
        <is>
          <t>GÄVLEBORGS LÄN</t>
        </is>
      </c>
      <c r="E1261" t="inlineStr">
        <is>
          <t>NORDANSTIG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23119-2025</t>
        </is>
      </c>
      <c r="B1262" s="1" t="n">
        <v>45791</v>
      </c>
      <c r="C1262" s="1" t="n">
        <v>46136</v>
      </c>
      <c r="D1262" t="inlineStr">
        <is>
          <t>GÄVLEBORGS LÄN</t>
        </is>
      </c>
      <c r="E1262" t="inlineStr">
        <is>
          <t>NORDANSTIG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23072-2025</t>
        </is>
      </c>
      <c r="B1263" s="1" t="n">
        <v>45790.89</v>
      </c>
      <c r="C1263" s="1" t="n">
        <v>46136</v>
      </c>
      <c r="D1263" t="inlineStr">
        <is>
          <t>GÄVLEBORGS LÄN</t>
        </is>
      </c>
      <c r="E1263" t="inlineStr">
        <is>
          <t>NORDANSTIG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23993-2025</t>
        </is>
      </c>
      <c r="B1264" s="1" t="n">
        <v>45796.40721064815</v>
      </c>
      <c r="C1264" s="1" t="n">
        <v>46136</v>
      </c>
      <c r="D1264" t="inlineStr">
        <is>
          <t>GÄVLEBORGS LÄN</t>
        </is>
      </c>
      <c r="E1264" t="inlineStr">
        <is>
          <t>NORDANSTIG</t>
        </is>
      </c>
      <c r="F1264" t="inlineStr">
        <is>
          <t>Holmen skog AB</t>
        </is>
      </c>
      <c r="G1264" t="n">
        <v>41.3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23791-2025</t>
        </is>
      </c>
      <c r="B1265" s="1" t="n">
        <v>45793.53853009259</v>
      </c>
      <c r="C1265" s="1" t="n">
        <v>46136</v>
      </c>
      <c r="D1265" t="inlineStr">
        <is>
          <t>GÄVLEBORGS LÄN</t>
        </is>
      </c>
      <c r="E1265" t="inlineStr">
        <is>
          <t>NORDANSTIG</t>
        </is>
      </c>
      <c r="F1265" t="inlineStr">
        <is>
          <t>Holmen skog AB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43523-2024</t>
        </is>
      </c>
      <c r="B1266" s="1" t="n">
        <v>45569</v>
      </c>
      <c r="C1266" s="1" t="n">
        <v>46136</v>
      </c>
      <c r="D1266" t="inlineStr">
        <is>
          <t>GÄVLEBORGS LÄN</t>
        </is>
      </c>
      <c r="E1266" t="inlineStr">
        <is>
          <t>NORDANSTIG</t>
        </is>
      </c>
      <c r="F1266" t="inlineStr">
        <is>
          <t>Holmen skog AB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45312-2023</t>
        </is>
      </c>
      <c r="B1267" s="1" t="n">
        <v>45191.70572916666</v>
      </c>
      <c r="C1267" s="1" t="n">
        <v>46136</v>
      </c>
      <c r="D1267" t="inlineStr">
        <is>
          <t>GÄVLEBORGS LÄN</t>
        </is>
      </c>
      <c r="E1267" t="inlineStr">
        <is>
          <t>NORDANSTIG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23788-2025</t>
        </is>
      </c>
      <c r="B1268" s="1" t="n">
        <v>45793.5347800926</v>
      </c>
      <c r="C1268" s="1" t="n">
        <v>46136</v>
      </c>
      <c r="D1268" t="inlineStr">
        <is>
          <t>GÄVLEBORGS LÄN</t>
        </is>
      </c>
      <c r="E1268" t="inlineStr">
        <is>
          <t>NORDANSTIG</t>
        </is>
      </c>
      <c r="F1268" t="inlineStr">
        <is>
          <t>Holmen skog AB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24101-2025</t>
        </is>
      </c>
      <c r="B1269" s="1" t="n">
        <v>45796.59533564815</v>
      </c>
      <c r="C1269" s="1" t="n">
        <v>46136</v>
      </c>
      <c r="D1269" t="inlineStr">
        <is>
          <t>GÄVLEBORGS LÄN</t>
        </is>
      </c>
      <c r="E1269" t="inlineStr">
        <is>
          <t>NORDANSTIG</t>
        </is>
      </c>
      <c r="G1269" t="n">
        <v>4.9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25723-2024</t>
        </is>
      </c>
      <c r="B1270" s="1" t="n">
        <v>45463.95457175926</v>
      </c>
      <c r="C1270" s="1" t="n">
        <v>46136</v>
      </c>
      <c r="D1270" t="inlineStr">
        <is>
          <t>GÄVLEBORGS LÄN</t>
        </is>
      </c>
      <c r="E1270" t="inlineStr">
        <is>
          <t>NORDANSTIG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35741-2024</t>
        </is>
      </c>
      <c r="B1271" s="1" t="n">
        <v>45532.53859953704</v>
      </c>
      <c r="C1271" s="1" t="n">
        <v>46136</v>
      </c>
      <c r="D1271" t="inlineStr">
        <is>
          <t>GÄVLEBORGS LÄN</t>
        </is>
      </c>
      <c r="E1271" t="inlineStr">
        <is>
          <t>NORDANSTIG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37294-2024</t>
        </is>
      </c>
      <c r="B1272" s="1" t="n">
        <v>45540.44701388889</v>
      </c>
      <c r="C1272" s="1" t="n">
        <v>46136</v>
      </c>
      <c r="D1272" t="inlineStr">
        <is>
          <t>GÄVLEBORGS LÄN</t>
        </is>
      </c>
      <c r="E1272" t="inlineStr">
        <is>
          <t>NORDANSTIG</t>
        </is>
      </c>
      <c r="G1272" t="n">
        <v>3.9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>
      <c r="A1273" t="inlineStr">
        <is>
          <t>A 47238-2024</t>
        </is>
      </c>
      <c r="B1273" s="1" t="n">
        <v>45586.69104166667</v>
      </c>
      <c r="C1273" s="1" t="n">
        <v>46136</v>
      </c>
      <c r="D1273" t="inlineStr">
        <is>
          <t>GÄVLEBORGS LÄN</t>
        </is>
      </c>
      <c r="E1273" t="inlineStr">
        <is>
          <t>NORDANSTIG</t>
        </is>
      </c>
      <c r="G1273" t="n">
        <v>4.2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2026-04-24T10:52:40Z</dcterms:created>
  <dcterms:modified xmlns:dcterms="http://purl.org/dc/terms/" xmlns:xsi="http://www.w3.org/2001/XMLSchema-instance" xsi:type="dcterms:W3CDTF">2026-04-24T10:52:41Z</dcterms:modified>
</cp:coreProperties>
</file>