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45809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45809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45809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45809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45809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45809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45809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45809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45809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45809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45809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45809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45809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45809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45809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45809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45809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45809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45809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45809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45809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45809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45809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45809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45809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45809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45809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45809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45809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45809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45809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45809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45809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45809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45809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45809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45809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45809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45809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45809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45809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45809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45809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45809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45809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45809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45809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45809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45809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45809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45809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45809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45809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45809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45809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45809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45809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45809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45809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45809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45809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45809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45809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45809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45809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45809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45809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45809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45809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45809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45809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45809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45809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45809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45809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45809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45809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45809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45809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45809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45809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45809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45809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45809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45809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45809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45809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45809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45809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45809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45809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45809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45809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45809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45809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45809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45809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45809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45809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45809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45809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45809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45809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45809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45809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45809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45809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45809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45809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45809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45809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45809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45809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45809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45809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45809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45809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45809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45809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45809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45809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45809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45809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45809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45809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45809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45809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45809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45809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45809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45809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45809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45809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45809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45809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45809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45809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45809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45809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45809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45809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45809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45809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45809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45809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45809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45809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45809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45809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45809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45809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45809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45809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45809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45809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45809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45809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45809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45809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45809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45809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45809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45809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45809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45809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45809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45809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45809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45809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45809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45809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45809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45809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45809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45809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45809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45809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45809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45809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45809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45809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45809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45809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45809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45809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45809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45809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45809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45809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45809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45809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45809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45809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45809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45809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45809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45809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45809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45809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45809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45809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45809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45809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45809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45809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45809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45809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45809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45809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45809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45809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45809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45809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45809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45809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45809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45809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45809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45809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45809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45809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45809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45809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45809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45809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45809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45809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45809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45809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45809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45809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45809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45809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45809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45809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45809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45809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45809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45809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45809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45809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45809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45809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45809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45809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45809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45809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45809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45809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45809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45809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45809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45809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45809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45809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45809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45809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45809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45809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45809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45809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45809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45809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45809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45809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45809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45809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45809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45809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45809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45809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45809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45809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45809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45809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45809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45809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45809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45809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45809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45809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45809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45809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45809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45809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45809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45809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45809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45809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45809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45809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45809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45809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45809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45809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45809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45809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45809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45809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45809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45809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45809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45809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45809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45809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45809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45809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45809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45809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45809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45809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45809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45809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45809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45809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45809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45809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45809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45809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45809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45809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45809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45809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45809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45809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45809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45809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45809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45809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45809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45809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45809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45809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45809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45809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45809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45809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45809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45809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45809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45809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45809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45809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45809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45809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45809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45809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45809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45809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45809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45809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45809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45809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45809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45809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45809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45809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45809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45809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45809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45809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45809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45809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45809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45809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45809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45809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45809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45809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45809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45809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45809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45809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45809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45809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45809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45809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45809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45809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45809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45809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45809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45809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45809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45809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45809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45809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45809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45809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45809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45809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45809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45809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45809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45809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45809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45809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45809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45809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45809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45809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45809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45809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45809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45809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45809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45809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45809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45809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45809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45809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45809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45809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45809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45809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45809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45809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45809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45809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45809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45809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45809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45809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45809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45809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45809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45809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45809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45809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45809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45809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45809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45809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45809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45809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45809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45809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45809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45809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45809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45809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45809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45809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45809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45809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45809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45809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45809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45809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45809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45809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45809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45809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45809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45809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45809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45809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45809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45809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45809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45809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45809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45809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45809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45809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45809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45809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45809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45809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45809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45809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45809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45809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45809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45809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45809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45809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45809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45809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45809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45809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45809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45809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45809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45809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45809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45809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45809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45809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45809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45809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45809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45809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45809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45809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45809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45809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45809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45809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45809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45809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45809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45809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45809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45809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45809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45809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45809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45809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45809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45809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45809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45809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45809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45809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45809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45809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45809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45809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45809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45809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45809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45809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45809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45809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45809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45809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45809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45809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45809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45809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45809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45809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45809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45809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45809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45809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45809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45809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45809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45809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45809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45809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45809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45809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45809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45809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45809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45809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45809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45809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45809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45809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45809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45809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45809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45809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45809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45809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45809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45809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45809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45809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45809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45809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45809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45809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45809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45809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45809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45809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45809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45809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45809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45809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45809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45809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45809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45809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45809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45809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45809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45809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45809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45809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45809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45809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45809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45809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45809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45809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45809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45809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45809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45809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45809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45809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45809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45809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45809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45809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45809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45809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45809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45809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45809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45809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45809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45809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45809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45809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45809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45809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45809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45809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45809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45809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45809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45809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45809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45809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45809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45809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45809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45809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45809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45809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45809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45809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45809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45809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45809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45809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45809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45809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45809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45809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45809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45809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45809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45809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45809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45809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45809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45809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45809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45809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45809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45809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45809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45809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45809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45809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45809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45809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45809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45809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45809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45809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45809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45809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45809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45809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45809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45809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45809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45809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45809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45809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45809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45809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45809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45809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45809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45809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45809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45809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45809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45809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45809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45809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45809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45809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45809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45809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45809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45809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45809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45809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45809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45809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45809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45809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45809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45809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45809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45809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45809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45809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45809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45809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45809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45809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45809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45809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45809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45809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45809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45809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45809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45809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45809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45809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45809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45809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45809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45809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45809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45809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45809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45809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45809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45809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45809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45809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45809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45809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45809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45809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45809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45809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45809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45809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45809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45809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45809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45809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45809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45809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45809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45809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45809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45809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45809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45809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45809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45809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45809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45809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45809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45809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45809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45809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45809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45809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45809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45809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45809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45809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45809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45809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45809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45809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45809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45809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45809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45809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45809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45809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45809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45809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45809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45809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45809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45809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45809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45809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45809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45809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45809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45809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45809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45809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45809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45809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45809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45809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45809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45809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45809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45809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45809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45809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45809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45809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45809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45809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45809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45809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45809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45809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45809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45809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45809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45809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45809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45809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45809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45809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45809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45809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45809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45809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45809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45809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45809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45809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45809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45809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45809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45809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45809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45809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45809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45809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45809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45809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45809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45809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45809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45809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45809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45809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45809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45809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45809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45809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45809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45809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45809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45809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45809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45809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45809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45809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45809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45809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45809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45809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45809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45809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45809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45809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45809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45809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45809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45809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45809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45809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45809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45809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45809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45809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45809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45809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45809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45809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45809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45809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45809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45809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45809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45809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45809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45809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45809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45809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45809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45809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45809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45809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45809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45809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45809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45809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45809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45809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45809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45809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45809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45809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45809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45809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45809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45809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45809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45809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45809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45809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45809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45809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45809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45809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45809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45809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45809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45809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45809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45809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45809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45809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45809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45809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45809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45809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45809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45809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45809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45809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45809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45809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45809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45809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45809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45809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45809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45809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45809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45809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45809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45809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45809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45809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45809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45809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45809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45809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45809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45809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45809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45809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45809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45809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45809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45809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45809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45809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45809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45809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45809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45809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45809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45809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45809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45809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45809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45809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45809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45809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45809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45809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45809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45809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45809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45809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45809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45809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45809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45809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45809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45809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45809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45809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45809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45809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45809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45809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45809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45809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45809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45809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45809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45809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45809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45809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45809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45809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45809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45809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45809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45809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45809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45809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45809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45809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45809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45809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45809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45809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45809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45809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45809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45809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45809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45809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45809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45809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45809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45809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45809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45809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45809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45809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45809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45809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45809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45809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45809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45809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45809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45809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45809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45809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45809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45809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45809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45809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45809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45809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45809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45809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45809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45809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45809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45809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45809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45809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45809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45809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45809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45809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45809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45809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45809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45809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45809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45809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45809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45809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45809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45809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45809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45809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45809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45809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45809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45809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45809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45809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45809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45809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45809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45809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45809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45809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45809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45809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45809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45809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45809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45809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45809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45809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45809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45809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45809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45809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45809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45809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45809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45809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45809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45809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45809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45809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45809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45809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45809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45809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45809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45809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45809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45809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45809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45809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45809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45809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45809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45809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45809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45809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45809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45809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45809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45809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45809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45809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45809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45809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45809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45809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45809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45809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45809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45809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45809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45809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45809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45809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45809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45809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45809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45809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45809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45809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45809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45809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45809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45809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45809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45809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45809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45809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45809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45809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45809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45809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45809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45809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45809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45809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45809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45809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45809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45809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45809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45809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45809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45809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45809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45809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45809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45809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45809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45809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45809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45809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45809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45809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45809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45809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45809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45809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45809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45809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45809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45809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45809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45809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45809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45809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45809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45809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45809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45809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45809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45809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45809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45809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45809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45809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45809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45809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45809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45809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45809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45809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45809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45809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45809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45809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45809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45809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45809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45809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45809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45809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45809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45809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45809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45809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45809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45809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45809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45809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45809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45809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45809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45809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45809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45809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45809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45809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45809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45809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45809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45809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45809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45809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45809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45809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45809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45809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45809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45809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45809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45809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45809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45809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45809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45809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45809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45809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45809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45809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45809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45809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45809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45809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45809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45809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45809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45809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45809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45809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45809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45809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45809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45809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45809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45809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45809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45809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45809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45809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45809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45809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45809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45809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45809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45809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45809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45809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45809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45809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45809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45809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45809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45809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45809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45809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45809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45809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45809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45809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45809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45809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45809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45809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45809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45809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45809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45809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45809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45809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45809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45809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45809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45809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45809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45809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45809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45809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45809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45809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45809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45809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45809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45809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45809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45809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45809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45809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45809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45809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45809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45809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45809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45809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45809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45809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45809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45809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45809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45809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45809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45809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45809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45809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45809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45809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45809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45809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45809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45809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45809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45809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45809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45809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45809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45809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45809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45809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45809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45809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45809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45809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45809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45809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45809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45809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45809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45809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45809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45809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45809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45809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45809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45809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45809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45809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45809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45809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45809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45809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45809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45809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45809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45809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45809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45809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45809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45809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45809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45809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45809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45809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45809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45809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45809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45809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45809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45809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45809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45809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45809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45809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45809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45809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45809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45809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45809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45809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45809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45809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45809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45809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45809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45809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45809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45809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45809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45809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45809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45809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45809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45809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45809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45809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45809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45809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45809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45809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45809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45809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45809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45809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45809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45809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45809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45809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45809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45809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45809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45809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45809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45809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45809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45809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45809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45809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45809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45809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45809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45809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45809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45809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45809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45809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45809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45809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45809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45809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45809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45809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45809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45809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45809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45809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45809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45809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45809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45809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45809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45809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45809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45809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45809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45809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45809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45809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45809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45809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45809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45809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45809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45809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45809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45809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45809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45809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45809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45809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45809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45809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45809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45809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45809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45809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45809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45809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45809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45809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45809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45809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45809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45809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45809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45809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45809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45809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45809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19610-2025</t>
        </is>
      </c>
      <c r="B1484" s="1" t="n">
        <v>45770</v>
      </c>
      <c r="C1484" s="1" t="n">
        <v>45809</v>
      </c>
      <c r="D1484" t="inlineStr">
        <is>
          <t>GÄVLEBORGS LÄN</t>
        </is>
      </c>
      <c r="E1484" t="inlineStr">
        <is>
          <t>NORDANSTIG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19566-2025</t>
        </is>
      </c>
      <c r="B1485" s="1" t="n">
        <v>45770</v>
      </c>
      <c r="C1485" s="1" t="n">
        <v>45809</v>
      </c>
      <c r="D1485" t="inlineStr">
        <is>
          <t>GÄVLEBORGS LÄN</t>
        </is>
      </c>
      <c r="E1485" t="inlineStr">
        <is>
          <t>NORDANSTIG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19569-2025</t>
        </is>
      </c>
      <c r="B1486" s="1" t="n">
        <v>45770</v>
      </c>
      <c r="C1486" s="1" t="n">
        <v>45809</v>
      </c>
      <c r="D1486" t="inlineStr">
        <is>
          <t>GÄVLEBORGS LÄN</t>
        </is>
      </c>
      <c r="E1486" t="inlineStr">
        <is>
          <t>NORDANSTIG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19736-2025</t>
        </is>
      </c>
      <c r="B1487" s="1" t="n">
        <v>45771</v>
      </c>
      <c r="C1487" s="1" t="n">
        <v>45809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19896-2025</t>
        </is>
      </c>
      <c r="B1488" s="1" t="n">
        <v>45771</v>
      </c>
      <c r="C1488" s="1" t="n">
        <v>45809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19839-2025</t>
        </is>
      </c>
      <c r="B1489" s="1" t="n">
        <v>45771</v>
      </c>
      <c r="C1489" s="1" t="n">
        <v>45809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45809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45809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45809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45809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45809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45809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45809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45809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22310-2025</t>
        </is>
      </c>
      <c r="B1498" s="1" t="n">
        <v>45786</v>
      </c>
      <c r="C1498" s="1" t="n">
        <v>45809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27.9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22319-2025</t>
        </is>
      </c>
      <c r="B1499" s="1" t="n">
        <v>45786</v>
      </c>
      <c r="C1499" s="1" t="n">
        <v>45809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22695-2025</t>
        </is>
      </c>
      <c r="B1500" s="1" t="n">
        <v>45789</v>
      </c>
      <c r="C1500" s="1" t="n">
        <v>45809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9.6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22689-2025</t>
        </is>
      </c>
      <c r="B1501" s="1" t="n">
        <v>45789</v>
      </c>
      <c r="C1501" s="1" t="n">
        <v>45809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22784-2025</t>
        </is>
      </c>
      <c r="B1502" s="1" t="n">
        <v>45789</v>
      </c>
      <c r="C1502" s="1" t="n">
        <v>45809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55.6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23072-2025</t>
        </is>
      </c>
      <c r="B1503" s="1" t="n">
        <v>45790</v>
      </c>
      <c r="C1503" s="1" t="n">
        <v>45809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23333-2025</t>
        </is>
      </c>
      <c r="B1504" s="1" t="n">
        <v>45791</v>
      </c>
      <c r="C1504" s="1" t="n">
        <v>45809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19.1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23207-2025</t>
        </is>
      </c>
      <c r="B1505" s="1" t="n">
        <v>45791</v>
      </c>
      <c r="C1505" s="1" t="n">
        <v>45809</v>
      </c>
      <c r="D1505" t="inlineStr">
        <is>
          <t>GÄVLEBORGS LÄN</t>
        </is>
      </c>
      <c r="E1505" t="inlineStr">
        <is>
          <t>NORDANSTIG</t>
        </is>
      </c>
      <c r="F1505" t="inlineStr">
        <is>
          <t>Holmen skog AB</t>
        </is>
      </c>
      <c r="G1505" t="n">
        <v>13.8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23122-2025</t>
        </is>
      </c>
      <c r="B1506" s="1" t="n">
        <v>45791</v>
      </c>
      <c r="C1506" s="1" t="n">
        <v>45809</v>
      </c>
      <c r="D1506" t="inlineStr">
        <is>
          <t>GÄVLEBORGS LÄN</t>
        </is>
      </c>
      <c r="E1506" t="inlineStr">
        <is>
          <t>NORDANSTIG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45809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23154-2025</t>
        </is>
      </c>
      <c r="B1508" s="1" t="n">
        <v>45791</v>
      </c>
      <c r="C1508" s="1" t="n">
        <v>45809</v>
      </c>
      <c r="D1508" t="inlineStr">
        <is>
          <t>GÄVLEBORGS LÄN</t>
        </is>
      </c>
      <c r="E1508" t="inlineStr">
        <is>
          <t>NORDANSTIG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23467-2025</t>
        </is>
      </c>
      <c r="B1509" s="1" t="n">
        <v>45792</v>
      </c>
      <c r="C1509" s="1" t="n">
        <v>45809</v>
      </c>
      <c r="D1509" t="inlineStr">
        <is>
          <t>GÄVLEBORGS LÄN</t>
        </is>
      </c>
      <c r="E1509" t="inlineStr">
        <is>
          <t>NORDANSTIG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45809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23788-2025</t>
        </is>
      </c>
      <c r="B1511" s="1" t="n">
        <v>45793</v>
      </c>
      <c r="C1511" s="1" t="n">
        <v>45809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23791-2025</t>
        </is>
      </c>
      <c r="B1512" s="1" t="n">
        <v>45793</v>
      </c>
      <c r="C1512" s="1" t="n">
        <v>45809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24101-2025</t>
        </is>
      </c>
      <c r="B1513" s="1" t="n">
        <v>45796</v>
      </c>
      <c r="C1513" s="1" t="n">
        <v>45809</v>
      </c>
      <c r="D1513" t="inlineStr">
        <is>
          <t>GÄVLEBORGS LÄN</t>
        </is>
      </c>
      <c r="E1513" t="inlineStr">
        <is>
          <t>NORDANSTIG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23993-2025</t>
        </is>
      </c>
      <c r="B1514" s="1" t="n">
        <v>45796</v>
      </c>
      <c r="C1514" s="1" t="n">
        <v>45809</v>
      </c>
      <c r="D1514" t="inlineStr">
        <is>
          <t>GÄVLEBORGS LÄN</t>
        </is>
      </c>
      <c r="E1514" t="inlineStr">
        <is>
          <t>NORDANSTIG</t>
        </is>
      </c>
      <c r="F1514" t="inlineStr">
        <is>
          <t>Holmen skog AB</t>
        </is>
      </c>
      <c r="G1514" t="n">
        <v>41.3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25068-2025</t>
        </is>
      </c>
      <c r="B1515" s="1" t="n">
        <v>45799</v>
      </c>
      <c r="C1515" s="1" t="n">
        <v>45809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16.7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25080-2025</t>
        </is>
      </c>
      <c r="B1516" s="1" t="n">
        <v>45799</v>
      </c>
      <c r="C1516" s="1" t="n">
        <v>45809</v>
      </c>
      <c r="D1516" t="inlineStr">
        <is>
          <t>GÄVLEBORGS LÄN</t>
        </is>
      </c>
      <c r="E1516" t="inlineStr">
        <is>
          <t>NORDANSTIG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24938-2025</t>
        </is>
      </c>
      <c r="B1517" s="1" t="n">
        <v>45799</v>
      </c>
      <c r="C1517" s="1" t="n">
        <v>45809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30.1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24758-2025</t>
        </is>
      </c>
      <c r="B1518" s="1" t="n">
        <v>45799</v>
      </c>
      <c r="C1518" s="1" t="n">
        <v>45809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23.2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HYPERLINK("https://klasma.github.io/Logging_212132/knärot/A 24758-2025 karta knärot.png", "A 24758-2025")</f>
        <v/>
      </c>
      <c r="V1518">
        <f>HYPERLINK("https://klasma.github.io/Logging_212132/klagomål/A 24758-2025 FSC-klagomål.docx", "A 24758-2025")</f>
        <v/>
      </c>
      <c r="W1518">
        <f>HYPERLINK("https://klasma.github.io/Logging_212132/klagomålsmail/A 24758-2025 FSC-klagomål mail.docx", "A 24758-2025")</f>
        <v/>
      </c>
      <c r="X1518">
        <f>HYPERLINK("https://klasma.github.io/Logging_212132/tillsyn/A 24758-2025 tillsynsbegäran.docx", "A 24758-2025")</f>
        <v/>
      </c>
      <c r="Y1518">
        <f>HYPERLINK("https://klasma.github.io/Logging_212132/tillsynsmail/A 24758-2025 tillsynsbegäran mail.docx", "A 24758-2025")</f>
        <v/>
      </c>
    </row>
    <row r="1519" ht="15" customHeight="1">
      <c r="A1519" t="inlineStr">
        <is>
          <t>A 25469-2025</t>
        </is>
      </c>
      <c r="B1519" s="1" t="n">
        <v>45802</v>
      </c>
      <c r="C1519" s="1" t="n">
        <v>45809</v>
      </c>
      <c r="D1519" t="inlineStr">
        <is>
          <t>GÄVLEBORGS LÄN</t>
        </is>
      </c>
      <c r="E1519" t="inlineStr">
        <is>
          <t>NORDANSTIG</t>
        </is>
      </c>
      <c r="F1519" t="inlineStr">
        <is>
          <t>Holmen skog AB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25467-2025</t>
        </is>
      </c>
      <c r="B1520" s="1" t="n">
        <v>45802</v>
      </c>
      <c r="C1520" s="1" t="n">
        <v>45809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25468-2025</t>
        </is>
      </c>
      <c r="B1521" s="1" t="n">
        <v>45802</v>
      </c>
      <c r="C1521" s="1" t="n">
        <v>45809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25724-2025</t>
        </is>
      </c>
      <c r="B1522" s="1" t="n">
        <v>45803</v>
      </c>
      <c r="C1522" s="1" t="n">
        <v>45809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>
      <c r="A1523" t="inlineStr">
        <is>
          <t>A 26120-2025</t>
        </is>
      </c>
      <c r="B1523" s="1" t="n">
        <v>45805</v>
      </c>
      <c r="C1523" s="1" t="n">
        <v>45809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2025-06-01T11:51:23Z</dcterms:created>
  <dcterms:modified xmlns:dcterms="http://purl.org/dc/terms/" xmlns:xsi="http://www.w3.org/2001/XMLSchema-instance" xsi:type="dcterms:W3CDTF">2025-06-01T11:51:24Z</dcterms:modified>
</cp:coreProperties>
</file>