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46271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46271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46271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46271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46271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46271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46271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46271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46271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46271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46271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46271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46271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46271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46271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46271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46271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Fläcknycklar</t>
        </is>
      </c>
      <c r="W36">
        <f>HYPERLINK("https://klasma.github.io/Logging_2132/artfynd/A 3781-2026 artfynd.xlsx", "A 3781-2026")</f>
        <v/>
      </c>
      <c r="X36">
        <f>HYPERLINK("https://klasma.github.io/Logging_2132/kartor/A 3781-2026 karta.png", "A 3781-2026")</f>
        <v/>
      </c>
      <c r="Y36">
        <f>HYPERLINK("https://klasma.github.io/Logging_2132/kartor_geotiff/A 3781-2026 georefererad karta.tif", "A 3781-2026")</f>
        <v/>
      </c>
      <c r="AA36">
        <f>HYPERLINK("https://klasma.github.io/Logging_2132/klagomål/A 3781-2026 FSC-klagomål.docx", "A 3781-2026")</f>
        <v/>
      </c>
      <c r="AB36">
        <f>HYPERLINK("https://klasma.github.io/Logging_2132/klagomålsmail/A 3781-2026 FSC-klagomål mail.docx", "A 3781-2026")</f>
        <v/>
      </c>
      <c r="AC36">
        <f>HYPERLINK("https://klasma.github.io/Logging_2132/tillsyn/A 3781-2026 tillsynsbegäran.docx", "A 3781-2026")</f>
        <v/>
      </c>
      <c r="AD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46271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Aspgelélav
Skinnlav</t>
        </is>
      </c>
      <c r="W37">
        <f>HYPERLINK("https://klasma.github.io/Logging_2132/artfynd/A 3760-2026 artfynd.xlsx", "A 3760-2026")</f>
        <v/>
      </c>
      <c r="X37">
        <f>HYPERLINK("https://klasma.github.io/Logging_2132/kartor/A 3760-2026 karta.png", "A 3760-2026")</f>
        <v/>
      </c>
      <c r="Y37">
        <f>HYPERLINK("https://klasma.github.io/Logging_2132/kartor_geotiff/A 3760-2026 georefererad karta.tif", "A 3760-2026")</f>
        <v/>
      </c>
      <c r="AA37">
        <f>HYPERLINK("https://klasma.github.io/Logging_2132/klagomål/A 3760-2026 FSC-klagomål.docx", "A 3760-2026")</f>
        <v/>
      </c>
      <c r="AB37">
        <f>HYPERLINK("https://klasma.github.io/Logging_2132/klagomålsmail/A 3760-2026 FSC-klagomål mail.docx", "A 3760-2026")</f>
        <v/>
      </c>
      <c r="AC37">
        <f>HYPERLINK("https://klasma.github.io/Logging_2132/tillsyn/A 3760-2026 tillsynsbegäran.docx", "A 3760-2026")</f>
        <v/>
      </c>
      <c r="AD37">
        <f>HYPERLINK("https://klasma.github.io/Logging_2132/tillsynsmail/A 3760-2026 tillsynsbegäran mail.docx", "A 3760-2026")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46271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46271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46271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46271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46271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46271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46271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46271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46271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46271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46271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46271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46271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46271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46271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46271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46271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46271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46271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46271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46271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46271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2878-2026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46038</v>
      </c>
      <c r="E62" s="1" t="n">
        <v>46271</v>
      </c>
      <c r="F62" t="inlineStr">
        <is>
          <t>GÄVLEBORGS LÄN</t>
        </is>
      </c>
      <c r="G62" t="inlineStr">
        <is>
          <t>NORDANSTIG</t>
        </is>
      </c>
      <c r="I62" t="n">
        <v>3.4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HYPERLINK("https://klasma.github.io/Logging_2132/artfynd/A 2878-2026 artfynd.xlsx", "A 2878-2026")</f>
        <v/>
      </c>
      <c r="X62">
        <f>HYPERLINK("https://klasma.github.io/Logging_2132/kartor/A 2878-2026 karta.png", "A 2878-2026")</f>
        <v/>
      </c>
      <c r="Y62">
        <f>HYPERLINK("https://klasma.github.io/Logging_2132/kartor_geotiff/A 2878-2026 georefererad karta.tif", "A 2878-2026")</f>
        <v/>
      </c>
      <c r="AA62">
        <f>HYPERLINK("https://klasma.github.io/Logging_2132/klagomål/A 2878-2026 FSC-klagomål.docx", "A 2878-2026")</f>
        <v/>
      </c>
      <c r="AB62">
        <f>HYPERLINK("https://klasma.github.io/Logging_2132/klagomålsmail/A 2878-2026 FSC-klagomål mail.docx", "A 2878-2026")</f>
        <v/>
      </c>
      <c r="AC62">
        <f>HYPERLINK("https://klasma.github.io/Logging_2132/tillsyn/A 2878-2026 tillsynsbegäran.docx", "A 2878-2026")</f>
        <v/>
      </c>
      <c r="AD62">
        <f>HYPERLINK("https://klasma.github.io/Logging_2132/tillsynsmail/A 2878-2026 tillsynsbegäran mail.docx", "A 2878-2026")</f>
        <v/>
      </c>
      <c r="AE62">
        <f>HYPERLINK("https://klasma.github.io/Logging_2132/fåglar/A 2878-2026 prioriterade fågelarter.docx", "A 2878-2026")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46271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46271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46271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46271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46271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46271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46271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46271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46271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46271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46271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46271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46271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46271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46271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46271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46271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46271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46271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46271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46271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46271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46271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46271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46271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46271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46271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46271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46271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46271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46271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46271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46271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46271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46271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46271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46271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46271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46271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46271</v>
      </c>
      <c r="F108" t="inlineStr">
        <is>
          <t>GÄVLEBORGS LÄN</t>
        </is>
      </c>
      <c r="G108" t="inlineStr">
        <is>
          <t>NORDANSTIG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46271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46271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46271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46271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46271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46271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46271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46271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46271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46271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46271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46271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46271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46271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46271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46271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46271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46271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46271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46271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46271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46271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44764</v>
      </c>
      <c r="E134" s="1" t="n">
        <v>46271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46271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46271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46271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46271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46271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46271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46271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46271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46271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46271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46271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46271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46271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46271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46271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46271</v>
      </c>
      <c r="F151" t="inlineStr">
        <is>
          <t>GÄVLEBORGS LÄN</t>
        </is>
      </c>
      <c r="G151" t="inlineStr">
        <is>
          <t>NORDANSTIG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46271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46271</v>
      </c>
      <c r="F153" t="inlineStr">
        <is>
          <t>GÄVLEBORGS LÄN</t>
        </is>
      </c>
      <c r="G153" t="inlineStr">
        <is>
          <t>NORDANSTIG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46271</v>
      </c>
      <c r="F154" t="inlineStr">
        <is>
          <t>GÄVLEBORGS LÄN</t>
        </is>
      </c>
      <c r="G154" t="inlineStr">
        <is>
          <t>NORDANSTIG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46271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46271</v>
      </c>
      <c r="F156" t="inlineStr">
        <is>
          <t>GÄVLEBORGS LÄN</t>
        </is>
      </c>
      <c r="G156" t="inlineStr">
        <is>
          <t>NORDANSTIG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46271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46271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46271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46271</v>
      </c>
      <c r="F160" t="inlineStr">
        <is>
          <t>GÄVLEBORGS LÄN</t>
        </is>
      </c>
      <c r="G160" t="inlineStr">
        <is>
          <t>NORDANSTIG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46271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46271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46271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46271</v>
      </c>
      <c r="F164" t="inlineStr">
        <is>
          <t>GÄVLEBORGS LÄN</t>
        </is>
      </c>
      <c r="G164" t="inlineStr">
        <is>
          <t>NORDANSTIG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46271</v>
      </c>
      <c r="F165" t="inlineStr">
        <is>
          <t>GÄVLEBORGS LÄN</t>
        </is>
      </c>
      <c r="G165" t="inlineStr">
        <is>
          <t>NORDANSTIG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46271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46271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46271</v>
      </c>
      <c r="F168" t="inlineStr">
        <is>
          <t>GÄVLEBORGS LÄN</t>
        </is>
      </c>
      <c r="G168" t="inlineStr">
        <is>
          <t>NORDANSTIG</t>
        </is>
      </c>
      <c r="H168" t="inlineStr">
        <is>
          <t>SCA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46271</v>
      </c>
      <c r="F169" t="inlineStr">
        <is>
          <t>GÄVLEBORGS LÄN</t>
        </is>
      </c>
      <c r="G169" t="inlineStr">
        <is>
          <t>NORDANSTIG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46271</v>
      </c>
      <c r="F170" t="inlineStr">
        <is>
          <t>GÄVLEBORGS LÄN</t>
        </is>
      </c>
      <c r="G170" t="inlineStr">
        <is>
          <t>NORDANSTIG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44692</v>
      </c>
      <c r="E171" s="1" t="n">
        <v>46271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46271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SCA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46271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46271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45289</v>
      </c>
      <c r="E175" s="1" t="n">
        <v>46271</v>
      </c>
      <c r="F175" t="inlineStr">
        <is>
          <t>GÄVLEBORGS LÄN</t>
        </is>
      </c>
      <c r="G175" t="inlineStr">
        <is>
          <t>NORDANSTIG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46271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46271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46271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46271</v>
      </c>
      <c r="F179" t="inlineStr">
        <is>
          <t>GÄVLEBORGS LÄN</t>
        </is>
      </c>
      <c r="G179" t="inlineStr">
        <is>
          <t>NORDANSTIG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46271</v>
      </c>
      <c r="F180" t="inlineStr">
        <is>
          <t>GÄVLEBORGS LÄN</t>
        </is>
      </c>
      <c r="G180" t="inlineStr">
        <is>
          <t>NORDANSTIG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46271</v>
      </c>
      <c r="F181" t="inlineStr">
        <is>
          <t>GÄVLEBORGS LÄN</t>
        </is>
      </c>
      <c r="G181" t="inlineStr">
        <is>
          <t>NORDANSTIG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46271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46271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46271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46271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46271</v>
      </c>
      <c r="F186" t="inlineStr">
        <is>
          <t>GÄVLEBORGS LÄN</t>
        </is>
      </c>
      <c r="G186" t="inlineStr">
        <is>
          <t>NORDANSTIG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46271</v>
      </c>
      <c r="F187" t="inlineStr">
        <is>
          <t>GÄVLEBORGS LÄN</t>
        </is>
      </c>
      <c r="G187" t="inlineStr">
        <is>
          <t>NORDANSTIG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44795</v>
      </c>
      <c r="E188" s="1" t="n">
        <v>46271</v>
      </c>
      <c r="F188" t="inlineStr">
        <is>
          <t>GÄVLEBORGS LÄN</t>
        </is>
      </c>
      <c r="G188" t="inlineStr">
        <is>
          <t>NORDANSTIG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46271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46271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62.5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45345</v>
      </c>
      <c r="E191" s="1" t="n">
        <v>46271</v>
      </c>
      <c r="F191" t="inlineStr">
        <is>
          <t>GÄVLEBORGS LÄN</t>
        </is>
      </c>
      <c r="G191" t="inlineStr">
        <is>
          <t>NORDANSTIG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46271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46271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46271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46271</v>
      </c>
      <c r="F195" t="inlineStr">
        <is>
          <t>GÄVLEBORGS LÄN</t>
        </is>
      </c>
      <c r="G195" t="inlineStr">
        <is>
          <t>NORDANSTIG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46271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46271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46271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45336</v>
      </c>
      <c r="E199" s="1" t="n">
        <v>46271</v>
      </c>
      <c r="F199" t="inlineStr">
        <is>
          <t>GÄVLEBORGS LÄN</t>
        </is>
      </c>
      <c r="G199" t="inlineStr">
        <is>
          <t>NORDANSTIG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46271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45569</v>
      </c>
      <c r="E201" s="1" t="n">
        <v>46271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45397</v>
      </c>
      <c r="E202" s="1" t="n">
        <v>46271</v>
      </c>
      <c r="F202" t="inlineStr">
        <is>
          <t>GÄVLEBORGS LÄN</t>
        </is>
      </c>
      <c r="G202" t="inlineStr">
        <is>
          <t>NORDANSTIG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46271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46271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46271</v>
      </c>
      <c r="F205" t="inlineStr">
        <is>
          <t>GÄVLEBORGS LÄN</t>
        </is>
      </c>
      <c r="G205" t="inlineStr">
        <is>
          <t>NORDANSTIG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46271</v>
      </c>
      <c r="F206" t="inlineStr">
        <is>
          <t>GÄVLEBORGS LÄN</t>
        </is>
      </c>
      <c r="G206" t="inlineStr">
        <is>
          <t>NORDANSTIG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46271</v>
      </c>
      <c r="F207" t="inlineStr">
        <is>
          <t>GÄVLEBORGS LÄN</t>
        </is>
      </c>
      <c r="G207" t="inlineStr">
        <is>
          <t>NORDANSTIG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46271</v>
      </c>
      <c r="F208" t="inlineStr">
        <is>
          <t>GÄVLEBORGS LÄN</t>
        </is>
      </c>
      <c r="G208" t="inlineStr">
        <is>
          <t>NORDANSTIG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46271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46271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46271</v>
      </c>
      <c r="F211" t="inlineStr">
        <is>
          <t>GÄVLEBORGS LÄN</t>
        </is>
      </c>
      <c r="G211" t="inlineStr">
        <is>
          <t>NORDANSTIG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46271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30.1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46271</v>
      </c>
      <c r="F213" t="inlineStr">
        <is>
          <t>GÄVLEBORGS LÄN</t>
        </is>
      </c>
      <c r="G213" t="inlineStr">
        <is>
          <t>NORDANSTIG</t>
        </is>
      </c>
      <c r="I213" t="n">
        <v>12.5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46271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45802</v>
      </c>
      <c r="E215" s="1" t="n">
        <v>46271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45802</v>
      </c>
      <c r="E216" s="1" t="n">
        <v>46271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46271</v>
      </c>
      <c r="F217" t="inlineStr">
        <is>
          <t>GÄVLEBORGS LÄN</t>
        </is>
      </c>
      <c r="G217" t="inlineStr">
        <is>
          <t>NORDANSTIG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46271</v>
      </c>
      <c r="F218" t="inlineStr">
        <is>
          <t>GÄVLEBORGS LÄN</t>
        </is>
      </c>
      <c r="G218" t="inlineStr">
        <is>
          <t>NORDANSTIG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46271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46271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45802</v>
      </c>
      <c r="E221" s="1" t="n">
        <v>46271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46271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46271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46271</v>
      </c>
      <c r="F224" t="inlineStr">
        <is>
          <t>GÄVLEBORGS LÄN</t>
        </is>
      </c>
      <c r="G224" t="inlineStr">
        <is>
          <t>NORDANSTIG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46271</v>
      </c>
      <c r="F225" t="inlineStr">
        <is>
          <t>GÄVLEBORGS LÄN</t>
        </is>
      </c>
      <c r="G225" t="inlineStr">
        <is>
          <t>NORDANSTIG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46271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46271</v>
      </c>
      <c r="F227" t="inlineStr">
        <is>
          <t>GÄVLEBORGS LÄN</t>
        </is>
      </c>
      <c r="G227" t="inlineStr">
        <is>
          <t>NORDANSTIG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46271</v>
      </c>
      <c r="F228" t="inlineStr">
        <is>
          <t>GÄVLEBORGS LÄN</t>
        </is>
      </c>
      <c r="G228" t="inlineStr">
        <is>
          <t>NORDANSTIG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45306</v>
      </c>
      <c r="E229" s="1" t="n">
        <v>46271</v>
      </c>
      <c r="F229" t="inlineStr">
        <is>
          <t>GÄVLEBORGS LÄN</t>
        </is>
      </c>
      <c r="G229" t="inlineStr">
        <is>
          <t>NORDANSTIG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46271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32149-2024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45511</v>
      </c>
      <c r="E231" s="1" t="n">
        <v>46271</v>
      </c>
      <c r="F231" t="inlineStr">
        <is>
          <t>GÄVLEBORGS LÄN</t>
        </is>
      </c>
      <c r="G231" t="inlineStr">
        <is>
          <t>NORDANSTIG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46271</v>
      </c>
      <c r="F232" t="inlineStr">
        <is>
          <t>GÄVLEBORGS LÄN</t>
        </is>
      </c>
      <c r="G232" t="inlineStr">
        <is>
          <t>NORDANSTIG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46271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46271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46026</v>
      </c>
      <c r="E235" s="1" t="n">
        <v>46271</v>
      </c>
      <c r="F235" t="inlineStr">
        <is>
          <t>GÄVLEBORGS LÄN</t>
        </is>
      </c>
      <c r="G235" t="inlineStr">
        <is>
          <t>NORDANSTIG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45646</v>
      </c>
      <c r="E236" s="1" t="n">
        <v>46271</v>
      </c>
      <c r="F236" t="inlineStr">
        <is>
          <t>GÄVLEBORGS LÄN</t>
        </is>
      </c>
      <c r="G236" t="inlineStr">
        <is>
          <t>NORDANSTIG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46271</v>
      </c>
      <c r="F237" t="inlineStr">
        <is>
          <t>GÄVLEBORGS LÄN</t>
        </is>
      </c>
      <c r="G237" t="inlineStr">
        <is>
          <t>NORDANSTIG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46271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46271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46271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45663</v>
      </c>
      <c r="E241" s="1" t="n">
        <v>46271</v>
      </c>
      <c r="F241" t="inlineStr">
        <is>
          <t>GÄVLEBORGS LÄN</t>
        </is>
      </c>
      <c r="G241" t="inlineStr">
        <is>
          <t>NORDANSTIG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46271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46271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46271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46271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71442-2021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44540</v>
      </c>
      <c r="E246" s="1" t="n">
        <v>46271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46271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46271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46271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46271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46271</v>
      </c>
      <c r="F251" t="inlineStr">
        <is>
          <t>GÄVLEBORGS LÄN</t>
        </is>
      </c>
      <c r="G251" t="inlineStr">
        <is>
          <t>NORDANSTIG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45499</v>
      </c>
      <c r="E252" s="1" t="n">
        <v>46271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46271</v>
      </c>
      <c r="F253" t="inlineStr">
        <is>
          <t>GÄVLEBORGS LÄN</t>
        </is>
      </c>
      <c r="G253" t="inlineStr">
        <is>
          <t>NORDANSTIG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46271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46271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46271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46271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46271</v>
      </c>
      <c r="F258" t="inlineStr">
        <is>
          <t>GÄVLEBORGS LÄN</t>
        </is>
      </c>
      <c r="G258" t="inlineStr">
        <is>
          <t>NORDANSTIG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46271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45861</v>
      </c>
      <c r="E260" s="1" t="n">
        <v>46271</v>
      </c>
      <c r="F260" t="inlineStr">
        <is>
          <t>GÄVLEBORGS LÄN</t>
        </is>
      </c>
      <c r="G260" t="inlineStr">
        <is>
          <t>NORDANSTIG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46271</v>
      </c>
      <c r="F261" t="inlineStr">
        <is>
          <t>GÄVLEBORGS LÄN</t>
        </is>
      </c>
      <c r="G261" t="inlineStr">
        <is>
          <t>NORDANSTIG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46271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46271</v>
      </c>
      <c r="F263" t="inlineStr">
        <is>
          <t>GÄVLEBORGS LÄN</t>
        </is>
      </c>
      <c r="G263" t="inlineStr">
        <is>
          <t>NORDANSTIG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46271</v>
      </c>
      <c r="F264" t="inlineStr">
        <is>
          <t>GÄVLEBORGS LÄN</t>
        </is>
      </c>
      <c r="G264" t="inlineStr">
        <is>
          <t>NORDANSTIG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46271</v>
      </c>
      <c r="F265" t="inlineStr">
        <is>
          <t>GÄVLEBORGS LÄN</t>
        </is>
      </c>
      <c r="G265" t="inlineStr">
        <is>
          <t>NORDANSTIG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46271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44678</v>
      </c>
      <c r="E267" s="1" t="n">
        <v>46271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46271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46271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46271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46271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45637</v>
      </c>
      <c r="E272" s="1" t="n">
        <v>46271</v>
      </c>
      <c r="F272" t="inlineStr">
        <is>
          <t>GÄVLEBORGS LÄN</t>
        </is>
      </c>
      <c r="G272" t="inlineStr">
        <is>
          <t>NORDANSTIG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46271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46271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46271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46271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46271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46271</v>
      </c>
      <c r="F278" t="inlineStr">
        <is>
          <t>GÄVLEBORGS LÄN</t>
        </is>
      </c>
      <c r="G278" t="inlineStr">
        <is>
          <t>NORDANSTIG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46271</v>
      </c>
      <c r="F279" t="inlineStr">
        <is>
          <t>GÄVLEBORGS LÄN</t>
        </is>
      </c>
      <c r="G279" t="inlineStr">
        <is>
          <t>NORDANSTIG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46271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46271</v>
      </c>
      <c r="F281" t="inlineStr">
        <is>
          <t>GÄVLEBORGS LÄN</t>
        </is>
      </c>
      <c r="G281" t="inlineStr">
        <is>
          <t>NORDANSTIG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46271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46271</v>
      </c>
      <c r="F283" t="inlineStr">
        <is>
          <t>GÄVLEBORGS LÄN</t>
        </is>
      </c>
      <c r="G283" t="inlineStr">
        <is>
          <t>NORDANSTIG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46271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46271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46271</v>
      </c>
      <c r="F286" t="inlineStr">
        <is>
          <t>GÄVLEBORGS LÄN</t>
        </is>
      </c>
      <c r="G286" t="inlineStr">
        <is>
          <t>NORDANSTIG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32082-2025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45835</v>
      </c>
      <c r="E287" s="1" t="n">
        <v>46271</v>
      </c>
      <c r="F287" t="inlineStr">
        <is>
          <t>GÄVLEBORGS LÄN</t>
        </is>
      </c>
      <c r="G287" t="inlineStr">
        <is>
          <t>NORDANSTIG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46271</v>
      </c>
      <c r="F288" t="inlineStr">
        <is>
          <t>GÄVLEBORGS LÄN</t>
        </is>
      </c>
      <c r="G288" t="inlineStr">
        <is>
          <t>NORDANSTIG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46271</v>
      </c>
      <c r="F289" t="inlineStr">
        <is>
          <t>GÄVLEBORGS LÄN</t>
        </is>
      </c>
      <c r="G289" t="inlineStr">
        <is>
          <t>NORDANSTIG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46271</v>
      </c>
      <c r="F290" t="inlineStr">
        <is>
          <t>GÄVLEBORGS LÄN</t>
        </is>
      </c>
      <c r="G290" t="inlineStr">
        <is>
          <t>NORDANSTIG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46271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46271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44560</v>
      </c>
      <c r="E293" s="1" t="n">
        <v>46271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46271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46271</v>
      </c>
      <c r="F295" t="inlineStr">
        <is>
          <t>GÄVLEBORGS LÄN</t>
        </is>
      </c>
      <c r="G295" t="inlineStr">
        <is>
          <t>NORDANSTIG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46271</v>
      </c>
      <c r="F296" t="inlineStr">
        <is>
          <t>GÄVLEBORGS LÄN</t>
        </is>
      </c>
      <c r="G296" t="inlineStr">
        <is>
          <t>NORDANSTIG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55948-2024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45623</v>
      </c>
      <c r="E297" s="1" t="n">
        <v>46271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45839</v>
      </c>
      <c r="E298" s="1" t="n">
        <v>46271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46271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40104-2024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45554</v>
      </c>
      <c r="E300" s="1" t="n">
        <v>46271</v>
      </c>
      <c r="F300" t="inlineStr">
        <is>
          <t>GÄVLEBORGS LÄN</t>
        </is>
      </c>
      <c r="G300" t="inlineStr">
        <is>
          <t>NORDANSTIG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46271</v>
      </c>
      <c r="F301" t="inlineStr">
        <is>
          <t>GÄVLEBORGS LÄN</t>
        </is>
      </c>
      <c r="G301" t="inlineStr">
        <is>
          <t>NORDANSTIG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46271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46271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46271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46271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45183</v>
      </c>
      <c r="E306" s="1" t="n">
        <v>46271</v>
      </c>
      <c r="F306" t="inlineStr">
        <is>
          <t>GÄVLEBORGS LÄN</t>
        </is>
      </c>
      <c r="G306" t="inlineStr">
        <is>
          <t>NORDANSTIG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46271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46271</v>
      </c>
      <c r="F308" t="inlineStr">
        <is>
          <t>GÄVLEBORGS LÄN</t>
        </is>
      </c>
      <c r="G308" t="inlineStr">
        <is>
          <t>NORDANSTIG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59930-2024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45642</v>
      </c>
      <c r="E309" s="1" t="n">
        <v>46271</v>
      </c>
      <c r="F309" t="inlineStr">
        <is>
          <t>GÄVLEBORGS LÄN</t>
        </is>
      </c>
      <c r="G309" t="inlineStr">
        <is>
          <t>NORDANSTIG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46271</v>
      </c>
      <c r="F310" t="inlineStr">
        <is>
          <t>GÄVLEBORGS LÄN</t>
        </is>
      </c>
      <c r="G310" t="inlineStr">
        <is>
          <t>NORDANSTIG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46271</v>
      </c>
      <c r="F311" t="inlineStr">
        <is>
          <t>GÄVLEBORGS LÄN</t>
        </is>
      </c>
      <c r="G311" t="inlineStr">
        <is>
          <t>NORDANSTIG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46271</v>
      </c>
      <c r="F312" t="inlineStr">
        <is>
          <t>GÄVLEBORGS LÄN</t>
        </is>
      </c>
      <c r="G312" t="inlineStr">
        <is>
          <t>NORDANSTIG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46271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46271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44781</v>
      </c>
      <c r="E315" s="1" t="n">
        <v>46271</v>
      </c>
      <c r="F315" t="inlineStr">
        <is>
          <t>GÄVLEBORGS LÄN</t>
        </is>
      </c>
      <c r="G315" t="inlineStr">
        <is>
          <t>NORDANSTIG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46271</v>
      </c>
      <c r="F316" t="inlineStr">
        <is>
          <t>GÄVLEBORGS LÄN</t>
        </is>
      </c>
      <c r="G316" t="inlineStr">
        <is>
          <t>NORDANSTIG</t>
        </is>
      </c>
      <c r="H316" t="inlineStr">
        <is>
          <t>SCA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45902-2025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45923</v>
      </c>
      <c r="E317" s="1" t="n">
        <v>46271</v>
      </c>
      <c r="F317" t="inlineStr">
        <is>
          <t>GÄVLEBORGS LÄN</t>
        </is>
      </c>
      <c r="G317" t="inlineStr">
        <is>
          <t>NORDANSTIG</t>
        </is>
      </c>
      <c r="H317" t="inlineStr">
        <is>
          <t>SCA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46271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46271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46271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46271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46271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46271</v>
      </c>
      <c r="F323" t="inlineStr">
        <is>
          <t>GÄVLEBORGS LÄN</t>
        </is>
      </c>
      <c r="G323" t="inlineStr">
        <is>
          <t>NORDANSTIG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46271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46271</v>
      </c>
      <c r="F325" t="inlineStr">
        <is>
          <t>GÄVLEBORGS LÄN</t>
        </is>
      </c>
      <c r="G325" t="inlineStr">
        <is>
          <t>NORDANSTIG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46271</v>
      </c>
      <c r="F326" t="inlineStr">
        <is>
          <t>GÄVLEBORGS LÄN</t>
        </is>
      </c>
      <c r="G326" t="inlineStr">
        <is>
          <t>NORDANSTIG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46271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46271</v>
      </c>
      <c r="F328" t="inlineStr">
        <is>
          <t>GÄVLEBORGS LÄN</t>
        </is>
      </c>
      <c r="G328" t="inlineStr">
        <is>
          <t>NORDANSTIG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46271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46271</v>
      </c>
      <c r="F330" t="inlineStr">
        <is>
          <t>GÄVLEBORGS LÄN</t>
        </is>
      </c>
      <c r="G330" t="inlineStr">
        <is>
          <t>NORDANSTIG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46271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46271</v>
      </c>
      <c r="F332" t="inlineStr">
        <is>
          <t>GÄVLEBORGS LÄN</t>
        </is>
      </c>
      <c r="G332" t="inlineStr">
        <is>
          <t>NORDANSTIG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46271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45848</v>
      </c>
      <c r="E334" s="1" t="n">
        <v>46271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46271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45131</v>
      </c>
      <c r="E336" s="1" t="n">
        <v>46271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45848</v>
      </c>
      <c r="E337" s="1" t="n">
        <v>46271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46271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46271</v>
      </c>
      <c r="F339" t="inlineStr">
        <is>
          <t>GÄVLEBORGS LÄN</t>
        </is>
      </c>
      <c r="G339" t="inlineStr">
        <is>
          <t>NORDANSTIG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46271</v>
      </c>
      <c r="F340" t="inlineStr">
        <is>
          <t>GÄVLEBORGS LÄN</t>
        </is>
      </c>
      <c r="G340" t="inlineStr">
        <is>
          <t>NORDANSTIG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46271</v>
      </c>
      <c r="F341" t="inlineStr">
        <is>
          <t>GÄVLEBORGS LÄN</t>
        </is>
      </c>
      <c r="G341" t="inlineStr">
        <is>
          <t>NORDANSTIG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46271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46271</v>
      </c>
      <c r="F343" t="inlineStr">
        <is>
          <t>GÄVLEBORGS LÄN</t>
        </is>
      </c>
      <c r="G343" t="inlineStr">
        <is>
          <t>NORDANSTIG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46271</v>
      </c>
      <c r="F344" t="inlineStr">
        <is>
          <t>GÄVLEBORGS LÄN</t>
        </is>
      </c>
      <c r="G344" t="inlineStr">
        <is>
          <t>NORDANSTIG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46271</v>
      </c>
      <c r="F345" t="inlineStr">
        <is>
          <t>GÄVLEBORGS LÄN</t>
        </is>
      </c>
      <c r="G345" t="inlineStr">
        <is>
          <t>NORDANSTIG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46271</v>
      </c>
      <c r="F346" t="inlineStr">
        <is>
          <t>GÄVLEBORGS LÄN</t>
        </is>
      </c>
      <c r="G346" t="inlineStr">
        <is>
          <t>NORDANSTIG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30940-2022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44768</v>
      </c>
      <c r="E347" s="1" t="n">
        <v>46271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46271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45860</v>
      </c>
      <c r="E349" s="1" t="n">
        <v>46271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46271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46271</v>
      </c>
      <c r="F351" t="inlineStr">
        <is>
          <t>GÄVLEBORGS LÄN</t>
        </is>
      </c>
      <c r="G351" t="inlineStr">
        <is>
          <t>NORDANSTIG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46271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45859</v>
      </c>
      <c r="E353" s="1" t="n">
        <v>46271</v>
      </c>
      <c r="F353" t="inlineStr">
        <is>
          <t>GÄVLEBORGS LÄN</t>
        </is>
      </c>
      <c r="G353" t="inlineStr">
        <is>
          <t>NORDANSTIG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46271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46271</v>
      </c>
      <c r="F355" t="inlineStr">
        <is>
          <t>GÄVLEBORGS LÄN</t>
        </is>
      </c>
      <c r="G355" t="inlineStr">
        <is>
          <t>NORDANSTIG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46271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46271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46271</v>
      </c>
      <c r="F358" t="inlineStr">
        <is>
          <t>GÄVLEBORGS LÄN</t>
        </is>
      </c>
      <c r="G358" t="inlineStr">
        <is>
          <t>NORDANSTIG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46271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46271</v>
      </c>
      <c r="F360" t="inlineStr">
        <is>
          <t>GÄVLEBORGS LÄN</t>
        </is>
      </c>
      <c r="G360" t="inlineStr">
        <is>
          <t>NORDANSTIG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46271</v>
      </c>
      <c r="F361" t="inlineStr">
        <is>
          <t>GÄVLEBORGS LÄN</t>
        </is>
      </c>
      <c r="G361" t="inlineStr">
        <is>
          <t>NORDANSTIG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46271</v>
      </c>
      <c r="F362" t="inlineStr">
        <is>
          <t>GÄVLEBORGS LÄN</t>
        </is>
      </c>
      <c r="G362" t="inlineStr">
        <is>
          <t>NORDANSTIG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46271</v>
      </c>
      <c r="F363" t="inlineStr">
        <is>
          <t>GÄVLEBORGS LÄN</t>
        </is>
      </c>
      <c r="G363" t="inlineStr">
        <is>
          <t>NORDANSTIG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46271</v>
      </c>
      <c r="F364" t="inlineStr">
        <is>
          <t>GÄVLEBORGS LÄN</t>
        </is>
      </c>
      <c r="G364" t="inlineStr">
        <is>
          <t>NORDANSTIG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46271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46271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45463</v>
      </c>
      <c r="E367" s="1" t="n">
        <v>46271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46271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46271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46271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46271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46271</v>
      </c>
      <c r="F372" t="inlineStr">
        <is>
          <t>GÄVLEBORGS LÄN</t>
        </is>
      </c>
      <c r="G372" t="inlineStr">
        <is>
          <t>NORDANSTIG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46271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46271</v>
      </c>
      <c r="F374" t="inlineStr">
        <is>
          <t>GÄVLEBORGS LÄN</t>
        </is>
      </c>
      <c r="G374" t="inlineStr">
        <is>
          <t>NORDANSTIG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46271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46271</v>
      </c>
      <c r="F376" t="inlineStr">
        <is>
          <t>GÄVLEBORGS LÄN</t>
        </is>
      </c>
      <c r="G376" t="inlineStr">
        <is>
          <t>NORDANSTIG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46271</v>
      </c>
      <c r="F377" t="inlineStr">
        <is>
          <t>GÄVLEBORGS LÄN</t>
        </is>
      </c>
      <c r="G377" t="inlineStr">
        <is>
          <t>NORDANSTIG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46271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46271</v>
      </c>
      <c r="F379" t="inlineStr">
        <is>
          <t>GÄVLEBORGS LÄN</t>
        </is>
      </c>
      <c r="G379" t="inlineStr">
        <is>
          <t>NORDANSTIG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46271</v>
      </c>
      <c r="F380" t="inlineStr">
        <is>
          <t>GÄVLEBORGS LÄN</t>
        </is>
      </c>
      <c r="G380" t="inlineStr">
        <is>
          <t>NORDANSTIG</t>
        </is>
      </c>
      <c r="I380" t="n">
        <v>21.1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46271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46039</v>
      </c>
      <c r="E382" s="1" t="n">
        <v>46271</v>
      </c>
      <c r="F382" t="inlineStr">
        <is>
          <t>GÄVLEBORGS LÄN</t>
        </is>
      </c>
      <c r="G382" t="inlineStr">
        <is>
          <t>NORDANSTIG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46271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46271</v>
      </c>
      <c r="F384" t="inlineStr">
        <is>
          <t>GÄVLEBORGS LÄN</t>
        </is>
      </c>
      <c r="G384" t="inlineStr">
        <is>
          <t>NORDANSTIG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46271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46271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46271</v>
      </c>
      <c r="F387" t="inlineStr">
        <is>
          <t>GÄVLEBORGS LÄN</t>
        </is>
      </c>
      <c r="G387" t="inlineStr">
        <is>
          <t>NORDANSTIG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46271</v>
      </c>
      <c r="F388" t="inlineStr">
        <is>
          <t>GÄVLEBORGS LÄN</t>
        </is>
      </c>
      <c r="G388" t="inlineStr">
        <is>
          <t>NORDANSTIG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46271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46271</v>
      </c>
      <c r="F390" t="inlineStr">
        <is>
          <t>GÄVLEBORGS LÄN</t>
        </is>
      </c>
      <c r="G390" t="inlineStr">
        <is>
          <t>NORDANSTIG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46271</v>
      </c>
      <c r="F391" t="inlineStr">
        <is>
          <t>GÄVLEBORGS LÄN</t>
        </is>
      </c>
      <c r="G391" t="inlineStr">
        <is>
          <t>NORDANSTIG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46271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46271</v>
      </c>
      <c r="F393" t="inlineStr">
        <is>
          <t>GÄVLEBORGS LÄN</t>
        </is>
      </c>
      <c r="G393" t="inlineStr">
        <is>
          <t>NORDANSTIG</t>
        </is>
      </c>
      <c r="I393" t="n">
        <v>24.7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46271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46271</v>
      </c>
      <c r="F395" t="inlineStr">
        <is>
          <t>GÄVLEBORGS LÄN</t>
        </is>
      </c>
      <c r="G395" t="inlineStr">
        <is>
          <t>NORDANSTIG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46271</v>
      </c>
      <c r="F396" t="inlineStr">
        <is>
          <t>GÄVLEBORGS LÄN</t>
        </is>
      </c>
      <c r="G396" t="inlineStr">
        <is>
          <t>NORDANSTIG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46271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45950</v>
      </c>
      <c r="E398" s="1" t="n">
        <v>46271</v>
      </c>
      <c r="F398" t="inlineStr">
        <is>
          <t>GÄVLEBORGS LÄN</t>
        </is>
      </c>
      <c r="G398" t="inlineStr">
        <is>
          <t>NORDANSTIG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44664</v>
      </c>
      <c r="E399" s="1" t="n">
        <v>46271</v>
      </c>
      <c r="F399" t="inlineStr">
        <is>
          <t>GÄVLEBORGS LÄN</t>
        </is>
      </c>
      <c r="G399" t="inlineStr">
        <is>
          <t>NORDANSTIG</t>
        </is>
      </c>
      <c r="H399" t="inlineStr">
        <is>
          <t>SCA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46271</v>
      </c>
      <c r="F400" t="inlineStr">
        <is>
          <t>GÄVLEBORGS LÄN</t>
        </is>
      </c>
      <c r="G400" t="inlineStr">
        <is>
          <t>NORDANSTIG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45176</v>
      </c>
      <c r="E401" s="1" t="n">
        <v>46271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46271</v>
      </c>
      <c r="F402" t="inlineStr">
        <is>
          <t>GÄVLEBORGS LÄN</t>
        </is>
      </c>
      <c r="G402" t="inlineStr">
        <is>
          <t>NORDANSTIG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46271</v>
      </c>
      <c r="F403" t="inlineStr">
        <is>
          <t>GÄVLEBORGS LÄN</t>
        </is>
      </c>
      <c r="G403" t="inlineStr">
        <is>
          <t>NORDANSTIG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46271</v>
      </c>
      <c r="F404" t="inlineStr">
        <is>
          <t>GÄVLEBORGS LÄN</t>
        </is>
      </c>
      <c r="G404" t="inlineStr">
        <is>
          <t>NORDANSTIG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45951</v>
      </c>
      <c r="E405" s="1" t="n">
        <v>46271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46271</v>
      </c>
      <c r="F406" t="inlineStr">
        <is>
          <t>GÄVLEBORGS LÄN</t>
        </is>
      </c>
      <c r="G406" t="inlineStr">
        <is>
          <t>NORDANSTIG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46271</v>
      </c>
      <c r="F407" t="inlineStr">
        <is>
          <t>GÄVLEBORGS LÄN</t>
        </is>
      </c>
      <c r="G407" t="inlineStr">
        <is>
          <t>NORDANSTIG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46271</v>
      </c>
      <c r="F408" t="inlineStr">
        <is>
          <t>GÄVLEBORGS LÄN</t>
        </is>
      </c>
      <c r="G408" t="inlineStr">
        <is>
          <t>NORDANSTIG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46271</v>
      </c>
      <c r="F409" t="inlineStr">
        <is>
          <t>GÄVLEBORGS LÄN</t>
        </is>
      </c>
      <c r="G409" t="inlineStr">
        <is>
          <t>NORDANSTIG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46271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46271</v>
      </c>
      <c r="F411" t="inlineStr">
        <is>
          <t>GÄVLEBORGS LÄN</t>
        </is>
      </c>
      <c r="G411" t="inlineStr">
        <is>
          <t>NORDANSTIG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46271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46271</v>
      </c>
      <c r="F413" t="inlineStr">
        <is>
          <t>GÄVLEBORGS LÄN</t>
        </is>
      </c>
      <c r="G413" t="inlineStr">
        <is>
          <t>NORDANSTIG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37848-2025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45881</v>
      </c>
      <c r="E414" s="1" t="n">
        <v>46271</v>
      </c>
      <c r="F414" t="inlineStr">
        <is>
          <t>GÄVLEBORGS LÄN</t>
        </is>
      </c>
      <c r="G414" t="inlineStr">
        <is>
          <t>NORDANSTIG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46271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46271</v>
      </c>
      <c r="F416" t="inlineStr">
        <is>
          <t>GÄVLEBORGS LÄN</t>
        </is>
      </c>
      <c r="G416" t="inlineStr">
        <is>
          <t>NORDANSTIG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46271</v>
      </c>
      <c r="F417" t="inlineStr">
        <is>
          <t>GÄVLEBORGS LÄN</t>
        </is>
      </c>
      <c r="G417" t="inlineStr">
        <is>
          <t>NORDANSTIG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46271</v>
      </c>
      <c r="F418" t="inlineStr">
        <is>
          <t>GÄVLEBORGS LÄN</t>
        </is>
      </c>
      <c r="G418" t="inlineStr">
        <is>
          <t>NORDANSTIG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46271</v>
      </c>
      <c r="F419" t="inlineStr">
        <is>
          <t>GÄVLEBORGS LÄN</t>
        </is>
      </c>
      <c r="G419" t="inlineStr">
        <is>
          <t>NORDANSTIG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46271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38295-2025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45883</v>
      </c>
      <c r="E421" s="1" t="n">
        <v>46271</v>
      </c>
      <c r="F421" t="inlineStr">
        <is>
          <t>GÄVLEBORGS LÄN</t>
        </is>
      </c>
      <c r="G421" t="inlineStr">
        <is>
          <t>NORDANSTIG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44573</v>
      </c>
      <c r="E422" s="1" t="n">
        <v>46271</v>
      </c>
      <c r="F422" t="inlineStr">
        <is>
          <t>GÄVLEBORGS LÄN</t>
        </is>
      </c>
      <c r="G422" t="inlineStr">
        <is>
          <t>NORDANSTIG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46271</v>
      </c>
      <c r="F423" t="inlineStr">
        <is>
          <t>GÄVLEBORGS LÄN</t>
        </is>
      </c>
      <c r="G423" t="inlineStr">
        <is>
          <t>NORDANSTIG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37563-2025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45880</v>
      </c>
      <c r="E424" s="1" t="n">
        <v>46271</v>
      </c>
      <c r="F424" t="inlineStr">
        <is>
          <t>GÄVLEBORGS LÄN</t>
        </is>
      </c>
      <c r="G424" t="inlineStr">
        <is>
          <t>NORDANSTIG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44945</v>
      </c>
      <c r="E425" s="1" t="n">
        <v>46271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46271</v>
      </c>
      <c r="F426" t="inlineStr">
        <is>
          <t>GÄVLEBORGS LÄN</t>
        </is>
      </c>
      <c r="G426" t="inlineStr">
        <is>
          <t>NORDANSTIG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45882</v>
      </c>
      <c r="E427" s="1" t="n">
        <v>46271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46271</v>
      </c>
      <c r="F428" t="inlineStr">
        <is>
          <t>GÄVLEBORGS LÄN</t>
        </is>
      </c>
      <c r="G428" t="inlineStr">
        <is>
          <t>NORDANSTIG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46271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46271</v>
      </c>
      <c r="F430" t="inlineStr">
        <is>
          <t>GÄVLEBORGS LÄN</t>
        </is>
      </c>
      <c r="G430" t="inlineStr">
        <is>
          <t>NORDANSTIG</t>
        </is>
      </c>
      <c r="I430" t="n">
        <v>15.3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45883</v>
      </c>
      <c r="E431" s="1" t="n">
        <v>46271</v>
      </c>
      <c r="F431" t="inlineStr">
        <is>
          <t>GÄVLEBORGS LÄN</t>
        </is>
      </c>
      <c r="G431" t="inlineStr">
        <is>
          <t>NORDANSTIG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46271</v>
      </c>
      <c r="F432" t="inlineStr">
        <is>
          <t>GÄVLEBORGS LÄN</t>
        </is>
      </c>
      <c r="G432" t="inlineStr">
        <is>
          <t>NORDANSTIG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46271</v>
      </c>
      <c r="F433" t="inlineStr">
        <is>
          <t>GÄVLEBORGS LÄN</t>
        </is>
      </c>
      <c r="G433" t="inlineStr">
        <is>
          <t>NORDANSTIG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46271</v>
      </c>
      <c r="F434" t="inlineStr">
        <is>
          <t>GÄVLEBORGS LÄN</t>
        </is>
      </c>
      <c r="G434" t="inlineStr">
        <is>
          <t>NORDANSTIG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46271</v>
      </c>
      <c r="F435" t="inlineStr">
        <is>
          <t>GÄVLEBORGS LÄN</t>
        </is>
      </c>
      <c r="G435" t="inlineStr">
        <is>
          <t>NORDANSTIG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46271</v>
      </c>
      <c r="F436" t="inlineStr">
        <is>
          <t>GÄVLEBORGS LÄN</t>
        </is>
      </c>
      <c r="G436" t="inlineStr">
        <is>
          <t>NORDANSTIG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46271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46271</v>
      </c>
      <c r="F438" t="inlineStr">
        <is>
          <t>GÄVLEBORGS LÄN</t>
        </is>
      </c>
      <c r="G438" t="inlineStr">
        <is>
          <t>NORDANSTIG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46271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46271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46271</v>
      </c>
      <c r="F441" t="inlineStr">
        <is>
          <t>GÄVLEBORGS LÄN</t>
        </is>
      </c>
      <c r="G441" t="inlineStr">
        <is>
          <t>NORDANSTIG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46271</v>
      </c>
      <c r="F442" t="inlineStr">
        <is>
          <t>GÄVLEBORGS LÄN</t>
        </is>
      </c>
      <c r="G442" t="inlineStr">
        <is>
          <t>NORDANSTIG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46053</v>
      </c>
      <c r="E443" s="1" t="n">
        <v>46271</v>
      </c>
      <c r="F443" t="inlineStr">
        <is>
          <t>GÄVLEBORGS LÄN</t>
        </is>
      </c>
      <c r="G443" t="inlineStr">
        <is>
          <t>NORDANSTIG</t>
        </is>
      </c>
      <c r="I443" t="n">
        <v>45.3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46271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46271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46271</v>
      </c>
      <c r="F446" t="inlineStr">
        <is>
          <t>GÄVLEBORGS LÄN</t>
        </is>
      </c>
      <c r="G446" t="inlineStr">
        <is>
          <t>NORDANSTIG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46271</v>
      </c>
      <c r="F447" t="inlineStr">
        <is>
          <t>GÄVLEBORGS LÄN</t>
        </is>
      </c>
      <c r="G447" t="inlineStr">
        <is>
          <t>NORDANSTIG</t>
        </is>
      </c>
      <c r="I447" t="n">
        <v>10.2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46053</v>
      </c>
      <c r="E448" s="1" t="n">
        <v>46271</v>
      </c>
      <c r="F448" t="inlineStr">
        <is>
          <t>GÄVLEBORGS LÄN</t>
        </is>
      </c>
      <c r="G448" t="inlineStr">
        <is>
          <t>NORDANSTIG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38610-2025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45884</v>
      </c>
      <c r="E449" s="1" t="n">
        <v>46271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46271</v>
      </c>
      <c r="F450" t="inlineStr">
        <is>
          <t>GÄVLEBORGS LÄN</t>
        </is>
      </c>
      <c r="G450" t="inlineStr">
        <is>
          <t>NORDANSTIG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45958</v>
      </c>
      <c r="E451" s="1" t="n">
        <v>46271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46271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45434</v>
      </c>
      <c r="E453" s="1" t="n">
        <v>46271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46271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44748</v>
      </c>
      <c r="E455" s="1" t="n">
        <v>46271</v>
      </c>
      <c r="F455" t="inlineStr">
        <is>
          <t>GÄVLEBORGS LÄN</t>
        </is>
      </c>
      <c r="G455" t="inlineStr">
        <is>
          <t>NORDANSTIG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46271</v>
      </c>
      <c r="F456" t="inlineStr">
        <is>
          <t>GÄVLEBORGS LÄN</t>
        </is>
      </c>
      <c r="G456" t="inlineStr">
        <is>
          <t>NORDANSTIG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46271</v>
      </c>
      <c r="F457" t="inlineStr">
        <is>
          <t>GÄVLEBORGS LÄN</t>
        </is>
      </c>
      <c r="G457" t="inlineStr">
        <is>
          <t>NORDANSTIG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46271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45044</v>
      </c>
      <c r="E459" s="1" t="n">
        <v>46271</v>
      </c>
      <c r="F459" t="inlineStr">
        <is>
          <t>GÄVLEBORGS LÄN</t>
        </is>
      </c>
      <c r="G459" t="inlineStr">
        <is>
          <t>NORDANSTIG</t>
        </is>
      </c>
      <c r="I459" t="n">
        <v>26.6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46271</v>
      </c>
      <c r="F460" t="inlineStr">
        <is>
          <t>GÄVLEBORGS LÄN</t>
        </is>
      </c>
      <c r="G460" t="inlineStr">
        <is>
          <t>NORDANSTIG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46271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46271</v>
      </c>
      <c r="F462" t="inlineStr">
        <is>
          <t>GÄVLEBORGS LÄN</t>
        </is>
      </c>
      <c r="G462" t="inlineStr">
        <is>
          <t>NORDANSTIG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45297</v>
      </c>
      <c r="E463" s="1" t="n">
        <v>46271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46271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11113-2026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46079</v>
      </c>
      <c r="E465" s="1" t="n">
        <v>46271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45971</v>
      </c>
      <c r="E466" s="1" t="n">
        <v>46271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46271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46271</v>
      </c>
      <c r="F468" t="inlineStr">
        <is>
          <t>GÄVLEBORGS LÄN</t>
        </is>
      </c>
      <c r="G468" t="inlineStr">
        <is>
          <t>NORDANSTIG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46271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46271</v>
      </c>
      <c r="F470" t="inlineStr">
        <is>
          <t>GÄVLEBORGS LÄN</t>
        </is>
      </c>
      <c r="G470" t="inlineStr">
        <is>
          <t>NORDANSTIG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46271</v>
      </c>
      <c r="F471" t="inlineStr">
        <is>
          <t>GÄVLEBORGS LÄN</t>
        </is>
      </c>
      <c r="G471" t="inlineStr">
        <is>
          <t>NORDANSTIG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46271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46271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46271</v>
      </c>
      <c r="F474" t="inlineStr">
        <is>
          <t>GÄVLEBORGS LÄN</t>
        </is>
      </c>
      <c r="G474" t="inlineStr">
        <is>
          <t>NORDANSTIG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45971</v>
      </c>
      <c r="E475" s="1" t="n">
        <v>46271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46271</v>
      </c>
      <c r="F476" t="inlineStr">
        <is>
          <t>GÄVLEBORGS LÄN</t>
        </is>
      </c>
      <c r="G476" t="inlineStr">
        <is>
          <t>NORDANSTIG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46271</v>
      </c>
      <c r="F477" t="inlineStr">
        <is>
          <t>GÄVLEBORGS LÄN</t>
        </is>
      </c>
      <c r="G477" t="inlineStr">
        <is>
          <t>NORDANSTIG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45232</v>
      </c>
      <c r="E478" s="1" t="n">
        <v>46271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7944-2026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46063</v>
      </c>
      <c r="E479" s="1" t="n">
        <v>46271</v>
      </c>
      <c r="F479" t="inlineStr">
        <is>
          <t>GÄVLEBORGS LÄN</t>
        </is>
      </c>
      <c r="G479" t="inlineStr">
        <is>
          <t>NORDANSTIG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46271</v>
      </c>
      <c r="F480" t="inlineStr">
        <is>
          <t>GÄVLEBORGS LÄN</t>
        </is>
      </c>
      <c r="G480" t="inlineStr">
        <is>
          <t>NORDANSTIG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46271</v>
      </c>
      <c r="F481" t="inlineStr">
        <is>
          <t>GÄVLEBORGS LÄN</t>
        </is>
      </c>
      <c r="G481" t="inlineStr">
        <is>
          <t>NORDANSTIG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46271</v>
      </c>
      <c r="F482" t="inlineStr">
        <is>
          <t>GÄVLEBORGS LÄN</t>
        </is>
      </c>
      <c r="G482" t="inlineStr">
        <is>
          <t>NORDANSTIG</t>
        </is>
      </c>
      <c r="I482" t="n">
        <v>10.5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46271</v>
      </c>
      <c r="F483" t="inlineStr">
        <is>
          <t>GÄVLEBORGS LÄN</t>
        </is>
      </c>
      <c r="G483" t="inlineStr">
        <is>
          <t>NORDANSTIG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46271</v>
      </c>
      <c r="F484" t="inlineStr">
        <is>
          <t>GÄVLEBORGS LÄN</t>
        </is>
      </c>
      <c r="G484" t="inlineStr">
        <is>
          <t>NORDANSTIG</t>
        </is>
      </c>
      <c r="I484" t="n">
        <v>38.1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46271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46271</v>
      </c>
      <c r="F486" t="inlineStr">
        <is>
          <t>GÄVLEBORGS LÄN</t>
        </is>
      </c>
      <c r="G486" t="inlineStr">
        <is>
          <t>NORDANSTIG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46271</v>
      </c>
      <c r="F487" t="inlineStr">
        <is>
          <t>GÄVLEBORGS LÄN</t>
        </is>
      </c>
      <c r="G487" t="inlineStr">
        <is>
          <t>NORDANSTIG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46271</v>
      </c>
      <c r="F488" t="inlineStr">
        <is>
          <t>GÄVLEBORGS LÄN</t>
        </is>
      </c>
      <c r="G488" t="inlineStr">
        <is>
          <t>NORDANSTIG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56056-2025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46271</v>
      </c>
      <c r="F489" t="inlineStr">
        <is>
          <t>GÄVLEBORGS LÄN</t>
        </is>
      </c>
      <c r="G489" t="inlineStr">
        <is>
          <t>NORDANSTIG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46271</v>
      </c>
      <c r="F490" t="inlineStr">
        <is>
          <t>GÄVLEBORGS LÄN</t>
        </is>
      </c>
      <c r="G490" t="inlineStr">
        <is>
          <t>NORDANSTIG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46271</v>
      </c>
      <c r="F491" t="inlineStr">
        <is>
          <t>GÄVLEBORGS LÄN</t>
        </is>
      </c>
      <c r="G491" t="inlineStr">
        <is>
          <t>NORDANSTIG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46271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46271</v>
      </c>
      <c r="F493" t="inlineStr">
        <is>
          <t>GÄVLEBORGS LÄN</t>
        </is>
      </c>
      <c r="G493" t="inlineStr">
        <is>
          <t>NORDANSTIG</t>
        </is>
      </c>
      <c r="I493" t="n">
        <v>19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46271</v>
      </c>
      <c r="F494" t="inlineStr">
        <is>
          <t>GÄVLEBORGS LÄN</t>
        </is>
      </c>
      <c r="G494" t="inlineStr">
        <is>
          <t>NORDANSTIG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44886</v>
      </c>
      <c r="E495" s="1" t="n">
        <v>46271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46271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45546</v>
      </c>
      <c r="E497" s="1" t="n">
        <v>46271</v>
      </c>
      <c r="F497" t="inlineStr">
        <is>
          <t>GÄVLEBORGS LÄN</t>
        </is>
      </c>
      <c r="G497" t="inlineStr">
        <is>
          <t>NORDANSTIG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46271</v>
      </c>
      <c r="F498" t="inlineStr">
        <is>
          <t>GÄVLEBORGS LÄN</t>
        </is>
      </c>
      <c r="G498" t="inlineStr">
        <is>
          <t>NORDANSTIG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46271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46271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45974</v>
      </c>
      <c r="E501" s="1" t="n">
        <v>46271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56191-2025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45974</v>
      </c>
      <c r="E502" s="1" t="n">
        <v>46271</v>
      </c>
      <c r="F502" t="inlineStr">
        <is>
          <t>GÄVLEBORGS LÄN</t>
        </is>
      </c>
      <c r="G502" t="inlineStr">
        <is>
          <t>NORDANSTIG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46271</v>
      </c>
      <c r="F503" t="inlineStr">
        <is>
          <t>GÄVLEBORGS LÄN</t>
        </is>
      </c>
      <c r="G503" t="inlineStr">
        <is>
          <t>NORDANSTIG</t>
        </is>
      </c>
      <c r="H503" t="inlineStr">
        <is>
          <t>SCA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46271</v>
      </c>
      <c r="F504" t="inlineStr">
        <is>
          <t>GÄVLEBORGS LÄN</t>
        </is>
      </c>
      <c r="G504" t="inlineStr">
        <is>
          <t>NORDANSTIG</t>
        </is>
      </c>
      <c r="H504" t="inlineStr">
        <is>
          <t>Naturvårdsverket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46271</v>
      </c>
      <c r="F505" t="inlineStr">
        <is>
          <t>GÄVLEBORGS LÄN</t>
        </is>
      </c>
      <c r="G505" t="inlineStr">
        <is>
          <t>NORDANSTIG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46271</v>
      </c>
      <c r="F506" t="inlineStr">
        <is>
          <t>GÄVLEBORGS LÄN</t>
        </is>
      </c>
      <c r="G506" t="inlineStr">
        <is>
          <t>NORDANSTIG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46271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46271</v>
      </c>
      <c r="F508" t="inlineStr">
        <is>
          <t>GÄVLEBORGS LÄN</t>
        </is>
      </c>
      <c r="G508" t="inlineStr">
        <is>
          <t>NORDANSTIG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46271</v>
      </c>
      <c r="F509" t="inlineStr">
        <is>
          <t>GÄVLEBORGS LÄN</t>
        </is>
      </c>
      <c r="G509" t="inlineStr">
        <is>
          <t>NORDANSTIG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46271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46070</v>
      </c>
      <c r="E511" s="1" t="n">
        <v>46271</v>
      </c>
      <c r="F511" t="inlineStr">
        <is>
          <t>GÄVLEBORGS LÄN</t>
        </is>
      </c>
      <c r="G511" t="inlineStr">
        <is>
          <t>NORDANSTIG</t>
        </is>
      </c>
      <c r="I511" t="n">
        <v>15.6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46271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46271</v>
      </c>
      <c r="F513" t="inlineStr">
        <is>
          <t>GÄVLEBORGS LÄN</t>
        </is>
      </c>
      <c r="G513" t="inlineStr">
        <is>
          <t>NORDANSTIG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46271</v>
      </c>
      <c r="F514" t="inlineStr">
        <is>
          <t>GÄVLEBORGS LÄN</t>
        </is>
      </c>
      <c r="G514" t="inlineStr">
        <is>
          <t>NORDANSTIG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46271</v>
      </c>
      <c r="F515" t="inlineStr">
        <is>
          <t>GÄVLEBORGS LÄN</t>
        </is>
      </c>
      <c r="G515" t="inlineStr">
        <is>
          <t>NORDANSTIG</t>
        </is>
      </c>
      <c r="I515" t="n">
        <v>12.2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46271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57558-2025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45980</v>
      </c>
      <c r="E517" s="1" t="n">
        <v>46271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57559-2025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45980</v>
      </c>
      <c r="E518" s="1" t="n">
        <v>46271</v>
      </c>
      <c r="F518" t="inlineStr">
        <is>
          <t>GÄVLEBORGS LÄN</t>
        </is>
      </c>
      <c r="G518" t="inlineStr">
        <is>
          <t>NORDANSTIG</t>
        </is>
      </c>
      <c r="H518" t="inlineStr">
        <is>
          <t>SCA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46271</v>
      </c>
      <c r="F519" t="inlineStr">
        <is>
          <t>GÄVLEBORGS LÄN</t>
        </is>
      </c>
      <c r="G519" t="inlineStr">
        <is>
          <t>NORDANSTIG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46073</v>
      </c>
      <c r="E520" s="1" t="n">
        <v>46271</v>
      </c>
      <c r="F520" t="inlineStr">
        <is>
          <t>GÄVLEBORGS LÄN</t>
        </is>
      </c>
      <c r="G520" t="inlineStr">
        <is>
          <t>NORDANSTIG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46271</v>
      </c>
      <c r="F521" t="inlineStr">
        <is>
          <t>GÄVLEBORGS LÄN</t>
        </is>
      </c>
      <c r="G521" t="inlineStr">
        <is>
          <t>NORDANSTIG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46271</v>
      </c>
      <c r="F522" t="inlineStr">
        <is>
          <t>GÄVLEBORGS LÄN</t>
        </is>
      </c>
      <c r="G522" t="inlineStr">
        <is>
          <t>NORDANSTIG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46271</v>
      </c>
      <c r="F523" t="inlineStr">
        <is>
          <t>GÄVLEBORGS LÄN</t>
        </is>
      </c>
      <c r="G523" t="inlineStr">
        <is>
          <t>NORDANSTIG</t>
        </is>
      </c>
      <c r="H523" t="inlineStr">
        <is>
          <t>SCA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46271</v>
      </c>
      <c r="F524" t="inlineStr">
        <is>
          <t>GÄVLEBORGS LÄN</t>
        </is>
      </c>
      <c r="G524" t="inlineStr">
        <is>
          <t>NORDANSTIG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46271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46271</v>
      </c>
      <c r="F526" t="inlineStr">
        <is>
          <t>GÄVLEBORGS LÄN</t>
        </is>
      </c>
      <c r="G526" t="inlineStr">
        <is>
          <t>NORDANSTIG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44833</v>
      </c>
      <c r="E527" s="1" t="n">
        <v>46271</v>
      </c>
      <c r="F527" t="inlineStr">
        <is>
          <t>GÄVLEBORGS LÄN</t>
        </is>
      </c>
      <c r="G527" t="inlineStr">
        <is>
          <t>NORDANSTIG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46271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46271</v>
      </c>
      <c r="F529" t="inlineStr">
        <is>
          <t>GÄVLEBORGS LÄN</t>
        </is>
      </c>
      <c r="G529" t="inlineStr">
        <is>
          <t>NORDANSTIG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46271</v>
      </c>
      <c r="F530" t="inlineStr">
        <is>
          <t>GÄVLEBORGS LÄN</t>
        </is>
      </c>
      <c r="G530" t="inlineStr">
        <is>
          <t>NORDANSTIG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46271</v>
      </c>
      <c r="F531" t="inlineStr">
        <is>
          <t>GÄVLEBORGS LÄN</t>
        </is>
      </c>
      <c r="G531" t="inlineStr">
        <is>
          <t>NORDANSTIG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46271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46271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46271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46271</v>
      </c>
      <c r="F535" t="inlineStr">
        <is>
          <t>GÄVLEBORGS LÄN</t>
        </is>
      </c>
      <c r="G535" t="inlineStr">
        <is>
          <t>NORDANSTIG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44607</v>
      </c>
      <c r="E536" s="1" t="n">
        <v>46271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46271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59008-2025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45987</v>
      </c>
      <c r="E538" s="1" t="n">
        <v>46271</v>
      </c>
      <c r="F538" t="inlineStr">
        <is>
          <t>GÄVLEBORGS LÄN</t>
        </is>
      </c>
      <c r="G538" t="inlineStr">
        <is>
          <t>NORDANSTIG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44824</v>
      </c>
      <c r="E539" s="1" t="n">
        <v>46271</v>
      </c>
      <c r="F539" t="inlineStr">
        <is>
          <t>GÄVLEBORGS LÄN</t>
        </is>
      </c>
      <c r="G539" t="inlineStr">
        <is>
          <t>NORDANSTIG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13270-2022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44644</v>
      </c>
      <c r="E540" s="1" t="n">
        <v>46271</v>
      </c>
      <c r="F540" t="inlineStr">
        <is>
          <t>GÄVLEBORGS LÄN</t>
        </is>
      </c>
      <c r="G540" t="inlineStr">
        <is>
          <t>NORDANSTIG</t>
        </is>
      </c>
      <c r="I540" t="n">
        <v>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46271</v>
      </c>
      <c r="F541" t="inlineStr">
        <is>
          <t>GÄVLEBORGS LÄN</t>
        </is>
      </c>
      <c r="G541" t="inlineStr">
        <is>
          <t>NORDANSTIG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46271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46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46271</v>
      </c>
      <c r="F543" t="inlineStr">
        <is>
          <t>GÄVLEBORGS LÄN</t>
        </is>
      </c>
      <c r="G543" t="inlineStr">
        <is>
          <t>NORDANSTIG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42717-2024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46271</v>
      </c>
      <c r="F544" t="inlineStr">
        <is>
          <t>GÄVLEBORGS LÄN</t>
        </is>
      </c>
      <c r="G544" t="inlineStr">
        <is>
          <t>NORDANSTIG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45993</v>
      </c>
      <c r="E545" s="1" t="n">
        <v>46271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46271</v>
      </c>
      <c r="F546" t="inlineStr">
        <is>
          <t>GÄVLEBORGS LÄN</t>
        </is>
      </c>
      <c r="G546" t="inlineStr">
        <is>
          <t>NORDANSTIG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45489</v>
      </c>
      <c r="E547" s="1" t="n">
        <v>46271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46271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46271</v>
      </c>
      <c r="F549" t="inlineStr">
        <is>
          <t>GÄVLEBORGS LÄN</t>
        </is>
      </c>
      <c r="G549" t="inlineStr">
        <is>
          <t>NORDANSTIG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46271</v>
      </c>
      <c r="F550" t="inlineStr">
        <is>
          <t>GÄVLEBORGS LÄN</t>
        </is>
      </c>
      <c r="G550" t="inlineStr">
        <is>
          <t>NORDANSTIG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11307-2026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46271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46271</v>
      </c>
      <c r="F552" t="inlineStr">
        <is>
          <t>GÄVLEBORGS LÄN</t>
        </is>
      </c>
      <c r="G552" t="inlineStr">
        <is>
          <t>NORDANSTIG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46271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46271</v>
      </c>
      <c r="F554" t="inlineStr">
        <is>
          <t>GÄVLEBORGS LÄN</t>
        </is>
      </c>
      <c r="G554" t="inlineStr">
        <is>
          <t>NORDANSTIG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46000</v>
      </c>
      <c r="E555" s="1" t="n">
        <v>46271</v>
      </c>
      <c r="F555" t="inlineStr">
        <is>
          <t>GÄVLEBORGS LÄN</t>
        </is>
      </c>
      <c r="G555" t="inlineStr">
        <is>
          <t>NORDANSTIG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59912-2024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45641</v>
      </c>
      <c r="E556" s="1" t="n">
        <v>46271</v>
      </c>
      <c r="F556" t="inlineStr">
        <is>
          <t>GÄVLEBORGS LÄN</t>
        </is>
      </c>
      <c r="G556" t="inlineStr">
        <is>
          <t>NORDANSTIG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59930-2024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45642</v>
      </c>
      <c r="E557" s="1" t="n">
        <v>46271</v>
      </c>
      <c r="F557" t="inlineStr">
        <is>
          <t>GÄVLEBORGS LÄN</t>
        </is>
      </c>
      <c r="G557" t="inlineStr">
        <is>
          <t>NORDANSTIG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46271</v>
      </c>
      <c r="F558" t="inlineStr">
        <is>
          <t>GÄVLEBORGS LÄN</t>
        </is>
      </c>
      <c r="G558" t="inlineStr">
        <is>
          <t>NORDANSTIG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46271</v>
      </c>
      <c r="F559" t="inlineStr">
        <is>
          <t>GÄVLEBORGS LÄN</t>
        </is>
      </c>
      <c r="G559" t="inlineStr">
        <is>
          <t>NORDANSTIG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46271</v>
      </c>
      <c r="F560" t="inlineStr">
        <is>
          <t>GÄVLEBORGS LÄN</t>
        </is>
      </c>
      <c r="G560" t="inlineStr">
        <is>
          <t>NORDANSTIG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46271</v>
      </c>
      <c r="F561" t="inlineStr">
        <is>
          <t>GÄVLEBORGS LÄN</t>
        </is>
      </c>
      <c r="G561" t="inlineStr">
        <is>
          <t>NORDANSTIG</t>
        </is>
      </c>
      <c r="I561" t="n">
        <v>8.6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46271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46271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46271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46271</v>
      </c>
      <c r="F565" t="inlineStr">
        <is>
          <t>GÄVLEBORGS LÄN</t>
        </is>
      </c>
      <c r="G565" t="inlineStr">
        <is>
          <t>NORDANSTIG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46271</v>
      </c>
      <c r="F566" t="inlineStr">
        <is>
          <t>GÄVLEBORGS LÄN</t>
        </is>
      </c>
      <c r="G566" t="inlineStr">
        <is>
          <t>NORDANSTIG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46271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46271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62185-2025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46006</v>
      </c>
      <c r="E569" s="1" t="n">
        <v>46271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46271</v>
      </c>
      <c r="F570" t="inlineStr">
        <is>
          <t>GÄVLEBORGS LÄN</t>
        </is>
      </c>
      <c r="G570" t="inlineStr">
        <is>
          <t>NORDANSTIG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44915</v>
      </c>
      <c r="E571" s="1" t="n">
        <v>46271</v>
      </c>
      <c r="F571" t="inlineStr">
        <is>
          <t>GÄVLEBORGS LÄN</t>
        </is>
      </c>
      <c r="G571" t="inlineStr">
        <is>
          <t>NORDANSTIG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46271</v>
      </c>
      <c r="F572" t="inlineStr">
        <is>
          <t>GÄVLEBORGS LÄN</t>
        </is>
      </c>
      <c r="G572" t="inlineStr">
        <is>
          <t>NORDANSTIG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46271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46271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62833-2025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46008</v>
      </c>
      <c r="E575" s="1" t="n">
        <v>46271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SCA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46271</v>
      </c>
      <c r="F576" t="inlineStr">
        <is>
          <t>GÄVLEBORGS LÄN</t>
        </is>
      </c>
      <c r="G576" t="inlineStr">
        <is>
          <t>NORDANSTIG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46271</v>
      </c>
      <c r="F577" t="inlineStr">
        <is>
          <t>GÄVLEBORGS LÄN</t>
        </is>
      </c>
      <c r="G577" t="inlineStr">
        <is>
          <t>NORDANSTIG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46271</v>
      </c>
      <c r="F578" t="inlineStr">
        <is>
          <t>GÄVLEBORGS LÄN</t>
        </is>
      </c>
      <c r="G578" t="inlineStr">
        <is>
          <t>NORDANSTIG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46271</v>
      </c>
      <c r="F579" t="inlineStr">
        <is>
          <t>GÄVLEBORGS LÄN</t>
        </is>
      </c>
      <c r="G579" t="inlineStr">
        <is>
          <t>NORDANSTIG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46271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46271</v>
      </c>
      <c r="F581" t="inlineStr">
        <is>
          <t>GÄVLEBORGS LÄN</t>
        </is>
      </c>
      <c r="G581" t="inlineStr">
        <is>
          <t>NORDANSTIG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45313</v>
      </c>
      <c r="E582" s="1" t="n">
        <v>46271</v>
      </c>
      <c r="F582" t="inlineStr">
        <is>
          <t>GÄVLEBORGS LÄN</t>
        </is>
      </c>
      <c r="G582" t="inlineStr">
        <is>
          <t>NORDANSTIG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46271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46271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46271</v>
      </c>
      <c r="F585" t="inlineStr">
        <is>
          <t>GÄVLEBORGS LÄN</t>
        </is>
      </c>
      <c r="G585" t="inlineStr">
        <is>
          <t>NORDANSTIG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24106-2023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45079</v>
      </c>
      <c r="E586" s="1" t="n">
        <v>46271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45208</v>
      </c>
      <c r="E587" s="1" t="n">
        <v>46271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46271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46031</v>
      </c>
      <c r="E589" s="1" t="n">
        <v>46271</v>
      </c>
      <c r="F589" t="inlineStr">
        <is>
          <t>GÄVLEBORGS LÄN</t>
        </is>
      </c>
      <c r="G589" t="inlineStr">
        <is>
          <t>NORDANSTIG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46271</v>
      </c>
      <c r="F590" t="inlineStr">
        <is>
          <t>GÄVLEBORGS LÄN</t>
        </is>
      </c>
      <c r="G590" t="inlineStr">
        <is>
          <t>NORDANSTIG</t>
        </is>
      </c>
      <c r="I590" t="n">
        <v>11.3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46271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42780-2022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44832</v>
      </c>
      <c r="E592" s="1" t="n">
        <v>46271</v>
      </c>
      <c r="F592" t="inlineStr">
        <is>
          <t>GÄVLEBORGS LÄN</t>
        </is>
      </c>
      <c r="G592" t="inlineStr">
        <is>
          <t>NORDANSTIG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51740-2023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45222</v>
      </c>
      <c r="E593" s="1" t="n">
        <v>46271</v>
      </c>
      <c r="F593" t="inlineStr">
        <is>
          <t>GÄVLEBORGS LÄN</t>
        </is>
      </c>
      <c r="G593" t="inlineStr">
        <is>
          <t>NORDANSTIG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18529-2022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44686</v>
      </c>
      <c r="E594" s="1" t="n">
        <v>46271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44601</v>
      </c>
      <c r="E595" s="1" t="n">
        <v>46271</v>
      </c>
      <c r="F595" t="inlineStr">
        <is>
          <t>GÄVLEBORGS LÄN</t>
        </is>
      </c>
      <c r="G595" t="inlineStr">
        <is>
          <t>NORDANSTIG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46271</v>
      </c>
      <c r="F596" t="inlineStr">
        <is>
          <t>GÄVLEBORGS LÄN</t>
        </is>
      </c>
      <c r="G596" t="inlineStr">
        <is>
          <t>NORDANSTIG</t>
        </is>
      </c>
      <c r="I596" t="n">
        <v>16.7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46271</v>
      </c>
      <c r="F597" t="inlineStr">
        <is>
          <t>GÄVLEBORGS LÄN</t>
        </is>
      </c>
      <c r="G597" t="inlineStr">
        <is>
          <t>NORDANSTIG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21157-2022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44704</v>
      </c>
      <c r="E598" s="1" t="n">
        <v>46271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58876-2024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46271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46271</v>
      </c>
      <c r="F600" t="inlineStr">
        <is>
          <t>GÄVLEBORGS LÄN</t>
        </is>
      </c>
      <c r="G600" t="inlineStr">
        <is>
          <t>NORDANSTIG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46271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46271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46271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46271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46271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14415-2022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44652</v>
      </c>
      <c r="E606" s="1" t="n">
        <v>46271</v>
      </c>
      <c r="F606" t="inlineStr">
        <is>
          <t>GÄVLEBORGS LÄN</t>
        </is>
      </c>
      <c r="G606" t="inlineStr">
        <is>
          <t>NORDANSTIG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46271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46271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46271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56281-2024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45624</v>
      </c>
      <c r="E610" s="1" t="n">
        <v>46271</v>
      </c>
      <c r="F610" t="inlineStr">
        <is>
          <t>GÄVLEBORGS LÄN</t>
        </is>
      </c>
      <c r="G610" t="inlineStr">
        <is>
          <t>NORDANSTIG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45729</v>
      </c>
      <c r="E611" s="1" t="n">
        <v>46271</v>
      </c>
      <c r="F611" t="inlineStr">
        <is>
          <t>GÄVLEBORGS LÄN</t>
        </is>
      </c>
      <c r="G611" t="inlineStr">
        <is>
          <t>NORDANSTIG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46271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46271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32622-2022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44783</v>
      </c>
      <c r="E614" s="1" t="n">
        <v>46271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46271</v>
      </c>
      <c r="F615" t="inlineStr">
        <is>
          <t>GÄVLEBORGS LÄN</t>
        </is>
      </c>
      <c r="G615" t="inlineStr">
        <is>
          <t>NORDANSTIG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46104</v>
      </c>
      <c r="E616" s="1" t="n">
        <v>46271</v>
      </c>
      <c r="F616" t="inlineStr">
        <is>
          <t>GÄVLEBORGS LÄN</t>
        </is>
      </c>
      <c r="G616" t="inlineStr">
        <is>
          <t>NORDANSTIG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46125</v>
      </c>
      <c r="E617" s="1" t="n">
        <v>46271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45568</v>
      </c>
      <c r="E618" s="1" t="n">
        <v>46271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38298-2024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45545</v>
      </c>
      <c r="E619" s="1" t="n">
        <v>46271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36464-2024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45537</v>
      </c>
      <c r="E620" s="1" t="n">
        <v>46271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63145-2023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45273</v>
      </c>
      <c r="E621" s="1" t="n">
        <v>46271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45748</v>
      </c>
      <c r="E622" s="1" t="n">
        <v>46271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46271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9382-2022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44616</v>
      </c>
      <c r="E624" s="1" t="n">
        <v>46271</v>
      </c>
      <c r="F624" t="inlineStr">
        <is>
          <t>GÄVLEBORGS LÄN</t>
        </is>
      </c>
      <c r="G624" t="inlineStr">
        <is>
          <t>NORDANSTIG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46271</v>
      </c>
      <c r="F625" t="inlineStr">
        <is>
          <t>GÄVLEBORGS LÄN</t>
        </is>
      </c>
      <c r="G625" t="inlineStr">
        <is>
          <t>NORDANSTIG</t>
        </is>
      </c>
      <c r="H625" t="inlineStr">
        <is>
          <t>Kommuner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16184-2026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46111</v>
      </c>
      <c r="E626" s="1" t="n">
        <v>46271</v>
      </c>
      <c r="F626" t="inlineStr">
        <is>
          <t>GÄVLEBORGS LÄN</t>
        </is>
      </c>
      <c r="G626" t="inlineStr">
        <is>
          <t>NORDANSTIG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45020</v>
      </c>
      <c r="E627" s="1" t="n">
        <v>46271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45020</v>
      </c>
      <c r="E628" s="1" t="n">
        <v>46271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46271</v>
      </c>
      <c r="F629" t="inlineStr">
        <is>
          <t>GÄVLEBORGS LÄN</t>
        </is>
      </c>
      <c r="G629" t="inlineStr">
        <is>
          <t>NORDANSTIG</t>
        </is>
      </c>
      <c r="H629" t="inlineStr">
        <is>
          <t>Kommuner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46299-2023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45197</v>
      </c>
      <c r="E630" s="1" t="n">
        <v>46271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44987</v>
      </c>
      <c r="E631" s="1" t="n">
        <v>46271</v>
      </c>
      <c r="F631" t="inlineStr">
        <is>
          <t>GÄVLEBORGS LÄN</t>
        </is>
      </c>
      <c r="G631" t="inlineStr">
        <is>
          <t>NORDANSTIG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46271</v>
      </c>
      <c r="F632" t="inlineStr">
        <is>
          <t>GÄVLEBORGS LÄN</t>
        </is>
      </c>
      <c r="G632" t="inlineStr">
        <is>
          <t>NORDANSTIG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46271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34.8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46271</v>
      </c>
      <c r="F634" t="inlineStr">
        <is>
          <t>GÄVLEBORGS LÄN</t>
        </is>
      </c>
      <c r="G634" t="inlineStr">
        <is>
          <t>NORDANSTIG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46271</v>
      </c>
      <c r="F635" t="inlineStr">
        <is>
          <t>GÄVLEBORGS LÄN</t>
        </is>
      </c>
      <c r="G635" t="inlineStr">
        <is>
          <t>NORDANSTIG</t>
        </is>
      </c>
      <c r="H635" t="inlineStr">
        <is>
          <t>Kommuner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46271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46271</v>
      </c>
      <c r="F637" t="inlineStr">
        <is>
          <t>GÄVLEBORGS LÄN</t>
        </is>
      </c>
      <c r="G637" t="inlineStr">
        <is>
          <t>NORDANSTIG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45428</v>
      </c>
      <c r="E638" s="1" t="n">
        <v>46271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51842-2024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45607</v>
      </c>
      <c r="E639" s="1" t="n">
        <v>46271</v>
      </c>
      <c r="F639" t="inlineStr">
        <is>
          <t>GÄVLEBORGS LÄN</t>
        </is>
      </c>
      <c r="G639" t="inlineStr">
        <is>
          <t>NORDANSTIG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46271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46271</v>
      </c>
      <c r="F641" t="inlineStr">
        <is>
          <t>GÄVLEBORGS LÄN</t>
        </is>
      </c>
      <c r="G641" t="inlineStr">
        <is>
          <t>NORDANSTIG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46118</v>
      </c>
      <c r="E642" s="1" t="n">
        <v>46271</v>
      </c>
      <c r="F642" t="inlineStr">
        <is>
          <t>GÄVLEBORGS LÄN</t>
        </is>
      </c>
      <c r="G642" t="inlineStr">
        <is>
          <t>NORDANSTIG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46271</v>
      </c>
      <c r="F643" t="inlineStr">
        <is>
          <t>GÄVLEBORGS LÄN</t>
        </is>
      </c>
      <c r="G643" t="inlineStr">
        <is>
          <t>NORDANSTIG</t>
        </is>
      </c>
      <c r="I643" t="n">
        <v>16.3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46271</v>
      </c>
      <c r="F644" t="inlineStr">
        <is>
          <t>GÄVLEBORGS LÄN</t>
        </is>
      </c>
      <c r="G644" t="inlineStr">
        <is>
          <t>NORDANSTIG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46271</v>
      </c>
      <c r="F645" t="inlineStr">
        <is>
          <t>GÄVLEBORGS LÄN</t>
        </is>
      </c>
      <c r="G645" t="inlineStr">
        <is>
          <t>NORDANSTIG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46271</v>
      </c>
      <c r="F646" t="inlineStr">
        <is>
          <t>GÄVLEBORGS LÄN</t>
        </is>
      </c>
      <c r="G646" t="inlineStr">
        <is>
          <t>NORDANSTIG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45631</v>
      </c>
      <c r="E647" s="1" t="n">
        <v>46271</v>
      </c>
      <c r="F647" t="inlineStr">
        <is>
          <t>GÄVLEBORGS LÄN</t>
        </is>
      </c>
      <c r="G647" t="inlineStr">
        <is>
          <t>NORDANSTIG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46271</v>
      </c>
      <c r="F648" t="inlineStr">
        <is>
          <t>GÄVLEBORGS LÄN</t>
        </is>
      </c>
      <c r="G648" t="inlineStr">
        <is>
          <t>NORDANSTIG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54713-2024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46271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46271</v>
      </c>
      <c r="F650" t="inlineStr">
        <is>
          <t>GÄVLEBORGS LÄN</t>
        </is>
      </c>
      <c r="G650" t="inlineStr">
        <is>
          <t>NORDANSTIG</t>
        </is>
      </c>
      <c r="I650" t="n">
        <v>9.800000000000001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46271</v>
      </c>
      <c r="F651" t="inlineStr">
        <is>
          <t>GÄVLEBORGS LÄN</t>
        </is>
      </c>
      <c r="G651" t="inlineStr">
        <is>
          <t>NORDANSTIG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17498-2026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46120</v>
      </c>
      <c r="E652" s="1" t="n">
        <v>46271</v>
      </c>
      <c r="F652" t="inlineStr">
        <is>
          <t>GÄVLEBORGS LÄN</t>
        </is>
      </c>
      <c r="G652" t="inlineStr">
        <is>
          <t>NORDANSTIG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45546</v>
      </c>
      <c r="E653" s="1" t="n">
        <v>46271</v>
      </c>
      <c r="F653" t="inlineStr">
        <is>
          <t>GÄVLEBORGS LÄN</t>
        </is>
      </c>
      <c r="G653" t="inlineStr">
        <is>
          <t>NORDANSTIG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46271</v>
      </c>
      <c r="F654" t="inlineStr">
        <is>
          <t>GÄVLEBORGS LÄN</t>
        </is>
      </c>
      <c r="G654" t="inlineStr">
        <is>
          <t>NORDANSTIG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46271</v>
      </c>
      <c r="F655" t="inlineStr">
        <is>
          <t>GÄVLEBORGS LÄN</t>
        </is>
      </c>
      <c r="G655" t="inlineStr">
        <is>
          <t>NORDANSTIG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64835-2021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44512</v>
      </c>
      <c r="E656" s="1" t="n">
        <v>46271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46271</v>
      </c>
      <c r="F657" t="inlineStr">
        <is>
          <t>GÄVLEBORGS LÄN</t>
        </is>
      </c>
      <c r="G657" t="inlineStr">
        <is>
          <t>NORDANSTIG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46271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56733-2024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45628</v>
      </c>
      <c r="E659" s="1" t="n">
        <v>46271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18385-2026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46126</v>
      </c>
      <c r="E660" s="1" t="n">
        <v>46271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44811</v>
      </c>
      <c r="E661" s="1" t="n">
        <v>46271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51222-2024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46271</v>
      </c>
      <c r="F662" t="inlineStr">
        <is>
          <t>GÄVLEBORGS LÄN</t>
        </is>
      </c>
      <c r="G662" t="inlineStr">
        <is>
          <t>NORDANSTIG</t>
        </is>
      </c>
      <c r="I662" t="n">
        <v>15.1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46271</v>
      </c>
      <c r="F663" t="inlineStr">
        <is>
          <t>GÄVLEBORGS LÄN</t>
        </is>
      </c>
      <c r="G663" t="inlineStr">
        <is>
          <t>NORDANSTIG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33974-2022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44790</v>
      </c>
      <c r="E664" s="1" t="n">
        <v>46271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46271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43.6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45549-2024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45579</v>
      </c>
      <c r="E666" s="1" t="n">
        <v>46271</v>
      </c>
      <c r="F666" t="inlineStr">
        <is>
          <t>GÄVLEBORGS LÄN</t>
        </is>
      </c>
      <c r="G666" t="inlineStr">
        <is>
          <t>NORDANSTIG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7796-2026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46271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46271</v>
      </c>
      <c r="F668" t="inlineStr">
        <is>
          <t>GÄVLEBORGS LÄN</t>
        </is>
      </c>
      <c r="G668" t="inlineStr">
        <is>
          <t>NORDANSTIG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46271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44729</v>
      </c>
      <c r="E670" s="1" t="n">
        <v>46271</v>
      </c>
      <c r="F670" t="inlineStr">
        <is>
          <t>GÄVLEBORGS LÄN</t>
        </is>
      </c>
      <c r="G670" t="inlineStr">
        <is>
          <t>NORDANSTIG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46271</v>
      </c>
      <c r="F671" t="inlineStr">
        <is>
          <t>GÄVLEBORGS LÄN</t>
        </is>
      </c>
      <c r="G671" t="inlineStr">
        <is>
          <t>NORDANSTIG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15088-2024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45399</v>
      </c>
      <c r="E672" s="1" t="n">
        <v>46271</v>
      </c>
      <c r="F672" t="inlineStr">
        <is>
          <t>GÄVLEBORGS LÄN</t>
        </is>
      </c>
      <c r="G672" t="inlineStr">
        <is>
          <t>NORDANSTIG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58749-2024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46271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46271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36694-2024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46271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46271</v>
      </c>
      <c r="F676" t="inlineStr">
        <is>
          <t>GÄVLEBORGS LÄN</t>
        </is>
      </c>
      <c r="G676" t="inlineStr">
        <is>
          <t>NORDANSTIG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46271</v>
      </c>
      <c r="F677" t="inlineStr">
        <is>
          <t>GÄVLEBORGS LÄN</t>
        </is>
      </c>
      <c r="G677" t="inlineStr">
        <is>
          <t>NORDANSTIG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55523-2024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46271</v>
      </c>
      <c r="F678" t="inlineStr">
        <is>
          <t>GÄVLEBORGS LÄN</t>
        </is>
      </c>
      <c r="G678" t="inlineStr">
        <is>
          <t>NORDANSTIG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55538-2024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46271</v>
      </c>
      <c r="F679" t="inlineStr">
        <is>
          <t>GÄVLEBORGS LÄN</t>
        </is>
      </c>
      <c r="G679" t="inlineStr">
        <is>
          <t>NORDANSTIG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45667</v>
      </c>
      <c r="E680" s="1" t="n">
        <v>46271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45670</v>
      </c>
      <c r="E681" s="1" t="n">
        <v>46271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65039-2023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45287</v>
      </c>
      <c r="E682" s="1" t="n">
        <v>46271</v>
      </c>
      <c r="F682" t="inlineStr">
        <is>
          <t>GÄVLEBORGS LÄN</t>
        </is>
      </c>
      <c r="G682" t="inlineStr">
        <is>
          <t>NORDANSTIG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46271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5892-2022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44596</v>
      </c>
      <c r="E684" s="1" t="n">
        <v>46271</v>
      </c>
      <c r="F684" t="inlineStr">
        <is>
          <t>GÄVLEBORGS LÄN</t>
        </is>
      </c>
      <c r="G684" t="inlineStr">
        <is>
          <t>NORDANSTIG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46271</v>
      </c>
      <c r="F685" t="inlineStr">
        <is>
          <t>GÄVLEBORGS LÄN</t>
        </is>
      </c>
      <c r="G685" t="inlineStr">
        <is>
          <t>NORDANSTIG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19896-2025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45771</v>
      </c>
      <c r="E686" s="1" t="n">
        <v>46271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46271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31899-2022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44777</v>
      </c>
      <c r="E688" s="1" t="n">
        <v>46271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46271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46271</v>
      </c>
      <c r="F690" t="inlineStr">
        <is>
          <t>GÄVLEBORGS LÄN</t>
        </is>
      </c>
      <c r="G690" t="inlineStr">
        <is>
          <t>NORDANSTIG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45758</v>
      </c>
      <c r="E691" s="1" t="n">
        <v>46271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54896-2024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45618</v>
      </c>
      <c r="E692" s="1" t="n">
        <v>46271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46271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46271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46271</v>
      </c>
      <c r="F695" t="inlineStr">
        <is>
          <t>GÄVLEBORGS LÄN</t>
        </is>
      </c>
      <c r="G695" t="inlineStr">
        <is>
          <t>NORDANSTIG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9976-2026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46073</v>
      </c>
      <c r="E696" s="1" t="n">
        <v>46271</v>
      </c>
      <c r="F696" t="inlineStr">
        <is>
          <t>GÄVLEBORGS LÄN</t>
        </is>
      </c>
      <c r="G696" t="inlineStr">
        <is>
          <t>NORDANSTIG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64034-2025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46271</v>
      </c>
      <c r="F697" t="inlineStr">
        <is>
          <t>GÄVLEBORGS LÄN</t>
        </is>
      </c>
      <c r="G697" t="inlineStr">
        <is>
          <t>NORDANSTIG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73748-2021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44552</v>
      </c>
      <c r="E698" s="1" t="n">
        <v>46271</v>
      </c>
      <c r="F698" t="inlineStr">
        <is>
          <t>GÄVLEBORGS LÄN</t>
        </is>
      </c>
      <c r="G698" t="inlineStr">
        <is>
          <t>NORDANSTIG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46271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44075-2025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45915</v>
      </c>
      <c r="E700" s="1" t="n">
        <v>46271</v>
      </c>
      <c r="F700" t="inlineStr">
        <is>
          <t>GÄVLEBORGS LÄN</t>
        </is>
      </c>
      <c r="G700" t="inlineStr">
        <is>
          <t>NORDANSTIG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35115-2022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44797</v>
      </c>
      <c r="E701" s="1" t="n">
        <v>46271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46271</v>
      </c>
      <c r="F702" t="inlineStr">
        <is>
          <t>GÄVLEBORGS LÄN</t>
        </is>
      </c>
      <c r="G702" t="inlineStr">
        <is>
          <t>NORDANSTIG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46019</v>
      </c>
      <c r="E703" s="1" t="n">
        <v>46271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45532</v>
      </c>
      <c r="E704" s="1" t="n">
        <v>46271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46033</v>
      </c>
      <c r="E705" s="1" t="n">
        <v>46271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38159-2022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44812</v>
      </c>
      <c r="E706" s="1" t="n">
        <v>46271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29401-2025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45824</v>
      </c>
      <c r="E707" s="1" t="n">
        <v>46271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52695-2024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46271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50657-2024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45601</v>
      </c>
      <c r="E709" s="1" t="n">
        <v>46271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45499</v>
      </c>
      <c r="E710" s="1" t="n">
        <v>46271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46271</v>
      </c>
      <c r="F711" t="inlineStr">
        <is>
          <t>GÄVLEBORGS LÄN</t>
        </is>
      </c>
      <c r="G711" t="inlineStr">
        <is>
          <t>NORDANSTIG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53988-2023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45231</v>
      </c>
      <c r="E712" s="1" t="n">
        <v>46271</v>
      </c>
      <c r="F712" t="inlineStr">
        <is>
          <t>GÄVLEBORGS LÄN</t>
        </is>
      </c>
      <c r="G712" t="inlineStr">
        <is>
          <t>NORDANSTIG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46271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46271</v>
      </c>
      <c r="F714" t="inlineStr">
        <is>
          <t>GÄVLEBORGS LÄN</t>
        </is>
      </c>
      <c r="G714" t="inlineStr">
        <is>
          <t>NORDANSTIG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46271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46271</v>
      </c>
      <c r="F716" t="inlineStr">
        <is>
          <t>GÄVLEBORGS LÄN</t>
        </is>
      </c>
      <c r="G716" t="inlineStr">
        <is>
          <t>NORDANSTIG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46271</v>
      </c>
      <c r="F717" t="inlineStr">
        <is>
          <t>GÄVLEBORGS LÄN</t>
        </is>
      </c>
      <c r="G717" t="inlineStr">
        <is>
          <t>NORDANSTIG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25946-2023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45090</v>
      </c>
      <c r="E718" s="1" t="n">
        <v>46271</v>
      </c>
      <c r="F718" t="inlineStr">
        <is>
          <t>GÄVLEBORGS LÄN</t>
        </is>
      </c>
      <c r="G718" t="inlineStr">
        <is>
          <t>NORDANSTIG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44797</v>
      </c>
      <c r="E719" s="1" t="n">
        <v>46271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46136</v>
      </c>
      <c r="E720" s="1" t="n">
        <v>46271</v>
      </c>
      <c r="F720" t="inlineStr">
        <is>
          <t>GÄVLEBORGS LÄN</t>
        </is>
      </c>
      <c r="G720" t="inlineStr">
        <is>
          <t>NORDANSTIG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46271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45072</v>
      </c>
      <c r="E722" s="1" t="n">
        <v>46271</v>
      </c>
      <c r="F722" t="inlineStr">
        <is>
          <t>GÄVLEBORGS LÄN</t>
        </is>
      </c>
      <c r="G722" t="inlineStr">
        <is>
          <t>NORDANSTIG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45509</v>
      </c>
      <c r="E723" s="1" t="n">
        <v>46271</v>
      </c>
      <c r="F723" t="inlineStr">
        <is>
          <t>GÄVLEBORGS LÄN</t>
        </is>
      </c>
      <c r="G723" t="inlineStr">
        <is>
          <t>NORDANSTIG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46271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40738-2023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45170</v>
      </c>
      <c r="E725" s="1" t="n">
        <v>46271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32652-2023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46271</v>
      </c>
      <c r="F726" t="inlineStr">
        <is>
          <t>GÄVLEBORGS LÄN</t>
        </is>
      </c>
      <c r="G726" t="inlineStr">
        <is>
          <t>NORDANSTIG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46271</v>
      </c>
      <c r="F727" t="inlineStr">
        <is>
          <t>GÄVLEBORGS LÄN</t>
        </is>
      </c>
      <c r="G727" t="inlineStr">
        <is>
          <t>NORDANSTIG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46026</v>
      </c>
      <c r="E728" s="1" t="n">
        <v>46271</v>
      </c>
      <c r="F728" t="inlineStr">
        <is>
          <t>GÄVLEBORGS LÄN</t>
        </is>
      </c>
      <c r="G728" t="inlineStr">
        <is>
          <t>NORDANSTIG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51681-2025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45951</v>
      </c>
      <c r="E729" s="1" t="n">
        <v>46271</v>
      </c>
      <c r="F729" t="inlineStr">
        <is>
          <t>GÄVLEBORGS LÄN</t>
        </is>
      </c>
      <c r="G729" t="inlineStr">
        <is>
          <t>NORDANSTIG</t>
        </is>
      </c>
      <c r="I729" t="n">
        <v>9.1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45884</v>
      </c>
      <c r="E730" s="1" t="n">
        <v>46271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46271</v>
      </c>
      <c r="F731" t="inlineStr">
        <is>
          <t>GÄVLEBORGS LÄN</t>
        </is>
      </c>
      <c r="G731" t="inlineStr">
        <is>
          <t>NORDANSTIG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46021</v>
      </c>
      <c r="E732" s="1" t="n">
        <v>46271</v>
      </c>
      <c r="F732" t="inlineStr">
        <is>
          <t>GÄVLEBORGS LÄN</t>
        </is>
      </c>
      <c r="G732" t="inlineStr">
        <is>
          <t>NORDANSTIG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46271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20747-2023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45058</v>
      </c>
      <c r="E734" s="1" t="n">
        <v>46271</v>
      </c>
      <c r="F734" t="inlineStr">
        <is>
          <t>GÄVLEBORGS LÄN</t>
        </is>
      </c>
      <c r="G734" t="inlineStr">
        <is>
          <t>NORDANSTIG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46271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33377-2022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44788</v>
      </c>
      <c r="E736" s="1" t="n">
        <v>46271</v>
      </c>
      <c r="F736" t="inlineStr">
        <is>
          <t>GÄVLEBORGS LÄN</t>
        </is>
      </c>
      <c r="G736" t="inlineStr">
        <is>
          <t>NORDANSTIG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45541</v>
      </c>
      <c r="E737" s="1" t="n">
        <v>46271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46271</v>
      </c>
      <c r="F738" t="inlineStr">
        <is>
          <t>GÄVLEBORGS LÄN</t>
        </is>
      </c>
      <c r="G738" t="inlineStr">
        <is>
          <t>NORDANSTIG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46054</v>
      </c>
      <c r="E739" s="1" t="n">
        <v>46271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46271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45757</v>
      </c>
      <c r="E741" s="1" t="n">
        <v>46271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8.300000000000001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9373-2026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46271</v>
      </c>
      <c r="F742" t="inlineStr">
        <is>
          <t>GÄVLEBORGS LÄN</t>
        </is>
      </c>
      <c r="G742" t="inlineStr">
        <is>
          <t>NORDANSTIG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46069</v>
      </c>
      <c r="E743" s="1" t="n">
        <v>46271</v>
      </c>
      <c r="F743" t="inlineStr">
        <is>
          <t>GÄVLEBORGS LÄN</t>
        </is>
      </c>
      <c r="G743" t="inlineStr">
        <is>
          <t>NORDANSTIG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46271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45880</v>
      </c>
      <c r="E745" s="1" t="n">
        <v>46271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11599-2024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46271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20532-2026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46271</v>
      </c>
      <c r="F747" t="inlineStr">
        <is>
          <t>GÄVLEBORGS LÄN</t>
        </is>
      </c>
      <c r="G747" t="inlineStr">
        <is>
          <t>NORDANSTIG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46271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46271</v>
      </c>
      <c r="F749" t="inlineStr">
        <is>
          <t>GÄVLEBORGS LÄN</t>
        </is>
      </c>
      <c r="G749" t="inlineStr">
        <is>
          <t>NORDANSTIG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46271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45789</v>
      </c>
      <c r="E751" s="1" t="n">
        <v>46271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55.6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45034</v>
      </c>
      <c r="E752" s="1" t="n">
        <v>46271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8.6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18988-2022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44690</v>
      </c>
      <c r="E753" s="1" t="n">
        <v>46271</v>
      </c>
      <c r="F753" t="inlineStr">
        <is>
          <t>GÄVLEBORGS LÄN</t>
        </is>
      </c>
      <c r="G753" t="inlineStr">
        <is>
          <t>NORDANSTIG</t>
        </is>
      </c>
      <c r="I753" t="n">
        <v>9.300000000000001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46271</v>
      </c>
      <c r="F754" t="inlineStr">
        <is>
          <t>GÄVLEBORGS LÄN</t>
        </is>
      </c>
      <c r="G754" t="inlineStr">
        <is>
          <t>NORDANSTIG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21118-2026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46146</v>
      </c>
      <c r="E755" s="1" t="n">
        <v>46271</v>
      </c>
      <c r="F755" t="inlineStr">
        <is>
          <t>GÄVLEBORGS LÄN</t>
        </is>
      </c>
      <c r="G755" t="inlineStr">
        <is>
          <t>NORDANSTIG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45550-2024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46271</v>
      </c>
      <c r="F756" t="inlineStr">
        <is>
          <t>GÄVLEBORGS LÄN</t>
        </is>
      </c>
      <c r="G756" t="inlineStr">
        <is>
          <t>NORDANSTIG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45140</v>
      </c>
      <c r="E757" s="1" t="n">
        <v>46271</v>
      </c>
      <c r="F757" t="inlineStr">
        <is>
          <t>GÄVLEBORGS LÄN</t>
        </is>
      </c>
      <c r="G757" t="inlineStr">
        <is>
          <t>NORDANSTIG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46119</v>
      </c>
      <c r="E758" s="1" t="n">
        <v>46271</v>
      </c>
      <c r="F758" t="inlineStr">
        <is>
          <t>GÄVLEBORGS LÄN</t>
        </is>
      </c>
      <c r="G758" t="inlineStr">
        <is>
          <t>NORDANSTIG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46271</v>
      </c>
      <c r="F759" t="inlineStr">
        <is>
          <t>GÄVLEBORGS LÄN</t>
        </is>
      </c>
      <c r="G759" t="inlineStr">
        <is>
          <t>NORDANSTIG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46271</v>
      </c>
      <c r="F760" t="inlineStr">
        <is>
          <t>GÄVLEBORGS LÄN</t>
        </is>
      </c>
      <c r="G760" t="inlineStr">
        <is>
          <t>NORDANSTIG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46146</v>
      </c>
      <c r="E761" s="1" t="n">
        <v>46271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21055-2026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46146</v>
      </c>
      <c r="E762" s="1" t="n">
        <v>46271</v>
      </c>
      <c r="F762" t="inlineStr">
        <is>
          <t>GÄVLEBORGS LÄN</t>
        </is>
      </c>
      <c r="G762" t="inlineStr">
        <is>
          <t>NORDANSTIG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2862-2026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46038</v>
      </c>
      <c r="E763" s="1" t="n">
        <v>46271</v>
      </c>
      <c r="F763" t="inlineStr">
        <is>
          <t>GÄVLEBORGS LÄN</t>
        </is>
      </c>
      <c r="G763" t="inlineStr">
        <is>
          <t>NORDANSTIG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46271</v>
      </c>
      <c r="F764" t="inlineStr">
        <is>
          <t>GÄVLEBORGS LÄN</t>
        </is>
      </c>
      <c r="G764" t="inlineStr">
        <is>
          <t>NORDANSTIG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46030</v>
      </c>
      <c r="E765" s="1" t="n">
        <v>46271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47876-2023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45204</v>
      </c>
      <c r="E766" s="1" t="n">
        <v>46271</v>
      </c>
      <c r="F766" t="inlineStr">
        <is>
          <t>GÄVLEBORGS LÄN</t>
        </is>
      </c>
      <c r="G766" t="inlineStr">
        <is>
          <t>NORDANSTIG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57863-2024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46271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46271</v>
      </c>
      <c r="F768" t="inlineStr">
        <is>
          <t>GÄVLEBORGS LÄN</t>
        </is>
      </c>
      <c r="G768" t="inlineStr">
        <is>
          <t>NORDANSTIG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46271</v>
      </c>
      <c r="F769" t="inlineStr">
        <is>
          <t>GÄVLEBORGS LÄN</t>
        </is>
      </c>
      <c r="G769" t="inlineStr">
        <is>
          <t>NORDANSTIG</t>
        </is>
      </c>
      <c r="I769" t="n">
        <v>10.7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10680-2026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46078</v>
      </c>
      <c r="E770" s="1" t="n">
        <v>46271</v>
      </c>
      <c r="F770" t="inlineStr">
        <is>
          <t>GÄVLEBORGS LÄN</t>
        </is>
      </c>
      <c r="G770" t="inlineStr">
        <is>
          <t>NORDANSTIG</t>
        </is>
      </c>
      <c r="I770" t="n">
        <v>10.9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44930</v>
      </c>
      <c r="E771" s="1" t="n">
        <v>46271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44938</v>
      </c>
      <c r="E772" s="1" t="n">
        <v>46271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46271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44960</v>
      </c>
      <c r="E774" s="1" t="n">
        <v>46271</v>
      </c>
      <c r="F774" t="inlineStr">
        <is>
          <t>GÄVLEBORGS LÄN</t>
        </is>
      </c>
      <c r="G774" t="inlineStr">
        <is>
          <t>NORDANSTIG</t>
        </is>
      </c>
      <c r="I774" t="n">
        <v>17.6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51560-2023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45222</v>
      </c>
      <c r="E775" s="1" t="n">
        <v>46271</v>
      </c>
      <c r="F775" t="inlineStr">
        <is>
          <t>GÄVLEBORGS LÄN</t>
        </is>
      </c>
      <c r="G775" t="inlineStr">
        <is>
          <t>NORDANSTIG</t>
        </is>
      </c>
      <c r="I775" t="n">
        <v>26.9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10137-2024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45364</v>
      </c>
      <c r="E776" s="1" t="n">
        <v>46271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37217-2024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45539</v>
      </c>
      <c r="E777" s="1" t="n">
        <v>46271</v>
      </c>
      <c r="F777" t="inlineStr">
        <is>
          <t>GÄVLEBORGS LÄN</t>
        </is>
      </c>
      <c r="G777" t="inlineStr">
        <is>
          <t>NORDANSTIG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9131-2024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45358</v>
      </c>
      <c r="E778" s="1" t="n">
        <v>46271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44952</v>
      </c>
      <c r="E779" s="1" t="n">
        <v>46271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46271</v>
      </c>
      <c r="F780" t="inlineStr">
        <is>
          <t>GÄVLEBORGS LÄN</t>
        </is>
      </c>
      <c r="G780" t="inlineStr">
        <is>
          <t>NORDANSTIG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17283-2026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46271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46042</v>
      </c>
      <c r="E782" s="1" t="n">
        <v>46271</v>
      </c>
      <c r="F782" t="inlineStr">
        <is>
          <t>GÄVLEBORGS LÄN</t>
        </is>
      </c>
      <c r="G782" t="inlineStr">
        <is>
          <t>NORDANSTIG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46271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14532-2026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46100</v>
      </c>
      <c r="E784" s="1" t="n">
        <v>46271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46026</v>
      </c>
      <c r="E785" s="1" t="n">
        <v>46271</v>
      </c>
      <c r="F785" t="inlineStr">
        <is>
          <t>GÄVLEBORGS LÄN</t>
        </is>
      </c>
      <c r="G785" t="inlineStr">
        <is>
          <t>NORDANSTIG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46271</v>
      </c>
      <c r="F786" t="inlineStr">
        <is>
          <t>GÄVLEBORGS LÄN</t>
        </is>
      </c>
      <c r="G786" t="inlineStr">
        <is>
          <t>NORDANSTIG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46271</v>
      </c>
      <c r="F787" t="inlineStr">
        <is>
          <t>GÄVLEBORGS LÄN</t>
        </is>
      </c>
      <c r="G787" t="inlineStr">
        <is>
          <t>NORDANSTIG</t>
        </is>
      </c>
      <c r="I787" t="n">
        <v>15.6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46376-2024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45582</v>
      </c>
      <c r="E788" s="1" t="n">
        <v>46271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5981-2026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46052</v>
      </c>
      <c r="E789" s="1" t="n">
        <v>46271</v>
      </c>
      <c r="F789" t="inlineStr">
        <is>
          <t>GÄVLEBORGS LÄN</t>
        </is>
      </c>
      <c r="G789" t="inlineStr">
        <is>
          <t>NORDANSTIG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22547-2022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44713</v>
      </c>
      <c r="E790" s="1" t="n">
        <v>46271</v>
      </c>
      <c r="F790" t="inlineStr">
        <is>
          <t>GÄVLEBORGS LÄN</t>
        </is>
      </c>
      <c r="G790" t="inlineStr">
        <is>
          <t>NORDANSTIG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22733-2026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46157</v>
      </c>
      <c r="E791" s="1" t="n">
        <v>46271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30816-2022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44765</v>
      </c>
      <c r="E792" s="1" t="n">
        <v>46271</v>
      </c>
      <c r="F792" t="inlineStr">
        <is>
          <t>GÄVLEBORGS LÄN</t>
        </is>
      </c>
      <c r="G792" t="inlineStr">
        <is>
          <t>NORDANSTIG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46161</v>
      </c>
      <c r="E794" s="1" t="n">
        <v>46271</v>
      </c>
      <c r="F794" t="inlineStr">
        <is>
          <t>GÄVLEBORGS LÄN</t>
        </is>
      </c>
      <c r="G794" t="inlineStr">
        <is>
          <t>NORDANSTIG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46160</v>
      </c>
      <c r="E795" s="1" t="n">
        <v>46271</v>
      </c>
      <c r="F795" t="inlineStr">
        <is>
          <t>GÄVLEBORGS LÄN</t>
        </is>
      </c>
      <c r="G795" t="inlineStr">
        <is>
          <t>NORDANSTIG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45637</v>
      </c>
      <c r="E796" s="1" t="n">
        <v>46271</v>
      </c>
      <c r="F796" t="inlineStr">
        <is>
          <t>GÄVLEBORGS LÄN</t>
        </is>
      </c>
      <c r="G796" t="inlineStr">
        <is>
          <t>NORDANSTIG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46271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21473-2023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45063</v>
      </c>
      <c r="E798" s="1" t="n">
        <v>46271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46271</v>
      </c>
      <c r="F799" t="inlineStr">
        <is>
          <t>GÄVLEBORGS LÄN</t>
        </is>
      </c>
      <c r="G799" t="inlineStr">
        <is>
          <t>NORDANSTIG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17843-2023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45037</v>
      </c>
      <c r="E800" s="1" t="n">
        <v>46271</v>
      </c>
      <c r="F800" t="inlineStr">
        <is>
          <t>GÄVLEBORGS LÄN</t>
        </is>
      </c>
      <c r="G800" t="inlineStr">
        <is>
          <t>NORDANSTIG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36025-2023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45149</v>
      </c>
      <c r="E801" s="1" t="n">
        <v>46271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46271</v>
      </c>
      <c r="F802" t="inlineStr">
        <is>
          <t>GÄVLEBORGS LÄN</t>
        </is>
      </c>
      <c r="G802" t="inlineStr">
        <is>
          <t>NORDANSTIG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46271</v>
      </c>
      <c r="F803" t="inlineStr">
        <is>
          <t>GÄVLEBORGS LÄN</t>
        </is>
      </c>
      <c r="G803" t="inlineStr">
        <is>
          <t>NORDANSTIG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46136</v>
      </c>
      <c r="E804" s="1" t="n">
        <v>46271</v>
      </c>
      <c r="F804" t="inlineStr">
        <is>
          <t>GÄVLEBORGS LÄN</t>
        </is>
      </c>
      <c r="G804" t="inlineStr">
        <is>
          <t>NORDANSTIG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57976-2022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46271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57983-2022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44900</v>
      </c>
      <c r="E806" s="1" t="n">
        <v>46271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46271</v>
      </c>
      <c r="F807" t="inlineStr">
        <is>
          <t>GÄVLEBORGS LÄN</t>
        </is>
      </c>
      <c r="G807" t="inlineStr">
        <is>
          <t>NORDANSTIG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21187-2022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44704</v>
      </c>
      <c r="E808" s="1" t="n">
        <v>46271</v>
      </c>
      <c r="F808" t="inlineStr">
        <is>
          <t>GÄVLEBORGS LÄN</t>
        </is>
      </c>
      <c r="G808" t="inlineStr">
        <is>
          <t>NORDANSTIG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51806-2024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45607</v>
      </c>
      <c r="E809" s="1" t="n">
        <v>46271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51821-2024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45607</v>
      </c>
      <c r="E810" s="1" t="n">
        <v>46271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54156-2024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45616</v>
      </c>
      <c r="E811" s="1" t="n">
        <v>46271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48212-2024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46271</v>
      </c>
      <c r="F812" t="inlineStr">
        <is>
          <t>GÄVLEBORGS LÄN</t>
        </is>
      </c>
      <c r="G812" t="inlineStr">
        <is>
          <t>NORDANSTIG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46164</v>
      </c>
      <c r="E813" s="1" t="n">
        <v>46271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46271</v>
      </c>
      <c r="F814" t="inlineStr">
        <is>
          <t>GÄVLEBORGS LÄN</t>
        </is>
      </c>
      <c r="G814" t="inlineStr">
        <is>
          <t>NORDANSTIG</t>
        </is>
      </c>
      <c r="I814" t="n">
        <v>18.1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30630-2022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44763</v>
      </c>
      <c r="E815" s="1" t="n">
        <v>46271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36960-2023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45154</v>
      </c>
      <c r="E816" s="1" t="n">
        <v>46271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45504</v>
      </c>
      <c r="E817" s="1" t="n">
        <v>46271</v>
      </c>
      <c r="F817" t="inlineStr">
        <is>
          <t>GÄVLEBORGS LÄN</t>
        </is>
      </c>
      <c r="G817" t="inlineStr">
        <is>
          <t>NORDANSTIG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45219</v>
      </c>
      <c r="E818" s="1" t="n">
        <v>46271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23654-2026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46164</v>
      </c>
      <c r="E819" s="1" t="n">
        <v>46271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45695</v>
      </c>
      <c r="E820" s="1" t="n">
        <v>46271</v>
      </c>
      <c r="F820" t="inlineStr">
        <is>
          <t>GÄVLEBORGS LÄN</t>
        </is>
      </c>
      <c r="G820" t="inlineStr">
        <is>
          <t>NORDANSTIG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46271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23900-2026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46271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44679</v>
      </c>
      <c r="E823" s="1" t="n">
        <v>46271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54519-2024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46271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11087-2022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44628</v>
      </c>
      <c r="E825" s="1" t="n">
        <v>46271</v>
      </c>
      <c r="F825" t="inlineStr">
        <is>
          <t>GÄVLEBORGS LÄN</t>
        </is>
      </c>
      <c r="G825" t="inlineStr">
        <is>
          <t>NORDANSTIG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24265-2026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46271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52006-2024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45607</v>
      </c>
      <c r="E827" s="1" t="n">
        <v>46271</v>
      </c>
      <c r="F827" t="inlineStr">
        <is>
          <t>GÄVLEBORGS LÄN</t>
        </is>
      </c>
      <c r="G827" t="inlineStr">
        <is>
          <t>NORDANSTIG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54401-2024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45617</v>
      </c>
      <c r="E828" s="1" t="n">
        <v>46271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10042-2025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45719</v>
      </c>
      <c r="E829" s="1" t="n">
        <v>46271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24178-2026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46168</v>
      </c>
      <c r="E830" s="1" t="n">
        <v>46271</v>
      </c>
      <c r="F830" t="inlineStr">
        <is>
          <t>GÄVLEBORGS LÄN</t>
        </is>
      </c>
      <c r="G830" t="inlineStr">
        <is>
          <t>NORDANSTIG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12266-2025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45729</v>
      </c>
      <c r="E831" s="1" t="n">
        <v>46271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46271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46271</v>
      </c>
      <c r="F833" t="inlineStr">
        <is>
          <t>GÄVLEBORGS LÄN</t>
        </is>
      </c>
      <c r="G833" t="inlineStr">
        <is>
          <t>NORDANSTIG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26728-2022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44739</v>
      </c>
      <c r="E834" s="1" t="n">
        <v>46271</v>
      </c>
      <c r="F834" t="inlineStr">
        <is>
          <t>GÄVLEBORGS LÄN</t>
        </is>
      </c>
      <c r="G834" t="inlineStr">
        <is>
          <t>NORDANSTIG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46042</v>
      </c>
      <c r="E835" s="1" t="n">
        <v>46271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45574</v>
      </c>
      <c r="E836" s="1" t="n">
        <v>46271</v>
      </c>
      <c r="F836" t="inlineStr">
        <is>
          <t>GÄVLEBORGS LÄN</t>
        </is>
      </c>
      <c r="G836" t="inlineStr">
        <is>
          <t>NORDANSTIG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41074-2023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45173</v>
      </c>
      <c r="E837" s="1" t="n">
        <v>46271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1849-2026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46035</v>
      </c>
      <c r="E838" s="1" t="n">
        <v>46271</v>
      </c>
      <c r="F838" t="inlineStr">
        <is>
          <t>GÄVLEBORGS LÄN</t>
        </is>
      </c>
      <c r="G838" t="inlineStr">
        <is>
          <t>NORDANSTIG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60675-2024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46271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1802-2023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44938</v>
      </c>
      <c r="E840" s="1" t="n">
        <v>46271</v>
      </c>
      <c r="F840" t="inlineStr">
        <is>
          <t>GÄVLEBORGS LÄN</t>
        </is>
      </c>
      <c r="G840" t="inlineStr">
        <is>
          <t>NORDANSTIG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46271</v>
      </c>
      <c r="F841" t="inlineStr">
        <is>
          <t>GÄVLEBORGS LÄN</t>
        </is>
      </c>
      <c r="G841" t="inlineStr">
        <is>
          <t>NORDANSTIG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46271</v>
      </c>
      <c r="F842" t="inlineStr">
        <is>
          <t>GÄVLEBORGS LÄN</t>
        </is>
      </c>
      <c r="G842" t="inlineStr">
        <is>
          <t>NORDANSTIG</t>
        </is>
      </c>
      <c r="I842" t="n">
        <v>11.5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24646-2026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46171</v>
      </c>
      <c r="E843" s="1" t="n">
        <v>46271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43893-2023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46271</v>
      </c>
      <c r="F844" t="inlineStr">
        <is>
          <t>GÄVLEBORGS LÄN</t>
        </is>
      </c>
      <c r="G844" t="inlineStr">
        <is>
          <t>NORDANSTIG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24612-2026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46271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24623-2026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46271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46271</v>
      </c>
      <c r="F847" t="inlineStr">
        <is>
          <t>GÄVLEBORGS LÄN</t>
        </is>
      </c>
      <c r="G847" t="inlineStr">
        <is>
          <t>NORDANSTIG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46176</v>
      </c>
      <c r="E848" s="1" t="n">
        <v>46271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21153-2023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45062</v>
      </c>
      <c r="E849" s="1" t="n">
        <v>46271</v>
      </c>
      <c r="F849" t="inlineStr">
        <is>
          <t>GÄVLEBORGS LÄN</t>
        </is>
      </c>
      <c r="G849" t="inlineStr">
        <is>
          <t>NORDANSTIG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46175</v>
      </c>
      <c r="E850" s="1" t="n">
        <v>46271</v>
      </c>
      <c r="F850" t="inlineStr">
        <is>
          <t>GÄVLEBORGS LÄN</t>
        </is>
      </c>
      <c r="G850" t="inlineStr">
        <is>
          <t>NORDANSTIG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25089-2026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46175</v>
      </c>
      <c r="E851" s="1" t="n">
        <v>46271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20133-2026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46136</v>
      </c>
      <c r="E852" s="1" t="n">
        <v>46271</v>
      </c>
      <c r="F852" t="inlineStr">
        <is>
          <t>GÄVLEBORGS LÄN</t>
        </is>
      </c>
      <c r="G852" t="inlineStr">
        <is>
          <t>NORDANSTIG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4001-2023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44952</v>
      </c>
      <c r="E853" s="1" t="n">
        <v>46271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44952</v>
      </c>
      <c r="E854" s="1" t="n">
        <v>46271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32602-2024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45513</v>
      </c>
      <c r="E855" s="1" t="n">
        <v>46271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73389-2021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44551</v>
      </c>
      <c r="E856" s="1" t="n">
        <v>46271</v>
      </c>
      <c r="F856" t="inlineStr">
        <is>
          <t>GÄVLEBORGS LÄN</t>
        </is>
      </c>
      <c r="G856" t="inlineStr">
        <is>
          <t>NORDANSTIG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46051</v>
      </c>
      <c r="E857" s="1" t="n">
        <v>46271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34913-2023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45142</v>
      </c>
      <c r="E858" s="1" t="n">
        <v>46271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34918-2023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45142</v>
      </c>
      <c r="E859" s="1" t="n">
        <v>46271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46271</v>
      </c>
      <c r="F860" t="inlineStr">
        <is>
          <t>GÄVLEBORGS LÄN</t>
        </is>
      </c>
      <c r="G860" t="inlineStr">
        <is>
          <t>NORDANSTIG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46042</v>
      </c>
      <c r="E861" s="1" t="n">
        <v>46271</v>
      </c>
      <c r="F861" t="inlineStr">
        <is>
          <t>GÄVLEBORGS LÄN</t>
        </is>
      </c>
      <c r="G861" t="inlineStr">
        <is>
          <t>NORDANSTIG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46079</v>
      </c>
      <c r="E862" s="1" t="n">
        <v>46271</v>
      </c>
      <c r="F862" t="inlineStr">
        <is>
          <t>GÄVLEBORGS LÄN</t>
        </is>
      </c>
      <c r="G862" t="inlineStr">
        <is>
          <t>NORDANSTIG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25273-2024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45462</v>
      </c>
      <c r="E863" s="1" t="n">
        <v>46271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25586-2026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46177</v>
      </c>
      <c r="E864" s="1" t="n">
        <v>46271</v>
      </c>
      <c r="F864" t="inlineStr">
        <is>
          <t>GÄVLEBORGS LÄN</t>
        </is>
      </c>
      <c r="G864" t="inlineStr">
        <is>
          <t>NORDANSTIG</t>
        </is>
      </c>
      <c r="H864" t="inlineStr">
        <is>
          <t>SCA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25704-2026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46178</v>
      </c>
      <c r="E865" s="1" t="n">
        <v>46271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45770</v>
      </c>
      <c r="E866" s="1" t="n">
        <v>46271</v>
      </c>
      <c r="F866" t="inlineStr">
        <is>
          <t>GÄVLEBORGS LÄN</t>
        </is>
      </c>
      <c r="G866" t="inlineStr">
        <is>
          <t>NORDANSTIG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25931-2026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46179</v>
      </c>
      <c r="E867" s="1" t="n">
        <v>46271</v>
      </c>
      <c r="F867" t="inlineStr">
        <is>
          <t>GÄVLEBORGS LÄN</t>
        </is>
      </c>
      <c r="G867" t="inlineStr">
        <is>
          <t>NORDANSTIG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25633-2026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46271</v>
      </c>
      <c r="F868" t="inlineStr">
        <is>
          <t>GÄVLEBORGS LÄN</t>
        </is>
      </c>
      <c r="G868" t="inlineStr">
        <is>
          <t>NORDANSTIG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51250-2022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44868</v>
      </c>
      <c r="E869" s="1" t="n">
        <v>46271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16640-2025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45754</v>
      </c>
      <c r="E870" s="1" t="n">
        <v>46271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46084</v>
      </c>
      <c r="E871" s="1" t="n">
        <v>46271</v>
      </c>
      <c r="F871" t="inlineStr">
        <is>
          <t>GÄVLEBORGS LÄN</t>
        </is>
      </c>
      <c r="G871" t="inlineStr">
        <is>
          <t>NORDANSTIG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58870-2023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45252</v>
      </c>
      <c r="E872" s="1" t="n">
        <v>46271</v>
      </c>
      <c r="F872" t="inlineStr">
        <is>
          <t>GÄVLEBORGS LÄN</t>
        </is>
      </c>
      <c r="G872" t="inlineStr">
        <is>
          <t>NORDANSTIG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26044-2026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46271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51091-2024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45603</v>
      </c>
      <c r="E874" s="1" t="n">
        <v>46271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SCA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46271</v>
      </c>
      <c r="F875" t="inlineStr">
        <is>
          <t>GÄVLEBORGS LÄN</t>
        </is>
      </c>
      <c r="G875" t="inlineStr">
        <is>
          <t>NORDANSTIG</t>
        </is>
      </c>
      <c r="H875" t="inlineStr">
        <is>
          <t>SCA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30130-2024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45489</v>
      </c>
      <c r="E876" s="1" t="n">
        <v>46271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46181</v>
      </c>
      <c r="E877" s="1" t="n">
        <v>46271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25402-2024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45463</v>
      </c>
      <c r="E878" s="1" t="n">
        <v>46271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54385-2024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46271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46271</v>
      </c>
      <c r="F880" t="inlineStr">
        <is>
          <t>GÄVLEBORGS LÄN</t>
        </is>
      </c>
      <c r="G880" t="inlineStr">
        <is>
          <t>NORDANSTIG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52206-2022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44869</v>
      </c>
      <c r="E881" s="1" t="n">
        <v>46271</v>
      </c>
      <c r="F881" t="inlineStr">
        <is>
          <t>GÄVLEBORGS LÄN</t>
        </is>
      </c>
      <c r="G881" t="inlineStr">
        <is>
          <t>NORDANSTIG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4556-2025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45687</v>
      </c>
      <c r="E882" s="1" t="n">
        <v>46271</v>
      </c>
      <c r="F882" t="inlineStr">
        <is>
          <t>GÄVLEBORGS LÄN</t>
        </is>
      </c>
      <c r="G882" t="inlineStr">
        <is>
          <t>NORDANSTIG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26684-2026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46184</v>
      </c>
      <c r="E883" s="1" t="n">
        <v>46271</v>
      </c>
      <c r="F883" t="inlineStr">
        <is>
          <t>GÄVLEBORGS LÄN</t>
        </is>
      </c>
      <c r="G883" t="inlineStr">
        <is>
          <t>NORDANSTIG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12398-2023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44999</v>
      </c>
      <c r="E884" s="1" t="n">
        <v>46271</v>
      </c>
      <c r="F884" t="inlineStr">
        <is>
          <t>GÄVLEBORGS LÄN</t>
        </is>
      </c>
      <c r="G884" t="inlineStr">
        <is>
          <t>NORDANSTIG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6324-2023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44965</v>
      </c>
      <c r="E885" s="1" t="n">
        <v>46271</v>
      </c>
      <c r="F885" t="inlineStr">
        <is>
          <t>GÄVLEBORGS LÄN</t>
        </is>
      </c>
      <c r="G885" t="inlineStr">
        <is>
          <t>NORDANSTIG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46271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44939</v>
      </c>
      <c r="E887" s="1" t="n">
        <v>46271</v>
      </c>
      <c r="F887" t="inlineStr">
        <is>
          <t>GÄVLEBORGS LÄN</t>
        </is>
      </c>
      <c r="G887" t="inlineStr">
        <is>
          <t>NORDANSTIG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46271</v>
      </c>
      <c r="F888" t="inlineStr">
        <is>
          <t>GÄVLEBORGS LÄN</t>
        </is>
      </c>
      <c r="G888" t="inlineStr">
        <is>
          <t>NORDANSTIG</t>
        </is>
      </c>
      <c r="I888" t="n">
        <v>4.5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59851-2024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45639</v>
      </c>
      <c r="E889" s="1" t="n">
        <v>46271</v>
      </c>
      <c r="F889" t="inlineStr">
        <is>
          <t>GÄVLEBORGS LÄN</t>
        </is>
      </c>
      <c r="G889" t="inlineStr">
        <is>
          <t>NORDANSTIG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15464-2023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45020</v>
      </c>
      <c r="E890" s="1" t="n">
        <v>46271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27129-2026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46271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26842-2026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46185</v>
      </c>
      <c r="E892" s="1" t="n">
        <v>46271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26893-2026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46271</v>
      </c>
      <c r="F893" t="inlineStr">
        <is>
          <t>GÄVLEBORGS LÄN</t>
        </is>
      </c>
      <c r="G893" t="inlineStr">
        <is>
          <t>NORDANSTIG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27149-2026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46188</v>
      </c>
      <c r="E894" s="1" t="n">
        <v>46271</v>
      </c>
      <c r="F894" t="inlineStr">
        <is>
          <t>GÄVLEBORGS LÄN</t>
        </is>
      </c>
      <c r="G894" t="inlineStr">
        <is>
          <t>NORDANSTIG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45271</v>
      </c>
      <c r="E895" s="1" t="n">
        <v>46271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60285-2024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45642</v>
      </c>
      <c r="E896" s="1" t="n">
        <v>46271</v>
      </c>
      <c r="F896" t="inlineStr">
        <is>
          <t>GÄVLEBORGS LÄN</t>
        </is>
      </c>
      <c r="G896" t="inlineStr">
        <is>
          <t>NORDANSTIG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27114-2026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46188</v>
      </c>
      <c r="E898" s="1" t="n">
        <v>46271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58162-2024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45632</v>
      </c>
      <c r="E899" s="1" t="n">
        <v>46271</v>
      </c>
      <c r="F899" t="inlineStr">
        <is>
          <t>GÄVLEBORGS LÄN</t>
        </is>
      </c>
      <c r="G899" t="inlineStr">
        <is>
          <t>NORDANSTIG</t>
        </is>
      </c>
      <c r="H899" t="inlineStr">
        <is>
          <t>Kyrkan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26838-2026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46185</v>
      </c>
      <c r="E900" s="1" t="n">
        <v>46271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SCA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27236-2026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46188</v>
      </c>
      <c r="E901" s="1" t="n">
        <v>46271</v>
      </c>
      <c r="F901" t="inlineStr">
        <is>
          <t>GÄVLEBORGS LÄN</t>
        </is>
      </c>
      <c r="G901" t="inlineStr">
        <is>
          <t>NORDANSTIG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72820-2021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44547</v>
      </c>
      <c r="E902" s="1" t="n">
        <v>46271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51930-2023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45223</v>
      </c>
      <c r="E903" s="1" t="n">
        <v>46271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4414-2022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44589</v>
      </c>
      <c r="E904" s="1" t="n">
        <v>46271</v>
      </c>
      <c r="F904" t="inlineStr">
        <is>
          <t>GÄVLEBORGS LÄN</t>
        </is>
      </c>
      <c r="G904" t="inlineStr">
        <is>
          <t>NORDANSTIG</t>
        </is>
      </c>
      <c r="I904" t="n">
        <v>12.6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41773-2025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45902</v>
      </c>
      <c r="E905" s="1" t="n">
        <v>46271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48636-2024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45593</v>
      </c>
      <c r="E906" s="1" t="n">
        <v>46271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9884-2023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44985</v>
      </c>
      <c r="E907" s="1" t="n">
        <v>46271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55694-2024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45622</v>
      </c>
      <c r="E908" s="1" t="n">
        <v>46271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11434-2024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45372</v>
      </c>
      <c r="E909" s="1" t="n">
        <v>46271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32092-2026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46234</v>
      </c>
      <c r="E910" s="1" t="n">
        <v>46271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15226-2023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45019</v>
      </c>
      <c r="E911" s="1" t="n">
        <v>46271</v>
      </c>
      <c r="F911" t="inlineStr">
        <is>
          <t>GÄVLEBORGS LÄN</t>
        </is>
      </c>
      <c r="G911" t="inlineStr">
        <is>
          <t>NORDANSTIG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19566-2025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46271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23369-2022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44720</v>
      </c>
      <c r="E913" s="1" t="n">
        <v>46271</v>
      </c>
      <c r="F913" t="inlineStr">
        <is>
          <t>GÄVLEBORGS LÄN</t>
        </is>
      </c>
      <c r="G913" t="inlineStr">
        <is>
          <t>NORDANSTIG</t>
        </is>
      </c>
      <c r="I913" t="n">
        <v>5.3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27975-2026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46271</v>
      </c>
      <c r="F914" t="inlineStr">
        <is>
          <t>GÄVLEBORGS LÄN</t>
        </is>
      </c>
      <c r="G914" t="inlineStr">
        <is>
          <t>NORDANSTIG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12607-2024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45382</v>
      </c>
      <c r="E915" s="1" t="n">
        <v>46271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28391-2026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46196</v>
      </c>
      <c r="E916" s="1" t="n">
        <v>46271</v>
      </c>
      <c r="F916" t="inlineStr">
        <is>
          <t>GÄVLEBORGS LÄN</t>
        </is>
      </c>
      <c r="G916" t="inlineStr">
        <is>
          <t>NORDANSTIG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46238</v>
      </c>
      <c r="E917" s="1" t="n">
        <v>46271</v>
      </c>
      <c r="F917" t="inlineStr">
        <is>
          <t>GÄVLEBORGS LÄN</t>
        </is>
      </c>
      <c r="G917" t="inlineStr">
        <is>
          <t>NORDANSTIG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45310-2022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44844</v>
      </c>
      <c r="E918" s="1" t="n">
        <v>46271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6820-2023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44967</v>
      </c>
      <c r="E919" s="1" t="n">
        <v>46271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27976-2026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46271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27981-2026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46195</v>
      </c>
      <c r="E921" s="1" t="n">
        <v>46271</v>
      </c>
      <c r="F921" t="inlineStr">
        <is>
          <t>GÄVLEBORGS LÄN</t>
        </is>
      </c>
      <c r="G921" t="inlineStr">
        <is>
          <t>NORDANSTIG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2592-2023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44943</v>
      </c>
      <c r="E922" s="1" t="n">
        <v>46271</v>
      </c>
      <c r="F922" t="inlineStr">
        <is>
          <t>GÄVLEBORGS LÄN</t>
        </is>
      </c>
      <c r="G922" t="inlineStr">
        <is>
          <t>NORDANSTIG</t>
        </is>
      </c>
      <c r="I922" t="n">
        <v>4.1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28226-2026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46196</v>
      </c>
      <c r="E923" s="1" t="n">
        <v>46271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31894-2026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46231</v>
      </c>
      <c r="E924" s="1" t="n">
        <v>46271</v>
      </c>
      <c r="F924" t="inlineStr">
        <is>
          <t>GÄVLEBORGS LÄN</t>
        </is>
      </c>
      <c r="G924" t="inlineStr">
        <is>
          <t>NORDANSTIG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28370-2026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46196</v>
      </c>
      <c r="E925" s="1" t="n">
        <v>46271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43075-2024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46271</v>
      </c>
      <c r="F926" t="inlineStr">
        <is>
          <t>GÄVLEBORGS LÄN</t>
        </is>
      </c>
      <c r="G926" t="inlineStr">
        <is>
          <t>NORDANSTIG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58891-2024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45636</v>
      </c>
      <c r="E927" s="1" t="n">
        <v>46271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56351-2024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45624</v>
      </c>
      <c r="E928" s="1" t="n">
        <v>46271</v>
      </c>
      <c r="F928" t="inlineStr">
        <is>
          <t>GÄVLEBORGS LÄN</t>
        </is>
      </c>
      <c r="G928" t="inlineStr">
        <is>
          <t>NORDANSTIG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32726-2026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46241</v>
      </c>
      <c r="E929" s="1" t="n">
        <v>46271</v>
      </c>
      <c r="F929" t="inlineStr">
        <is>
          <t>GÄVLEBORGS LÄN</t>
        </is>
      </c>
      <c r="G929" t="inlineStr">
        <is>
          <t>NORDANSTIG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58112-2024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45632</v>
      </c>
      <c r="E930" s="1" t="n">
        <v>46271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28777-2026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46198</v>
      </c>
      <c r="E931" s="1" t="n">
        <v>46271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18525-2025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45763</v>
      </c>
      <c r="E932" s="1" t="n">
        <v>46271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28724-2026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46271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28739-2026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46198</v>
      </c>
      <c r="E934" s="1" t="n">
        <v>46271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46178</v>
      </c>
      <c r="E935" s="1" t="n">
        <v>46271</v>
      </c>
      <c r="F935" t="inlineStr">
        <is>
          <t>GÄVLEBORGS LÄN</t>
        </is>
      </c>
      <c r="G935" t="inlineStr">
        <is>
          <t>NORDANSTIG</t>
        </is>
      </c>
      <c r="I935" t="n">
        <v>11.2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28529-2026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46271</v>
      </c>
      <c r="F936" t="inlineStr">
        <is>
          <t>GÄVLEBORGS LÄN</t>
        </is>
      </c>
      <c r="G936" t="inlineStr">
        <is>
          <t>NORDANSTIG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62816-2023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45271</v>
      </c>
      <c r="E937" s="1" t="n">
        <v>46271</v>
      </c>
      <c r="F937" t="inlineStr">
        <is>
          <t>GÄVLEBORGS LÄN</t>
        </is>
      </c>
      <c r="G937" t="inlineStr">
        <is>
          <t>NORDANSTIG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46271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37295-2022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44808</v>
      </c>
      <c r="E939" s="1" t="n">
        <v>46271</v>
      </c>
      <c r="F939" t="inlineStr">
        <is>
          <t>GÄVLEBORGS LÄN</t>
        </is>
      </c>
      <c r="G939" t="inlineStr">
        <is>
          <t>NORDANSTIG</t>
        </is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15385-2023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46271</v>
      </c>
      <c r="F940" t="inlineStr">
        <is>
          <t>GÄVLEBORGS LÄN</t>
        </is>
      </c>
      <c r="G940" t="inlineStr">
        <is>
          <t>NORDANSTIG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7149-2022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44603</v>
      </c>
      <c r="E941" s="1" t="n">
        <v>46271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55531-2024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45622</v>
      </c>
      <c r="E942" s="1" t="n">
        <v>46271</v>
      </c>
      <c r="F942" t="inlineStr">
        <is>
          <t>GÄVLEBORGS LÄN</t>
        </is>
      </c>
      <c r="G942" t="inlineStr">
        <is>
          <t>NORDANSTIG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29162-2026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46271</v>
      </c>
      <c r="F943" t="inlineStr">
        <is>
          <t>GÄVLEBORGS LÄN</t>
        </is>
      </c>
      <c r="G943" t="inlineStr">
        <is>
          <t>NORDANSTIG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32938-2026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46244</v>
      </c>
      <c r="E944" s="1" t="n">
        <v>46271</v>
      </c>
      <c r="F944" t="inlineStr">
        <is>
          <t>GÄVLEBORGS LÄN</t>
        </is>
      </c>
      <c r="G944" t="inlineStr">
        <is>
          <t>NORDANSTIG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7013-2023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44967</v>
      </c>
      <c r="E945" s="1" t="n">
        <v>46271</v>
      </c>
      <c r="F945" t="inlineStr">
        <is>
          <t>GÄVLEBORGS LÄN</t>
        </is>
      </c>
      <c r="G945" t="inlineStr">
        <is>
          <t>NORDANSTIG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7014-2023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44967</v>
      </c>
      <c r="E946" s="1" t="n">
        <v>46271</v>
      </c>
      <c r="F946" t="inlineStr">
        <is>
          <t>GÄVLEBORGS LÄN</t>
        </is>
      </c>
      <c r="G946" t="inlineStr">
        <is>
          <t>NORDANSTIG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37974-2024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45544</v>
      </c>
      <c r="E947" s="1" t="n">
        <v>46271</v>
      </c>
      <c r="F947" t="inlineStr">
        <is>
          <t>GÄVLEBORGS LÄN</t>
        </is>
      </c>
      <c r="G947" t="inlineStr">
        <is>
          <t>NORDANSTIG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54524-2024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46271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59422-2022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44907</v>
      </c>
      <c r="E949" s="1" t="n">
        <v>46271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37031-2024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45539</v>
      </c>
      <c r="E950" s="1" t="n">
        <v>46271</v>
      </c>
      <c r="F950" t="inlineStr">
        <is>
          <t>GÄVLEBORGS LÄN</t>
        </is>
      </c>
      <c r="G950" t="inlineStr">
        <is>
          <t>NORDANSTIG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46271</v>
      </c>
      <c r="F951" t="inlineStr">
        <is>
          <t>GÄVLEBORGS LÄN</t>
        </is>
      </c>
      <c r="G951" t="inlineStr">
        <is>
          <t>NORDANSTIG</t>
        </is>
      </c>
      <c r="I951" t="n">
        <v>7.4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51380-2024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45604</v>
      </c>
      <c r="E952" s="1" t="n">
        <v>46271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51988-2024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46271</v>
      </c>
      <c r="F953" t="inlineStr">
        <is>
          <t>GÄVLEBORGS LÄN</t>
        </is>
      </c>
      <c r="G953" t="inlineStr">
        <is>
          <t>NORDANSTIG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47762-2021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44448</v>
      </c>
      <c r="E954" s="1" t="n">
        <v>46271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38346-2024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45545</v>
      </c>
      <c r="E955" s="1" t="n">
        <v>46271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18322-2024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45422</v>
      </c>
      <c r="E956" s="1" t="n">
        <v>46271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54685-2024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45618</v>
      </c>
      <c r="E957" s="1" t="n">
        <v>46271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29733-2026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46204</v>
      </c>
      <c r="E958" s="1" t="n">
        <v>46271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23417-2023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45076</v>
      </c>
      <c r="E959" s="1" t="n">
        <v>46271</v>
      </c>
      <c r="F959" t="inlineStr">
        <is>
          <t>GÄVLEBORGS LÄN</t>
        </is>
      </c>
      <c r="G959" t="inlineStr">
        <is>
          <t>NORDANSTIG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45439</v>
      </c>
      <c r="E960" s="1" t="n">
        <v>46271</v>
      </c>
      <c r="F960" t="inlineStr">
        <is>
          <t>GÄVLEBORGS LÄN</t>
        </is>
      </c>
      <c r="G960" t="inlineStr">
        <is>
          <t>NORDANSTIG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30263-2026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46271</v>
      </c>
      <c r="F961" t="inlineStr">
        <is>
          <t>GÄVLEBORGS LÄN</t>
        </is>
      </c>
      <c r="G961" t="inlineStr">
        <is>
          <t>NORDANSTIG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20512-2022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44699</v>
      </c>
      <c r="E962" s="1" t="n">
        <v>46271</v>
      </c>
      <c r="F962" t="inlineStr">
        <is>
          <t>GÄVLEBORGS LÄN</t>
        </is>
      </c>
      <c r="G962" t="inlineStr">
        <is>
          <t>NORDANSTIG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8898-2024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45357</v>
      </c>
      <c r="E963" s="1" t="n">
        <v>46271</v>
      </c>
      <c r="F963" t="inlineStr">
        <is>
          <t>GÄVLEBORGS LÄN</t>
        </is>
      </c>
      <c r="G963" t="inlineStr">
        <is>
          <t>NORDANSTIG</t>
        </is>
      </c>
      <c r="I963" t="n">
        <v>8.199999999999999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41620-2023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45175</v>
      </c>
      <c r="E964" s="1" t="n">
        <v>46271</v>
      </c>
      <c r="F964" t="inlineStr">
        <is>
          <t>GÄVLEBORGS LÄN</t>
        </is>
      </c>
      <c r="G964" t="inlineStr">
        <is>
          <t>NORDANSTIG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12764-2025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45733</v>
      </c>
      <c r="E965" s="1" t="n">
        <v>46271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53691-2024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45615</v>
      </c>
      <c r="E966" s="1" t="n">
        <v>46271</v>
      </c>
      <c r="F966" t="inlineStr">
        <is>
          <t>GÄVLEBORGS LÄN</t>
        </is>
      </c>
      <c r="G966" t="inlineStr">
        <is>
          <t>NORDANSTIG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30259-2026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46206</v>
      </c>
      <c r="E967" s="1" t="n">
        <v>46271</v>
      </c>
      <c r="F967" t="inlineStr">
        <is>
          <t>GÄVLEBORGS LÄN</t>
        </is>
      </c>
      <c r="G967" t="inlineStr">
        <is>
          <t>NORDANSTIG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30267-2026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46271</v>
      </c>
      <c r="F968" t="inlineStr">
        <is>
          <t>GÄVLEBORGS LÄN</t>
        </is>
      </c>
      <c r="G968" t="inlineStr">
        <is>
          <t>NORDANSTIG</t>
        </is>
      </c>
      <c r="I968" t="n">
        <v>8.1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46271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44964</v>
      </c>
      <c r="E970" s="1" t="n">
        <v>46271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59799-2022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44908</v>
      </c>
      <c r="E971" s="1" t="n">
        <v>46271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45422</v>
      </c>
      <c r="E972" s="1" t="n">
        <v>46271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31571-2024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45506</v>
      </c>
      <c r="E973" s="1" t="n">
        <v>46271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5411-2022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44595</v>
      </c>
      <c r="E974" s="1" t="n">
        <v>46271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55450-2024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45622</v>
      </c>
      <c r="E975" s="1" t="n">
        <v>46271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55498-2024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45622</v>
      </c>
      <c r="E976" s="1" t="n">
        <v>46271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41957-2023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45177</v>
      </c>
      <c r="E977" s="1" t="n">
        <v>46271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46271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60839-2023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45260</v>
      </c>
      <c r="E979" s="1" t="n">
        <v>46271</v>
      </c>
      <c r="F979" t="inlineStr">
        <is>
          <t>GÄVLEBORGS LÄN</t>
        </is>
      </c>
      <c r="G979" t="inlineStr">
        <is>
          <t>NORDANSTIG</t>
        </is>
      </c>
      <c r="I979" t="n">
        <v>3.7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34229-2026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46253</v>
      </c>
      <c r="E980" s="1" t="n">
        <v>46271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4559-2025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45687</v>
      </c>
      <c r="E981" s="1" t="n">
        <v>46271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30431-2026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46209</v>
      </c>
      <c r="E982" s="1" t="n">
        <v>46271</v>
      </c>
      <c r="F982" t="inlineStr">
        <is>
          <t>GÄVLEBORGS LÄN</t>
        </is>
      </c>
      <c r="G982" t="inlineStr">
        <is>
          <t>NORDANSTIG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45741</v>
      </c>
      <c r="E983" s="1" t="n">
        <v>46271</v>
      </c>
      <c r="F983" t="inlineStr">
        <is>
          <t>GÄVLEBORGS LÄN</t>
        </is>
      </c>
      <c r="G983" t="inlineStr">
        <is>
          <t>NORDANSTIG</t>
        </is>
      </c>
      <c r="I983" t="n">
        <v>17.1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48832-2022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44859</v>
      </c>
      <c r="E984" s="1" t="n">
        <v>46271</v>
      </c>
      <c r="F984" t="inlineStr">
        <is>
          <t>GÄVLEBORGS LÄN</t>
        </is>
      </c>
      <c r="G984" t="inlineStr">
        <is>
          <t>NORDANSTIG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30428-2026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46271</v>
      </c>
      <c r="F985" t="inlineStr">
        <is>
          <t>GÄVLEBORGS LÄN</t>
        </is>
      </c>
      <c r="G985" t="inlineStr">
        <is>
          <t>NORDANSTIG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38332-2024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45545</v>
      </c>
      <c r="E986" s="1" t="n">
        <v>46271</v>
      </c>
      <c r="F986" t="inlineStr">
        <is>
          <t>GÄVLEBORGS LÄN</t>
        </is>
      </c>
      <c r="G986" t="inlineStr">
        <is>
          <t>NORDANSTIG</t>
        </is>
      </c>
      <c r="I986" t="n">
        <v>11.5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30390-2026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46271</v>
      </c>
      <c r="F987" t="inlineStr">
        <is>
          <t>GÄVLEBORGS LÄN</t>
        </is>
      </c>
      <c r="G987" t="inlineStr">
        <is>
          <t>NORDANSTIG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30391-2026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46209</v>
      </c>
      <c r="E988" s="1" t="n">
        <v>46271</v>
      </c>
      <c r="F988" t="inlineStr">
        <is>
          <t>GÄVLEBORGS LÄN</t>
        </is>
      </c>
      <c r="G988" t="inlineStr">
        <is>
          <t>NORDANSTIG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62089-2021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44502</v>
      </c>
      <c r="E989" s="1" t="n">
        <v>46271</v>
      </c>
      <c r="F989" t="inlineStr">
        <is>
          <t>GÄVLEBORGS LÄN</t>
        </is>
      </c>
      <c r="G989" t="inlineStr">
        <is>
          <t>NORDANSTIG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34235-2026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46271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46271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46253</v>
      </c>
      <c r="E992" s="1" t="n">
        <v>46271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32827-2023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45124</v>
      </c>
      <c r="E993" s="1" t="n">
        <v>46271</v>
      </c>
      <c r="F993" t="inlineStr">
        <is>
          <t>GÄVLEBORGS LÄN</t>
        </is>
      </c>
      <c r="G993" t="inlineStr">
        <is>
          <t>NORDANSTIG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33535-2022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44789</v>
      </c>
      <c r="E994" s="1" t="n">
        <v>46271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44789</v>
      </c>
      <c r="E995" s="1" t="n">
        <v>46271</v>
      </c>
      <c r="F995" t="inlineStr">
        <is>
          <t>GÄVLEBORGS LÄN</t>
        </is>
      </c>
      <c r="G995" t="inlineStr">
        <is>
          <t>NORDANSTIG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30078-2024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45489</v>
      </c>
      <c r="E996" s="1" t="n">
        <v>46271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46271</v>
      </c>
      <c r="F997" t="inlineStr">
        <is>
          <t>GÄVLEBORGS LÄN</t>
        </is>
      </c>
      <c r="G997" t="inlineStr">
        <is>
          <t>NORDANSTIG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59043-2024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46271</v>
      </c>
      <c r="F998" t="inlineStr">
        <is>
          <t>GÄVLEBORGS LÄN</t>
        </is>
      </c>
      <c r="G998" t="inlineStr">
        <is>
          <t>NORDANSTIG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18680-2025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45763</v>
      </c>
      <c r="E999" s="1" t="n">
        <v>46271</v>
      </c>
      <c r="F999" t="inlineStr">
        <is>
          <t>GÄVLEBORGS LÄN</t>
        </is>
      </c>
      <c r="G999" t="inlineStr">
        <is>
          <t>NORDANSTIG</t>
        </is>
      </c>
      <c r="I999" t="n">
        <v>9.4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46213</v>
      </c>
      <c r="E1000" s="1" t="n">
        <v>46271</v>
      </c>
      <c r="F1000" t="inlineStr">
        <is>
          <t>GÄVLEBORGS LÄN</t>
        </is>
      </c>
      <c r="G1000" t="inlineStr">
        <is>
          <t>NORDANSTIG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31366-2026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46213</v>
      </c>
      <c r="E1001" s="1" t="n">
        <v>46271</v>
      </c>
      <c r="F1001" t="inlineStr">
        <is>
          <t>GÄVLEBORGS LÄN</t>
        </is>
      </c>
      <c r="G1001" t="inlineStr">
        <is>
          <t>NORDANSTIG</t>
        </is>
      </c>
      <c r="I1001" t="n">
        <v>9.6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34542-2026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46255</v>
      </c>
      <c r="E1002" s="1" t="n">
        <v>46271</v>
      </c>
      <c r="F1002" t="inlineStr">
        <is>
          <t>GÄVLEBORGS LÄN</t>
        </is>
      </c>
      <c r="G1002" t="inlineStr">
        <is>
          <t>NORDANSTIG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20876-2025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45777</v>
      </c>
      <c r="E1003" s="1" t="n">
        <v>46271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34475-2026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46271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18707-2025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45763</v>
      </c>
      <c r="E1005" s="1" t="n">
        <v>46271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18716-2025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45763</v>
      </c>
      <c r="E1006" s="1" t="n">
        <v>46271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21725-2025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46271</v>
      </c>
      <c r="F1007" t="inlineStr">
        <is>
          <t>GÄVLEBORGS LÄN</t>
        </is>
      </c>
      <c r="G1007" t="inlineStr">
        <is>
          <t>NORDANSTIG</t>
        </is>
      </c>
      <c r="I1007" t="n">
        <v>6.4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8646-2026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46271</v>
      </c>
      <c r="F1008" t="inlineStr">
        <is>
          <t>GÄVLEBORGS LÄN</t>
        </is>
      </c>
      <c r="G1008" t="inlineStr">
        <is>
          <t>NORDANSTIG</t>
        </is>
      </c>
      <c r="I1008" t="n">
        <v>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12389-2023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44999</v>
      </c>
      <c r="E1009" s="1" t="n">
        <v>46271</v>
      </c>
      <c r="F1009" t="inlineStr">
        <is>
          <t>GÄVLEBORGS LÄN</t>
        </is>
      </c>
      <c r="G1009" t="inlineStr">
        <is>
          <t>NORDANSTIG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30879-2024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45498</v>
      </c>
      <c r="E1010" s="1" t="n">
        <v>46271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34998-2026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46259</v>
      </c>
      <c r="E1011" s="1" t="n">
        <v>46271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21928-2025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46271</v>
      </c>
      <c r="F1012" t="inlineStr">
        <is>
          <t>GÄVLEBORGS LÄN</t>
        </is>
      </c>
      <c r="G1012" t="inlineStr">
        <is>
          <t>NORDANSTIG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34999-2026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46259</v>
      </c>
      <c r="E1013" s="1" t="n">
        <v>46271</v>
      </c>
      <c r="F1013" t="inlineStr">
        <is>
          <t>GÄVLEBORGS LÄN</t>
        </is>
      </c>
      <c r="G1013" t="inlineStr">
        <is>
          <t>NORDANSTIG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32470-2023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45120</v>
      </c>
      <c r="E1014" s="1" t="n">
        <v>46271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46271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22319-2025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45786</v>
      </c>
      <c r="E1016" s="1" t="n">
        <v>46271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30899-2026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46213</v>
      </c>
      <c r="E1017" s="1" t="n">
        <v>46271</v>
      </c>
      <c r="F1017" t="inlineStr">
        <is>
          <t>GÄVLEBORGS LÄN</t>
        </is>
      </c>
      <c r="G1017" t="inlineStr">
        <is>
          <t>NORDANSTIG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46271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34693-2026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46258</v>
      </c>
      <c r="E1019" s="1" t="n">
        <v>46271</v>
      </c>
      <c r="F1019" t="inlineStr">
        <is>
          <t>GÄVLEBORGS LÄN</t>
        </is>
      </c>
      <c r="G1019" t="inlineStr">
        <is>
          <t>NORDANSTIG</t>
        </is>
      </c>
      <c r="I1019" t="n">
        <v>9.199999999999999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46043</v>
      </c>
      <c r="E1020" s="1" t="n">
        <v>46271</v>
      </c>
      <c r="F1020" t="inlineStr">
        <is>
          <t>GÄVLEBORGS LÄN</t>
        </is>
      </c>
      <c r="G1020" t="inlineStr">
        <is>
          <t>NORDANSTIG</t>
        </is>
      </c>
      <c r="I1020" t="n">
        <v>14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26671-2026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46271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33414-2022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44788</v>
      </c>
      <c r="E1022" s="1" t="n">
        <v>46271</v>
      </c>
      <c r="F1022" t="inlineStr">
        <is>
          <t>GÄVLEBORGS LÄN</t>
        </is>
      </c>
      <c r="G1022" t="inlineStr">
        <is>
          <t>NORDANSTIG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17678-2025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46271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23072-2025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45790</v>
      </c>
      <c r="E1024" s="1" t="n">
        <v>46271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23119-2025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45791</v>
      </c>
      <c r="E1025" s="1" t="n">
        <v>46271</v>
      </c>
      <c r="F1025" t="inlineStr">
        <is>
          <t>GÄVLEBORGS LÄN</t>
        </is>
      </c>
      <c r="G1025" t="inlineStr">
        <is>
          <t>NORDANSTIG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23154-2025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45791</v>
      </c>
      <c r="E1026" s="1" t="n">
        <v>46271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23122-2025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45791</v>
      </c>
      <c r="E1027" s="1" t="n">
        <v>46271</v>
      </c>
      <c r="F1027" t="inlineStr">
        <is>
          <t>GÄVLEBORGS LÄN</t>
        </is>
      </c>
      <c r="G1027" t="inlineStr">
        <is>
          <t>NORDANSTIG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16616-2025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45754</v>
      </c>
      <c r="E1028" s="1" t="n">
        <v>46271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20137-2023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45055</v>
      </c>
      <c r="E1029" s="1" t="n">
        <v>46271</v>
      </c>
      <c r="F1029" t="inlineStr">
        <is>
          <t>GÄVLEBORGS LÄN</t>
        </is>
      </c>
      <c r="G1029" t="inlineStr">
        <is>
          <t>NORDANSTIG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26700-2026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46271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46271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23791-2025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46271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46271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23623-2025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45792</v>
      </c>
      <c r="E1034" s="1" t="n">
        <v>46271</v>
      </c>
      <c r="F1034" t="inlineStr">
        <is>
          <t>GÄVLEBORGS LÄN</t>
        </is>
      </c>
      <c r="G1034" t="inlineStr">
        <is>
          <t>NORDANSTIG</t>
        </is>
      </c>
      <c r="I1034" t="n">
        <v>12.9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23788-2025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45793</v>
      </c>
      <c r="E1035" s="1" t="n">
        <v>46271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35342-2026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46261</v>
      </c>
      <c r="E1036" s="1" t="n">
        <v>46271</v>
      </c>
      <c r="F1036" t="inlineStr">
        <is>
          <t>GÄVLEBORGS LÄN</t>
        </is>
      </c>
      <c r="G1036" t="inlineStr">
        <is>
          <t>NORDANSTIG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46271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45312-2023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45191</v>
      </c>
      <c r="E1038" s="1" t="n">
        <v>46271</v>
      </c>
      <c r="F1038" t="inlineStr">
        <is>
          <t>GÄVLEBORGS LÄN</t>
        </is>
      </c>
      <c r="G1038" t="inlineStr">
        <is>
          <t>NORDANSTIG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24101-2025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45796</v>
      </c>
      <c r="E1039" s="1" t="n">
        <v>46271</v>
      </c>
      <c r="F1039" t="inlineStr">
        <is>
          <t>GÄVLEBORGS LÄN</t>
        </is>
      </c>
      <c r="G1039" t="inlineStr">
        <is>
          <t>NORDANSTIG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46271</v>
      </c>
      <c r="F1040" t="inlineStr">
        <is>
          <t>GÄVLEBORGS LÄN</t>
        </is>
      </c>
      <c r="G1040" t="inlineStr">
        <is>
          <t>NORDANSTIG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31385-2026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46220</v>
      </c>
      <c r="E1041" s="1" t="n">
        <v>46271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35782-2026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46265</v>
      </c>
      <c r="E1042" s="1" t="n">
        <v>46271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35546-2026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46262</v>
      </c>
      <c r="E1043" s="1" t="n">
        <v>46271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31406-2026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46220</v>
      </c>
      <c r="E1044" s="1" t="n">
        <v>46271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31423-2026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46271</v>
      </c>
      <c r="F1045" t="inlineStr">
        <is>
          <t>GÄVLEBORGS LÄN</t>
        </is>
      </c>
      <c r="G1045" t="inlineStr">
        <is>
          <t>NORDANSTIG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31538-2026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46223</v>
      </c>
      <c r="E1046" s="1" t="n">
        <v>46271</v>
      </c>
      <c r="F1046" t="inlineStr">
        <is>
          <t>GÄVLEBORGS LÄN</t>
        </is>
      </c>
      <c r="G1046" t="inlineStr">
        <is>
          <t>NORDANSTIG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31500-2026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46223</v>
      </c>
      <c r="E1047" s="1" t="n">
        <v>46271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62495-2025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46007</v>
      </c>
      <c r="E1048" s="1" t="n">
        <v>46271</v>
      </c>
      <c r="F1048" t="inlineStr">
        <is>
          <t>GÄVLEBORGS LÄN</t>
        </is>
      </c>
      <c r="G1048" t="inlineStr">
        <is>
          <t>NORDANSTIG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31698-2026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46226</v>
      </c>
      <c r="E1049" s="1" t="n">
        <v>46271</v>
      </c>
      <c r="F1049" t="inlineStr">
        <is>
          <t>GÄVLEBORGS LÄN</t>
        </is>
      </c>
      <c r="G1049" t="inlineStr">
        <is>
          <t>NORDANSTIG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36432-2026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46269</v>
      </c>
      <c r="E1050" s="1" t="n">
        <v>46271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31732-2026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46227</v>
      </c>
      <c r="E1051" s="1" t="n">
        <v>46271</v>
      </c>
      <c r="F1051" t="inlineStr">
        <is>
          <t>GÄVLEBORGS LÄN</t>
        </is>
      </c>
      <c r="G1051" t="inlineStr">
        <is>
          <t>NORDANSTIG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62496-2025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46007</v>
      </c>
      <c r="E1052" s="1" t="n">
        <v>46271</v>
      </c>
      <c r="F1052" t="inlineStr">
        <is>
          <t>GÄVLEBORGS LÄN</t>
        </is>
      </c>
      <c r="G1052" t="inlineStr">
        <is>
          <t>NORDANSTIG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31708-2026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46226</v>
      </c>
      <c r="E1053" s="1" t="n">
        <v>46271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46271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46271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46271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46271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46271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46271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46271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46271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46271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46271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46271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46271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46271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2026-09-06T02:05:12Z</dcterms:created>
  <dcterms:modified xmlns:dcterms="http://purl.org/dc/terms/" xmlns:xsi="http://www.w3.org/2001/XMLSchema-instance" xsi:type="dcterms:W3CDTF">2026-09-06T02:05:14Z</dcterms:modified>
</cp:coreProperties>
</file>