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45811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45811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45811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45811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45811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45811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45811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45811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45811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45811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45811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45811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45811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45811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45811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45811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45811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45811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45811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45811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45811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45811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45811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45811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45811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45811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45811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45811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45811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45811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45811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45811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45811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45811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45811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45811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45811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45811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45811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45811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45811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45811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45811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45811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45811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45811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45811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45811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45811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45811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45811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45811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45811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45811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45811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45811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45811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45811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45811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45811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45811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45811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45811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45811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45811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45811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45811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45811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45811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45811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45811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45811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45811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45811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45811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45811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45811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45811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45811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45811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45811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45811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45811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45811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45811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45811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45811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45811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45811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45811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45811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45811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45811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45811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45811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45811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45811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45811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45811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45811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45811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45811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45811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45811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45811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45811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45811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45811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45811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45811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45811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45811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45811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45811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45811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45811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45811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45811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45811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45811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45811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45811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45811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45811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45811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45811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45811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45811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45811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45811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45811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45811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45811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45811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45811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45811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45811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45811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45811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45811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45811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45811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45811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45811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45811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45811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45811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45811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45811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45811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45811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45811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45811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45811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45811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45811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45811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45811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45811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45811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45811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45811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45811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45811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45811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45811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45811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45811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45811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45811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45811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45811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45811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45811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45811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45811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45811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45811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45811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45811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45811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45811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45811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45811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45811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45811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45811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45811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45811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45811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45811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45811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45811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45811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45811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45811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45811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45811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45811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45811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45811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45811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45811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45811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45811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45811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45811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45811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45811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45811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45811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45811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45811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45811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45811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45811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45811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45811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45811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45811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45811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45811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45811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45811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45811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45811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45811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45811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45811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45811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45811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45811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45811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45811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45811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45811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45811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45811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45811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45811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45811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45811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45811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45811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45811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45811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45811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45811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45811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45811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45811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45811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45811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45811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45811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45811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45811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45811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45811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45811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45811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45811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45811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45811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45811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45811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45811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45811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45811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45811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45811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45811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45811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45811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45811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45811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45811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45811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45811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45811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45811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45811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45811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45811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45811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45811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45811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45811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45811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45811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45811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45811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45811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45811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45811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45811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45811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45811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45811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45811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45811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45811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45811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45811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45811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45811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45811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45811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45811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45811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45811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45811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45811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45811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45811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45811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45811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45811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45811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45811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45811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45811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45811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45811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45811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45811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45811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45811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45811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45811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45811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45811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45811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45811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45811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45811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45811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45811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45811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45811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45811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45811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45811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45811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45811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45811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45811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45811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45811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45811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45811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45811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45811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45811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45811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45811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45811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45811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45811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45811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45811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45811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45811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45811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45811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45811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45811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45811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45811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45811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45811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45811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45811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45811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45811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45811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45811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45811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45811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45811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45811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45811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45811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45811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45811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45811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45811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45811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45811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45811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45811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45811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45811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45811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45811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45811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45811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45811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45811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45811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45811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45811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45811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45811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45811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45811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45811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45811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45811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45811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45811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45811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45811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45811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45811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45811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45811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45811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45811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45811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45811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45811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45811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45811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45811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45811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45811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45811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45811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45811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45811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45811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45811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45811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45811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45811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45811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45811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45811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45811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45811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45811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45811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45811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45811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45811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45811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45811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45811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45811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45811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45811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45811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45811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45811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45811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45811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45811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45811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45811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45811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45811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45811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45811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45811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45811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45811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45811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45811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45811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45811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45811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45811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45811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45811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45811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45811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45811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45811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45811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45811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45811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45811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45811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45811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45811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45811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45811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45811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45811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45811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45811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45811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45811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45811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45811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45811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45811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45811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45811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45811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45811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45811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45811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45811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45811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45811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45811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45811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45811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45811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45811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45811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45811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45811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45811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45811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45811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45811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45811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45811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45811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45811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45811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45811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45811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45811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45811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45811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45811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45811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45811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45811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45811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45811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45811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45811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45811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45811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45811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45811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45811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45811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45811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45811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45811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45811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45811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45811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45811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45811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45811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45811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45811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45811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45811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45811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45811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45811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45811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45811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45811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45811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45811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45811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45811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45811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45811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45811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45811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45811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45811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45811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45811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45811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45811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45811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45811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45811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45811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45811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45811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45811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45811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45811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45811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45811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45811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45811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45811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45811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45811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45811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45811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45811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45811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45811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45811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45811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45811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45811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45811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45811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45811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45811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45811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45811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45811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45811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45811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45811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45811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45811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45811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45811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45811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45811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45811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45811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45811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45811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45811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45811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45811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45811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45811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45811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45811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45811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45811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45811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45811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45811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45811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45811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45811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45811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45811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45811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45811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45811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45811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45811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45811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45811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45811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45811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45811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45811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45811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45811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45811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45811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45811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45811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45811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45811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45811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45811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45811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45811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45811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45811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45811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45811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45811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45811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45811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45811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45811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45811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45811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45811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45811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45811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45811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45811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45811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45811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45811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45811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45811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45811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45811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45811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45811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45811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45811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45811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45811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45811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45811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45811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45811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45811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45811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45811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45811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45811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45811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45811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45811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45811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45811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45811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45811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45811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45811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45811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45811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45811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45811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45811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45811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45811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45811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45811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45811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45811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45811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45811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45811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45811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45811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45811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45811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45811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45811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45811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45811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45811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45811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45811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45811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45811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45811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45811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45811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45811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45811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45811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45811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45811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45811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45811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45811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45811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45811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45811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45811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45811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45811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45811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45811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45811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45811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45811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45811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45811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45811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45811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45811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45811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45811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45811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45811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45811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45811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45811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45811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45811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45811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45811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45811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45811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45811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45811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45811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45811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45811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45811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45811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45811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45811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45811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45811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45811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45811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45811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45811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45811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45811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45811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45811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45811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45811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45811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45811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45811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45811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45811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45811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45811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45811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45811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45811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45811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45811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45811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45811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45811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45811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45811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45811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45811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45811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45811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45811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45811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45811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45811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45811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45811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45811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45811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45811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45811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45811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45811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45811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45811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45811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45811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45811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45811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45811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45811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45811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45811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45811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45811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45811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45811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45811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45811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45811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45811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45811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45811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45811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45811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45811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45811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45811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45811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45811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45811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45811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45811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45811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45811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45811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45811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45811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45811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45811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45811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45811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45811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45811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45811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45811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45811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45811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45811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45811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45811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45811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45811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45811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45811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45811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45811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45811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45811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45811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45811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45811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45811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45811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45811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45811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45811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45811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45811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45811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45811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45811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45811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45811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45811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45811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45811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45811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45811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45811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45811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45811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45811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45811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45811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45811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45811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45811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45811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45811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45811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45811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45811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45811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45811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45811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45811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45811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45811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45811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45811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45811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45811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45811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45811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45811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45811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45811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45811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45811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45811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45811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45811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45811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45811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45811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45811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45811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45811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45811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45811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45811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45811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45811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45811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45811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45811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45811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45811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45811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45811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45811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45811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45811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45811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45811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45811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45811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45811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45811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45811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45811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45811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45811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45811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45811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45811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45811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45811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45811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45811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45811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45811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45811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45811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45811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45811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45811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45811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45811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45811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45811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45811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45811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45811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45811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45811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45811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45811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45811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45811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45811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45811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45811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45811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45811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45811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45811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45811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45811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45811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45811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45811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45811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45811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45811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45811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45811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45811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45811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45811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45811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45811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45811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45811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45811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45811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45811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45811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45811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45811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45811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45811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45811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45811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45811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45811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45811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45811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45811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45811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45811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45811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45811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45811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45811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45811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45811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45811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45811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45811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45811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45811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45811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45811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45811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45811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45811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45811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45811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45811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45811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45811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45811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45811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45811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45811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45811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45811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45811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45811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45811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45811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45811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45811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45811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45811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45811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45811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45811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45811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45811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45811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45811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45811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45811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45811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45811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45811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45811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45811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45811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45811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45811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45811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45811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45811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45811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45811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45811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45811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45811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45811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45811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45811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45811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45811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45811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45811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45811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45811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45811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45811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45811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45811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45811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45811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45811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45811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45811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45811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45811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45811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45811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45811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45811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45811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45811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45811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45811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45811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45811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45811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45811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45811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45811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45811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45811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45811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45811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45811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45811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45811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45811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45811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45811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45811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45811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45811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45811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45811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45811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45811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45811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45811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45811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45811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45811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45811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45811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45811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45811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45811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45811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45811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45811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45811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45811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45811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45811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45811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45811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45811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45811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45811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45811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45811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45811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45811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45811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45811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45811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45811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45811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45811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45811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45811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45811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45811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45811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45811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45811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45811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45811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45811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45811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45811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45811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45811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45811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45811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45811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45811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45811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45811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45811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45811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45811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45811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45811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45811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45811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45811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45811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45811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45811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45811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45811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45811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45811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45811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45811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45811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45811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45811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45811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45811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45811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45811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45811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45811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45811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45811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45811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45811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45811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45811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45811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45811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45811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45811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45811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45811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45811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45811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45811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45811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45811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45811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45811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45811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45811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45811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45811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45811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45811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45811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45811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45811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45811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45811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45811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45811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45811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45811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45811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45811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45811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45811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45811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45811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45811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45811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45811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45811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45811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45811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45811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45811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45811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45811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45811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45811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45811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45811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45811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45811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45811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45811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45811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45811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45811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45811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45811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45811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45811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45811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45811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45811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45811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45811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45811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45811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45811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45811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45811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45811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45811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45811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45811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45811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45811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45811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45811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45811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45811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45811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45811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45811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45811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45811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45811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45811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45811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45811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45811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45811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45811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45811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45811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45811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45811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45811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45811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45811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45811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45811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45811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45811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45811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45811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45811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45811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45811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45811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45811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45811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45811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45811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45811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45811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45811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45811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45811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45811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45811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45811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45811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45811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45811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45811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45811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45811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45811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45811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45811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45811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45811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45811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45811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45811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45811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45811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45811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45811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45811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45811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45811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45811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45811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45811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45811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45811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45811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45811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45811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45811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45811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45811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45811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45811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45811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45811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45811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45811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45811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45811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45811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45811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45811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45811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45811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45811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45811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45811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45811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45811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45811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45811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45811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45811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45811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45811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45811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45811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45811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45811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45811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45811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45811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45811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45811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45811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45811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45811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45811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45811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45811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45811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45811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45811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45811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45811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45811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45811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45811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45811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45811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45811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45811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45811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45811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45811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45811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45811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45811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45811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45811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45811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45811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45811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45811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45811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45811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45811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45811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45811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45811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45811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45811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45811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45811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45811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45811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45811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45811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45811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45811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45811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45811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45811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45811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45811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45811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45811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18445-2025</t>
        </is>
      </c>
      <c r="B1473" s="1" t="n">
        <v>45762</v>
      </c>
      <c r="C1473" s="1" t="n">
        <v>45811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5.2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18261-2025</t>
        </is>
      </c>
      <c r="B1474" s="1" t="n">
        <v>45762</v>
      </c>
      <c r="C1474" s="1" t="n">
        <v>45811</v>
      </c>
      <c r="D1474" t="inlineStr">
        <is>
          <t>GÄVLEBORGS LÄN</t>
        </is>
      </c>
      <c r="E1474" t="inlineStr">
        <is>
          <t>NORDANSTIG</t>
        </is>
      </c>
      <c r="G1474" t="n">
        <v>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18433-2025</t>
        </is>
      </c>
      <c r="B1475" s="1" t="n">
        <v>45762</v>
      </c>
      <c r="C1475" s="1" t="n">
        <v>45811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45811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45811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18525-2025</t>
        </is>
      </c>
      <c r="B1478" s="1" t="n">
        <v>45763</v>
      </c>
      <c r="C1478" s="1" t="n">
        <v>45811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18640-2025</t>
        </is>
      </c>
      <c r="B1479" s="1" t="n">
        <v>45763</v>
      </c>
      <c r="C1479" s="1" t="n">
        <v>45811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3.6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18680-2025</t>
        </is>
      </c>
      <c r="B1480" s="1" t="n">
        <v>45763</v>
      </c>
      <c r="C1480" s="1" t="n">
        <v>45811</v>
      </c>
      <c r="D1480" t="inlineStr">
        <is>
          <t>GÄVLEBORGS LÄN</t>
        </is>
      </c>
      <c r="E1480" t="inlineStr">
        <is>
          <t>NORDANSTIG</t>
        </is>
      </c>
      <c r="G1480" t="n">
        <v>9.4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18681-2025</t>
        </is>
      </c>
      <c r="B1481" s="1" t="n">
        <v>45763</v>
      </c>
      <c r="C1481" s="1" t="n">
        <v>45811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6.7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18716-2025</t>
        </is>
      </c>
      <c r="B1482" s="1" t="n">
        <v>45763</v>
      </c>
      <c r="C1482" s="1" t="n">
        <v>45811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45811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19610-2025</t>
        </is>
      </c>
      <c r="B1484" s="1" t="n">
        <v>45770</v>
      </c>
      <c r="C1484" s="1" t="n">
        <v>45811</v>
      </c>
      <c r="D1484" t="inlineStr">
        <is>
          <t>GÄVLEBORGS LÄN</t>
        </is>
      </c>
      <c r="E1484" t="inlineStr">
        <is>
          <t>NORDANSTIG</t>
        </is>
      </c>
      <c r="G1484" t="n">
        <v>5.8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19566-2025</t>
        </is>
      </c>
      <c r="B1485" s="1" t="n">
        <v>45770</v>
      </c>
      <c r="C1485" s="1" t="n">
        <v>45811</v>
      </c>
      <c r="D1485" t="inlineStr">
        <is>
          <t>GÄVLEBORGS LÄN</t>
        </is>
      </c>
      <c r="E1485" t="inlineStr">
        <is>
          <t>NORDANSTIG</t>
        </is>
      </c>
      <c r="G1485" t="n">
        <v>2.2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19569-2025</t>
        </is>
      </c>
      <c r="B1486" s="1" t="n">
        <v>45770</v>
      </c>
      <c r="C1486" s="1" t="n">
        <v>45811</v>
      </c>
      <c r="D1486" t="inlineStr">
        <is>
          <t>GÄVLEBORGS LÄN</t>
        </is>
      </c>
      <c r="E1486" t="inlineStr">
        <is>
          <t>NORDANSTIG</t>
        </is>
      </c>
      <c r="G1486" t="n">
        <v>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45811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45811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45811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45811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45811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45811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45811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45811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45811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45811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45811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45811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22310-2025</t>
        </is>
      </c>
      <c r="B1499" s="1" t="n">
        <v>45786</v>
      </c>
      <c r="C1499" s="1" t="n">
        <v>45811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22784-2025</t>
        </is>
      </c>
      <c r="B1500" s="1" t="n">
        <v>45789</v>
      </c>
      <c r="C1500" s="1" t="n">
        <v>45811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55.6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22689-2025</t>
        </is>
      </c>
      <c r="B1501" s="1" t="n">
        <v>45789</v>
      </c>
      <c r="C1501" s="1" t="n">
        <v>45811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22695-2025</t>
        </is>
      </c>
      <c r="B1502" s="1" t="n">
        <v>45789</v>
      </c>
      <c r="C1502" s="1" t="n">
        <v>45811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9.6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23072-2025</t>
        </is>
      </c>
      <c r="B1503" s="1" t="n">
        <v>45790</v>
      </c>
      <c r="C1503" s="1" t="n">
        <v>45811</v>
      </c>
      <c r="D1503" t="inlineStr">
        <is>
          <t>GÄVLEBORGS LÄN</t>
        </is>
      </c>
      <c r="E1503" t="inlineStr">
        <is>
          <t>NORDANSTIG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23207-2025</t>
        </is>
      </c>
      <c r="B1504" s="1" t="n">
        <v>45791</v>
      </c>
      <c r="C1504" s="1" t="n">
        <v>45811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13.8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23333-2025</t>
        </is>
      </c>
      <c r="B1505" s="1" t="n">
        <v>45791</v>
      </c>
      <c r="C1505" s="1" t="n">
        <v>45811</v>
      </c>
      <c r="D1505" t="inlineStr">
        <is>
          <t>GÄVLEBORGS LÄN</t>
        </is>
      </c>
      <c r="E1505" t="inlineStr">
        <is>
          <t>NORDANSTIG</t>
        </is>
      </c>
      <c r="F1505" t="inlineStr">
        <is>
          <t>Holmen skog AB</t>
        </is>
      </c>
      <c r="G1505" t="n">
        <v>19.1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23122-2025</t>
        </is>
      </c>
      <c r="B1506" s="1" t="n">
        <v>45791</v>
      </c>
      <c r="C1506" s="1" t="n">
        <v>45811</v>
      </c>
      <c r="D1506" t="inlineStr">
        <is>
          <t>GÄVLEBORGS LÄN</t>
        </is>
      </c>
      <c r="E1506" t="inlineStr">
        <is>
          <t>NORDANSTIG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45811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23154-2025</t>
        </is>
      </c>
      <c r="B1508" s="1" t="n">
        <v>45791</v>
      </c>
      <c r="C1508" s="1" t="n">
        <v>45811</v>
      </c>
      <c r="D1508" t="inlineStr">
        <is>
          <t>GÄVLEBORGS LÄN</t>
        </is>
      </c>
      <c r="E1508" t="inlineStr">
        <is>
          <t>NORDANSTIG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23623-2025</t>
        </is>
      </c>
      <c r="B1509" s="1" t="n">
        <v>45792</v>
      </c>
      <c r="C1509" s="1" t="n">
        <v>45811</v>
      </c>
      <c r="D1509" t="inlineStr">
        <is>
          <t>GÄVLEBORGS LÄN</t>
        </is>
      </c>
      <c r="E1509" t="inlineStr">
        <is>
          <t>NORDANSTIG</t>
        </is>
      </c>
      <c r="G1509" t="n">
        <v>12.9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23467-2025</t>
        </is>
      </c>
      <c r="B1510" s="1" t="n">
        <v>45792</v>
      </c>
      <c r="C1510" s="1" t="n">
        <v>45811</v>
      </c>
      <c r="D1510" t="inlineStr">
        <is>
          <t>GÄVLEBORGS LÄN</t>
        </is>
      </c>
      <c r="E1510" t="inlineStr">
        <is>
          <t>NORDANSTIG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23791-2025</t>
        </is>
      </c>
      <c r="B1511" s="1" t="n">
        <v>45793</v>
      </c>
      <c r="C1511" s="1" t="n">
        <v>45811</v>
      </c>
      <c r="D1511" t="inlineStr">
        <is>
          <t>GÄVLEBORGS LÄN</t>
        </is>
      </c>
      <c r="E1511" t="inlineStr">
        <is>
          <t>NORDANSTIG</t>
        </is>
      </c>
      <c r="F1511" t="inlineStr">
        <is>
          <t>Holmen skog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45811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23993-2025</t>
        </is>
      </c>
      <c r="B1513" s="1" t="n">
        <v>45796</v>
      </c>
      <c r="C1513" s="1" t="n">
        <v>45811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41.3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45811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25068-2025</t>
        </is>
      </c>
      <c r="B1515" s="1" t="n">
        <v>45799</v>
      </c>
      <c r="C1515" s="1" t="n">
        <v>45811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16.7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24758-2025</t>
        </is>
      </c>
      <c r="B1516" s="1" t="n">
        <v>45799</v>
      </c>
      <c r="C1516" s="1" t="n">
        <v>45811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23.2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  <c r="U1516">
        <f>HYPERLINK("https://klasma.github.io/Logging_212132/knärot/A 24758-2025 karta knärot.png", "A 24758-2025")</f>
        <v/>
      </c>
      <c r="V1516">
        <f>HYPERLINK("https://klasma.github.io/Logging_212132/klagomål/A 24758-2025 FSC-klagomål.docx", "A 24758-2025")</f>
        <v/>
      </c>
      <c r="W1516">
        <f>HYPERLINK("https://klasma.github.io/Logging_212132/klagomålsmail/A 24758-2025 FSC-klagomål mail.docx", "A 24758-2025")</f>
        <v/>
      </c>
      <c r="X1516">
        <f>HYPERLINK("https://klasma.github.io/Logging_212132/tillsyn/A 24758-2025 tillsynsbegäran.docx", "A 24758-2025")</f>
        <v/>
      </c>
      <c r="Y1516">
        <f>HYPERLINK("https://klasma.github.io/Logging_212132/tillsynsmail/A 24758-2025 tillsynsbegäran mail.docx", "A 24758-2025")</f>
        <v/>
      </c>
    </row>
    <row r="1517" ht="15" customHeight="1">
      <c r="A1517" t="inlineStr">
        <is>
          <t>A 25080-2025</t>
        </is>
      </c>
      <c r="B1517" s="1" t="n">
        <v>45799</v>
      </c>
      <c r="C1517" s="1" t="n">
        <v>45811</v>
      </c>
      <c r="D1517" t="inlineStr">
        <is>
          <t>GÄVLEBORGS LÄN</t>
        </is>
      </c>
      <c r="E1517" t="inlineStr">
        <is>
          <t>NORDANSTIG</t>
        </is>
      </c>
      <c r="G1517" t="n">
        <v>1.6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24938-2025</t>
        </is>
      </c>
      <c r="B1518" s="1" t="n">
        <v>45799</v>
      </c>
      <c r="C1518" s="1" t="n">
        <v>45811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30.1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25467-2025</t>
        </is>
      </c>
      <c r="B1519" s="1" t="n">
        <v>45802</v>
      </c>
      <c r="C1519" s="1" t="n">
        <v>45811</v>
      </c>
      <c r="D1519" t="inlineStr">
        <is>
          <t>GÄVLEBORGS LÄN</t>
        </is>
      </c>
      <c r="E1519" t="inlineStr">
        <is>
          <t>NORDANSTIG</t>
        </is>
      </c>
      <c r="F1519" t="inlineStr">
        <is>
          <t>Holmen skog AB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25468-2025</t>
        </is>
      </c>
      <c r="B1520" s="1" t="n">
        <v>45802</v>
      </c>
      <c r="C1520" s="1" t="n">
        <v>45811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25469-2025</t>
        </is>
      </c>
      <c r="B1521" s="1" t="n">
        <v>45802</v>
      </c>
      <c r="C1521" s="1" t="n">
        <v>45811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6.4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25724-2025</t>
        </is>
      </c>
      <c r="B1522" s="1" t="n">
        <v>45803</v>
      </c>
      <c r="C1522" s="1" t="n">
        <v>45811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10.1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26120-2025</t>
        </is>
      </c>
      <c r="B1523" s="1" t="n">
        <v>45805</v>
      </c>
      <c r="C1523" s="1" t="n">
        <v>45811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26636-2025</t>
        </is>
      </c>
      <c r="B1524" s="1" t="n">
        <v>45810</v>
      </c>
      <c r="C1524" s="1" t="n">
        <v>45811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42.8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2025-06-03T18:09:11Z</dcterms:created>
  <dcterms:modified xmlns:dcterms="http://purl.org/dc/terms/" xmlns:xsi="http://www.w3.org/2001/XMLSchema-instance" xsi:type="dcterms:W3CDTF">2025-06-03T18:09:12Z</dcterms:modified>
</cp:coreProperties>
</file>