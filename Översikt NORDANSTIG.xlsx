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46267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46267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46267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46267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46267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46267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46267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46267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46267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46267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46267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46267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46267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46267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46267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46267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46267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46267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46267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46267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46267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46267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Trana</t>
        </is>
      </c>
      <c r="W37">
        <f>HYPERLINK("https://klasma.github.io/Logging_2132/artfynd/A 18926-2022 artfynd.xlsx", "A 18926-2022")</f>
        <v/>
      </c>
      <c r="X37">
        <f>HYPERLINK("https://klasma.github.io/Logging_2132/kartor/A 18926-2022 karta.png", "A 18926-2022")</f>
        <v/>
      </c>
      <c r="Y37">
        <f>HYPERLINK("https://klasma.github.io/Logging_2132/kartor_geotiff/A 18926-2022 georefererad karta.tif", "A 18926-2022")</f>
        <v/>
      </c>
      <c r="AA37">
        <f>HYPERLINK("https://klasma.github.io/Logging_2132/klagomål/A 18926-2022 FSC-klagomål.docx", "A 18926-2022")</f>
        <v/>
      </c>
      <c r="AB37">
        <f>HYPERLINK("https://klasma.github.io/Logging_2132/klagomålsmail/A 18926-2022 FSC-klagomål mail.docx", "A 18926-2022")</f>
        <v/>
      </c>
      <c r="AC37">
        <f>HYPERLINK("https://klasma.github.io/Logging_2132/tillsyn/A 18926-2022 tillsynsbegäran.docx", "A 18926-2022")</f>
        <v/>
      </c>
      <c r="AD37">
        <f>HYPERLINK("https://klasma.github.io/Logging_2132/tillsynsmail/A 18926-2022 tillsynsbegäran mail.docx", "A 18926-2022")</f>
        <v/>
      </c>
      <c r="AE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46267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46267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46267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46267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46267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46267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46267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46267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46267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46267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46267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46267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46267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46267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46267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46267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46267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46267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46267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46267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46267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46267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22041-2022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46267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Svavelriska</t>
        </is>
      </c>
      <c r="W60">
        <f>HYPERLINK("https://klasma.github.io/Logging_2132/artfynd/A 22041-2022 artfynd.xlsx", "A 22041-2022")</f>
        <v/>
      </c>
      <c r="X60">
        <f>HYPERLINK("https://klasma.github.io/Logging_2132/kartor/A 22041-2022 karta.png", "A 22041-2022")</f>
        <v/>
      </c>
      <c r="Y60">
        <f>HYPERLINK("https://klasma.github.io/Logging_2132/kartor_geotiff/A 22041-2022 georefererad karta.tif", "A 22041-2022")</f>
        <v/>
      </c>
      <c r="AA60">
        <f>HYPERLINK("https://klasma.github.io/Logging_2132/klagomål/A 22041-2022 FSC-klagomål.docx", "A 22041-2022")</f>
        <v/>
      </c>
      <c r="AB60">
        <f>HYPERLINK("https://klasma.github.io/Logging_2132/klagomålsmail/A 22041-2022 FSC-klagomål mail.docx", "A 22041-2022")</f>
        <v/>
      </c>
      <c r="AC60">
        <f>HYPERLINK("https://klasma.github.io/Logging_2132/tillsyn/A 22041-2022 tillsynsbegäran.docx", "A 22041-2022")</f>
        <v/>
      </c>
      <c r="AD60">
        <f>HYPERLINK("https://klasma.github.io/Logging_2132/tillsynsmail/A 22041-2022 tillsynsbegäran mail.docx", "A 22041-2022")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46267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46267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46267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46267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13089-2025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45734</v>
      </c>
      <c r="E65" s="1" t="n">
        <v>46267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5.5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HYPERLINK("https://klasma.github.io/Logging_2132/artfynd/A 13089-2025 artfynd.xlsx", "A 13089-2025")</f>
        <v/>
      </c>
      <c r="X65">
        <f>HYPERLINK("https://klasma.github.io/Logging_2132/kartor/A 13089-2025 karta.png", "A 13089-2025")</f>
        <v/>
      </c>
      <c r="Y65">
        <f>HYPERLINK("https://klasma.github.io/Logging_2132/kartor_geotiff/A 13089-2025 georefererad karta.tif", "A 13089-2025")</f>
        <v/>
      </c>
      <c r="AA65">
        <f>HYPERLINK("https://klasma.github.io/Logging_2132/klagomål/A 13089-2025 FSC-klagomål.docx", "A 13089-2025")</f>
        <v/>
      </c>
      <c r="AB65">
        <f>HYPERLINK("https://klasma.github.io/Logging_2132/klagomålsmail/A 13089-2025 FSC-klagomål mail.docx", "A 13089-2025")</f>
        <v/>
      </c>
      <c r="AC65">
        <f>HYPERLINK("https://klasma.github.io/Logging_2132/tillsyn/A 13089-2025 tillsynsbegäran.docx", "A 13089-2025")</f>
        <v/>
      </c>
      <c r="AD65">
        <f>HYPERLINK("https://klasma.github.io/Logging_2132/tillsynsmail/A 13089-2025 tillsynsbegäran mail.docx", "A 13089-2025")</f>
        <v/>
      </c>
      <c r="AE65">
        <f>HYPERLINK("https://klasma.github.io/Logging_2132/fåglar/A 13089-2025 prioriterade fågelarter.docx", "A 13089-2025")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46267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46267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46267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46267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57806-2024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46267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HYPERLINK("https://klasma.github.io/Logging_2132/artfynd/A 57806-2024 artfynd.xlsx", "A 57806-2024")</f>
        <v/>
      </c>
      <c r="X70">
        <f>HYPERLINK("https://klasma.github.io/Logging_2132/kartor/A 57806-2024 karta.png", "A 57806-2024")</f>
        <v/>
      </c>
      <c r="Y70">
        <f>HYPERLINK("https://klasma.github.io/Logging_2132/kartor_geotiff/A 57806-2024 georefererad karta.tif", "A 57806-2024")</f>
        <v/>
      </c>
      <c r="Z70">
        <f>HYPERLINK("https://klasma.github.io/Logging_2132/knärot/A 57806-2024 karta knärot.png", "A 57806-2024")</f>
        <v/>
      </c>
      <c r="AA70">
        <f>HYPERLINK("https://klasma.github.io/Logging_2132/klagomål/A 57806-2024 FSC-klagomål.docx", "A 57806-2024")</f>
        <v/>
      </c>
      <c r="AB70">
        <f>HYPERLINK("https://klasma.github.io/Logging_2132/klagomålsmail/A 57806-2024 FSC-klagomål mail.docx", "A 57806-2024")</f>
        <v/>
      </c>
      <c r="AC70">
        <f>HYPERLINK("https://klasma.github.io/Logging_2132/tillsyn/A 57806-2024 tillsynsbegäran.docx", "A 57806-2024")</f>
        <v/>
      </c>
      <c r="AD70">
        <f>HYPERLINK("https://klasma.github.io/Logging_2132/tillsynsmail/A 57806-2024 tillsynsbegäran mail.docx", "A 57806-2024")</f>
        <v/>
      </c>
    </row>
    <row r="71" ht="15" customHeight="1">
      <c r="A71" t="inlineStr">
        <is>
          <t>A 3692-2022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44586</v>
      </c>
      <c r="E71" s="1" t="n">
        <v>46267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HYPERLINK("https://klasma.github.io/Logging_2132/artfynd/A 3692-2022 artfynd.xlsx", "A 3692-2022")</f>
        <v/>
      </c>
      <c r="X71">
        <f>HYPERLINK("https://klasma.github.io/Logging_2132/kartor/A 3692-2022 karta.png", "A 3692-2022")</f>
        <v/>
      </c>
      <c r="Y71">
        <f>HYPERLINK("https://klasma.github.io/Logging_2132/kartor_geotiff/A 3692-2022 georefererad karta.tif", "A 3692-2022")</f>
        <v/>
      </c>
      <c r="AA71">
        <f>HYPERLINK("https://klasma.github.io/Logging_2132/klagomål/A 3692-2022 FSC-klagomål.docx", "A 3692-2022")</f>
        <v/>
      </c>
      <c r="AB71">
        <f>HYPERLINK("https://klasma.github.io/Logging_2132/klagomålsmail/A 3692-2022 FSC-klagomål mail.docx", "A 3692-2022")</f>
        <v/>
      </c>
      <c r="AC71">
        <f>HYPERLINK("https://klasma.github.io/Logging_2132/tillsyn/A 3692-2022 tillsynsbegäran.docx", "A 3692-2022")</f>
        <v/>
      </c>
      <c r="AD71">
        <f>HYPERLINK("https://klasma.github.io/Logging_2132/tillsynsmail/A 3692-2022 tillsynsbegäran mail.docx", "A 3692-2022")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46267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46267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46267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46267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46267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46267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46267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46267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46267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46267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46267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46267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46267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46267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46267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46267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46267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46267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46267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46267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46267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46267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46267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46267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46267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46267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46267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46267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55314-2021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44475</v>
      </c>
      <c r="E104" s="1" t="n">
        <v>46267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46267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46267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46267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46267</v>
      </c>
      <c r="F108" t="inlineStr">
        <is>
          <t>GÄVLEBORGS LÄN</t>
        </is>
      </c>
      <c r="G108" t="inlineStr">
        <is>
          <t>NORDANSTIG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46267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46267</v>
      </c>
      <c r="F110" t="inlineStr">
        <is>
          <t>GÄVLEBORGS LÄN</t>
        </is>
      </c>
      <c r="G110" t="inlineStr">
        <is>
          <t>NORDANSTIG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72594-2021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46267</v>
      </c>
      <c r="F112" t="inlineStr">
        <is>
          <t>GÄVLEBORGS LÄN</t>
        </is>
      </c>
      <c r="G112" t="inlineStr">
        <is>
          <t>NORDANSTIG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46267</v>
      </c>
      <c r="F113" t="inlineStr">
        <is>
          <t>GÄVLEBORGS LÄN</t>
        </is>
      </c>
      <c r="G113" t="inlineStr">
        <is>
          <t>NORDANSTIG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46267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46267</v>
      </c>
      <c r="F115" t="inlineStr">
        <is>
          <t>GÄVLEBORGS LÄN</t>
        </is>
      </c>
      <c r="G115" t="inlineStr">
        <is>
          <t>NORDANSTIG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44651</v>
      </c>
      <c r="E116" s="1" t="n">
        <v>46267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63656-2021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46267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44461</v>
      </c>
      <c r="E118" s="1" t="n">
        <v>46267</v>
      </c>
      <c r="F118" t="inlineStr">
        <is>
          <t>GÄVLEBORGS LÄN</t>
        </is>
      </c>
      <c r="G118" t="inlineStr">
        <is>
          <t>NORDANSTIG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46267</v>
      </c>
      <c r="F119" t="inlineStr">
        <is>
          <t>GÄVLEBORGS LÄN</t>
        </is>
      </c>
      <c r="G119" t="inlineStr">
        <is>
          <t>NORDANSTIG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44691</v>
      </c>
      <c r="E120" s="1" t="n">
        <v>46267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46267</v>
      </c>
      <c r="F121" t="inlineStr">
        <is>
          <t>GÄVLEBORGS LÄN</t>
        </is>
      </c>
      <c r="G121" t="inlineStr">
        <is>
          <t>NORDANSTIG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46267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71973-2021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46267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46267</v>
      </c>
      <c r="F124" t="inlineStr">
        <is>
          <t>GÄVLEBORGS LÄN</t>
        </is>
      </c>
      <c r="G124" t="inlineStr">
        <is>
          <t>NORDANSTIG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72435-2021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44545</v>
      </c>
      <c r="E125" s="1" t="n">
        <v>46267</v>
      </c>
      <c r="F125" t="inlineStr">
        <is>
          <t>GÄVLEBORGS LÄN</t>
        </is>
      </c>
      <c r="G125" t="inlineStr">
        <is>
          <t>NORDANSTIG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44634</v>
      </c>
      <c r="E126" s="1" t="n">
        <v>46267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46267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59270-2021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46267</v>
      </c>
      <c r="F128" t="inlineStr">
        <is>
          <t>GÄVLEBORGS LÄN</t>
        </is>
      </c>
      <c r="G128" t="inlineStr">
        <is>
          <t>NORDANSTIG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67931-2021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46267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46267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46267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44692</v>
      </c>
      <c r="E132" s="1" t="n">
        <v>46267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46267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46267</v>
      </c>
      <c r="F134" t="inlineStr">
        <is>
          <t>GÄVLEBORGS LÄN</t>
        </is>
      </c>
      <c r="G134" t="inlineStr">
        <is>
          <t>NORDANSTIG</t>
        </is>
      </c>
      <c r="H134" t="inlineStr">
        <is>
          <t>SCA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46267</v>
      </c>
      <c r="F135" t="inlineStr">
        <is>
          <t>GÄVLEBORGS LÄN</t>
        </is>
      </c>
      <c r="G135" t="inlineStr">
        <is>
          <t>NORDANSTIG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46267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46267</v>
      </c>
      <c r="F137" t="inlineStr">
        <is>
          <t>GÄVLEBORGS LÄN</t>
        </is>
      </c>
      <c r="G137" t="inlineStr">
        <is>
          <t>NORDANSTIG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73725-2021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46267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25001-2022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46267</v>
      </c>
      <c r="F139" t="inlineStr">
        <is>
          <t>GÄVLEBORGS LÄN</t>
        </is>
      </c>
      <c r="G139" t="inlineStr">
        <is>
          <t>NORDANSTIG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46267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44728</v>
      </c>
      <c r="E141" s="1" t="n">
        <v>46267</v>
      </c>
      <c r="F141" t="inlineStr">
        <is>
          <t>GÄVLEBORGS LÄN</t>
        </is>
      </c>
      <c r="G141" t="inlineStr">
        <is>
          <t>NORDANSTIG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46267</v>
      </c>
      <c r="F142" t="inlineStr">
        <is>
          <t>GÄVLEBORGS LÄN</t>
        </is>
      </c>
      <c r="G142" t="inlineStr">
        <is>
          <t>NORDANSTIG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46267</v>
      </c>
      <c r="F143" t="inlineStr">
        <is>
          <t>GÄVLEBORGS LÄN</t>
        </is>
      </c>
      <c r="G143" t="inlineStr">
        <is>
          <t>NORDANSTIG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46267</v>
      </c>
      <c r="F144" t="inlineStr">
        <is>
          <t>GÄVLEBORGS LÄN</t>
        </is>
      </c>
      <c r="G144" t="inlineStr">
        <is>
          <t>NORDANSTIG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44586</v>
      </c>
      <c r="E145" s="1" t="n">
        <v>46267</v>
      </c>
      <c r="F145" t="inlineStr">
        <is>
          <t>GÄVLEBORGS LÄN</t>
        </is>
      </c>
      <c r="G145" t="inlineStr">
        <is>
          <t>NORDANSTIG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46267</v>
      </c>
      <c r="F146" t="inlineStr">
        <is>
          <t>GÄVLEBORGS LÄN</t>
        </is>
      </c>
      <c r="G146" t="inlineStr">
        <is>
          <t>NORDANSTIG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46267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46267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44530</v>
      </c>
      <c r="E149" s="1" t="n">
        <v>46267</v>
      </c>
      <c r="F149" t="inlineStr">
        <is>
          <t>GÄVLEBORGS LÄN</t>
        </is>
      </c>
      <c r="G149" t="inlineStr">
        <is>
          <t>NORDANSTIG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46267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44503</v>
      </c>
      <c r="E151" s="1" t="n">
        <v>46267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46267</v>
      </c>
      <c r="F152" t="inlineStr">
        <is>
          <t>GÄVLEBORGS LÄN</t>
        </is>
      </c>
      <c r="G152" t="inlineStr">
        <is>
          <t>NORDANSTIG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46267</v>
      </c>
      <c r="F153" t="inlineStr">
        <is>
          <t>GÄVLEBORGS LÄN</t>
        </is>
      </c>
      <c r="G153" t="inlineStr">
        <is>
          <t>NORDANSTIG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46267</v>
      </c>
      <c r="F154" t="inlineStr">
        <is>
          <t>GÄVLEBORGS LÄN</t>
        </is>
      </c>
      <c r="G154" t="inlineStr">
        <is>
          <t>NORDANSTIG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44684</v>
      </c>
      <c r="E155" s="1" t="n">
        <v>46267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26113-2022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44734</v>
      </c>
      <c r="E156" s="1" t="n">
        <v>46267</v>
      </c>
      <c r="F156" t="inlineStr">
        <is>
          <t>GÄVLEBORGS LÄN</t>
        </is>
      </c>
      <c r="G156" t="inlineStr">
        <is>
          <t>NORDANSTIG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44728</v>
      </c>
      <c r="E157" s="1" t="n">
        <v>46267</v>
      </c>
      <c r="F157" t="inlineStr">
        <is>
          <t>GÄVLEBORGS LÄN</t>
        </is>
      </c>
      <c r="G157" t="inlineStr">
        <is>
          <t>NORDANSTIG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45712</v>
      </c>
      <c r="E158" s="1" t="n">
        <v>46267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44790</v>
      </c>
      <c r="E159" s="1" t="n">
        <v>46267</v>
      </c>
      <c r="F159" t="inlineStr">
        <is>
          <t>GÄVLEBORGS LÄN</t>
        </is>
      </c>
      <c r="G159" t="inlineStr">
        <is>
          <t>NORDANSTIG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45324</v>
      </c>
      <c r="E160" s="1" t="n">
        <v>46267</v>
      </c>
      <c r="F160" t="inlineStr">
        <is>
          <t>GÄVLEBORGS LÄN</t>
        </is>
      </c>
      <c r="G160" t="inlineStr">
        <is>
          <t>NORDANSTIG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46267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44789</v>
      </c>
      <c r="E162" s="1" t="n">
        <v>46267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44765</v>
      </c>
      <c r="E163" s="1" t="n">
        <v>46267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46267</v>
      </c>
      <c r="F164" t="inlineStr">
        <is>
          <t>GÄVLEBORGS LÄN</t>
        </is>
      </c>
      <c r="G164" t="inlineStr">
        <is>
          <t>NORDANSTIG</t>
        </is>
      </c>
      <c r="I164" t="n">
        <v>11.3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45183</v>
      </c>
      <c r="E165" s="1" t="n">
        <v>46267</v>
      </c>
      <c r="F165" t="inlineStr">
        <is>
          <t>GÄVLEBORGS LÄN</t>
        </is>
      </c>
      <c r="G165" t="inlineStr">
        <is>
          <t>NORDANSTIG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45741</v>
      </c>
      <c r="E167" s="1" t="n">
        <v>46267</v>
      </c>
      <c r="F167" t="inlineStr">
        <is>
          <t>GÄVLEBORGS LÄN</t>
        </is>
      </c>
      <c r="G167" t="inlineStr">
        <is>
          <t>NORDANSTIG</t>
        </is>
      </c>
      <c r="I167" t="n">
        <v>16.7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46267</v>
      </c>
      <c r="F168" t="inlineStr">
        <is>
          <t>GÄVLEBORGS LÄN</t>
        </is>
      </c>
      <c r="G168" t="inlineStr">
        <is>
          <t>NORDANSTIG</t>
        </is>
      </c>
      <c r="H168" t="inlineStr">
        <is>
          <t>SCA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44844</v>
      </c>
      <c r="E169" s="1" t="n">
        <v>46267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46267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46267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45426</v>
      </c>
      <c r="E172" s="1" t="n">
        <v>46267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46267</v>
      </c>
      <c r="F173" t="inlineStr">
        <is>
          <t>GÄVLEBORGS LÄN</t>
        </is>
      </c>
      <c r="G173" t="inlineStr">
        <is>
          <t>NORDANSTIG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45566</v>
      </c>
      <c r="E174" s="1" t="n">
        <v>46267</v>
      </c>
      <c r="F174" t="inlineStr">
        <is>
          <t>GÄVLEBORGS LÄN</t>
        </is>
      </c>
      <c r="G174" t="inlineStr">
        <is>
          <t>NORDANSTIG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46267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44832</v>
      </c>
      <c r="E176" s="1" t="n">
        <v>46267</v>
      </c>
      <c r="F176" t="inlineStr">
        <is>
          <t>GÄVLEBORGS LÄN</t>
        </is>
      </c>
      <c r="G176" t="inlineStr">
        <is>
          <t>NORDANSTIG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46267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44833</v>
      </c>
      <c r="E178" s="1" t="n">
        <v>46267</v>
      </c>
      <c r="F178" t="inlineStr">
        <is>
          <t>GÄVLEBORGS LÄN</t>
        </is>
      </c>
      <c r="G178" t="inlineStr">
        <is>
          <t>NORDANSTIG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46267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45139</v>
      </c>
      <c r="E180" s="1" t="n">
        <v>46267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46267</v>
      </c>
      <c r="F181" t="inlineStr">
        <is>
          <t>GÄVLEBORGS LÄN</t>
        </is>
      </c>
      <c r="G181" t="inlineStr">
        <is>
          <t>NORDANSTIG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44552</v>
      </c>
      <c r="E182" s="1" t="n">
        <v>46267</v>
      </c>
      <c r="F182" t="inlineStr">
        <is>
          <t>GÄVLEBORGS LÄN</t>
        </is>
      </c>
      <c r="G182" t="inlineStr">
        <is>
          <t>NORDANSTIG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45489</v>
      </c>
      <c r="E183" s="1" t="n">
        <v>46267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46267</v>
      </c>
      <c r="F184" t="inlineStr">
        <is>
          <t>GÄVLEBORGS LÄN</t>
        </is>
      </c>
      <c r="G184" t="inlineStr">
        <is>
          <t>NORDANSTIG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45140</v>
      </c>
      <c r="E185" s="1" t="n">
        <v>46267</v>
      </c>
      <c r="F185" t="inlineStr">
        <is>
          <t>GÄVLEBORGS LÄN</t>
        </is>
      </c>
      <c r="G185" t="inlineStr">
        <is>
          <t>NORDANSTIG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46267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46267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46267</v>
      </c>
      <c r="F188" t="inlineStr">
        <is>
          <t>GÄVLEBORGS LÄN</t>
        </is>
      </c>
      <c r="G188" t="inlineStr">
        <is>
          <t>NORDANSTIG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45499</v>
      </c>
      <c r="E189" s="1" t="n">
        <v>46267</v>
      </c>
      <c r="F189" t="inlineStr">
        <is>
          <t>GÄVLEBORGS LÄN</t>
        </is>
      </c>
      <c r="G189" t="inlineStr">
        <is>
          <t>NORDANSTIG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45176</v>
      </c>
      <c r="E190" s="1" t="n">
        <v>46267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46267</v>
      </c>
      <c r="F191" t="inlineStr">
        <is>
          <t>GÄVLEBORGS LÄN</t>
        </is>
      </c>
      <c r="G191" t="inlineStr">
        <is>
          <t>NORDANSTIG</t>
        </is>
      </c>
      <c r="I191" t="n">
        <v>15.1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46267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46267</v>
      </c>
      <c r="F193" t="inlineStr">
        <is>
          <t>GÄVLEBORGS LÄN</t>
        </is>
      </c>
      <c r="G193" t="inlineStr">
        <is>
          <t>NORDANSTIG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46267</v>
      </c>
      <c r="F194" t="inlineStr">
        <is>
          <t>GÄVLEBORGS LÄN</t>
        </is>
      </c>
      <c r="G194" t="inlineStr">
        <is>
          <t>NORDANSTIG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44930</v>
      </c>
      <c r="E195" s="1" t="n">
        <v>46267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46267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46267</v>
      </c>
      <c r="F197" t="inlineStr">
        <is>
          <t>GÄVLEBORGS LÄN</t>
        </is>
      </c>
      <c r="G197" t="inlineStr">
        <is>
          <t>NORDANSTIG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45618</v>
      </c>
      <c r="E198" s="1" t="n">
        <v>46267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46267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46267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36464-2024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45537</v>
      </c>
      <c r="E201" s="1" t="n">
        <v>46267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SCA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74460-2021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46267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45545</v>
      </c>
      <c r="E203" s="1" t="n">
        <v>46267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46267</v>
      </c>
      <c r="F204" t="inlineStr">
        <is>
          <t>GÄVLEBORGS LÄN</t>
        </is>
      </c>
      <c r="G204" t="inlineStr">
        <is>
          <t>NORDANSTIG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46267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46267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46267</v>
      </c>
      <c r="F207" t="inlineStr">
        <is>
          <t>GÄVLEBORGS LÄN</t>
        </is>
      </c>
      <c r="G207" t="inlineStr">
        <is>
          <t>NORDANSTIG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46267</v>
      </c>
      <c r="F208" t="inlineStr">
        <is>
          <t>GÄVLEBORGS LÄN</t>
        </is>
      </c>
      <c r="G208" t="inlineStr">
        <is>
          <t>NORDANSTIG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45042</v>
      </c>
      <c r="E209" s="1" t="n">
        <v>46267</v>
      </c>
      <c r="F209" t="inlineStr">
        <is>
          <t>GÄVLEBORGS LÄN</t>
        </is>
      </c>
      <c r="G209" t="inlineStr">
        <is>
          <t>NORDANSTIG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45306</v>
      </c>
      <c r="E210" s="1" t="n">
        <v>46267</v>
      </c>
      <c r="F210" t="inlineStr">
        <is>
          <t>GÄVLEBORGS LÄN</t>
        </is>
      </c>
      <c r="G210" t="inlineStr">
        <is>
          <t>NORDANSTIG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46267</v>
      </c>
      <c r="F211" t="inlineStr">
        <is>
          <t>GÄVLEBORGS LÄN</t>
        </is>
      </c>
      <c r="G211" t="inlineStr">
        <is>
          <t>NORDANSTIG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45358</v>
      </c>
      <c r="E212" s="1" t="n">
        <v>46267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46267</v>
      </c>
      <c r="F213" t="inlineStr">
        <is>
          <t>GÄVLEBORGS LÄN</t>
        </is>
      </c>
      <c r="G213" t="inlineStr">
        <is>
          <t>NORDANSTIG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45880</v>
      </c>
      <c r="E214" s="1" t="n">
        <v>46267</v>
      </c>
      <c r="F214" t="inlineStr">
        <is>
          <t>GÄVLEBORGS LÄN</t>
        </is>
      </c>
      <c r="G214" t="inlineStr">
        <is>
          <t>NORDANSTIG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46267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46267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46267</v>
      </c>
      <c r="F217" t="inlineStr">
        <is>
          <t>GÄVLEBORGS LÄN</t>
        </is>
      </c>
      <c r="G217" t="inlineStr">
        <is>
          <t>NORDANSTIG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46267</v>
      </c>
      <c r="F218" t="inlineStr">
        <is>
          <t>GÄVLEBORGS LÄN</t>
        </is>
      </c>
      <c r="G218" t="inlineStr">
        <is>
          <t>NORDANSTIG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45309</v>
      </c>
      <c r="E219" s="1" t="n">
        <v>46267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46267</v>
      </c>
      <c r="F220" t="inlineStr">
        <is>
          <t>GÄVLEBORGS LÄN</t>
        </is>
      </c>
      <c r="G220" t="inlineStr">
        <is>
          <t>NORDANSTIG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38610-2025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45884</v>
      </c>
      <c r="E221" s="1" t="n">
        <v>46267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46267</v>
      </c>
      <c r="F222" t="inlineStr">
        <is>
          <t>GÄVLEBORGS LÄN</t>
        </is>
      </c>
      <c r="G222" t="inlineStr">
        <is>
          <t>NORDANSTIG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46267</v>
      </c>
      <c r="F223" t="inlineStr">
        <is>
          <t>GÄVLEBORGS LÄN</t>
        </is>
      </c>
      <c r="G223" t="inlineStr">
        <is>
          <t>NORDANSTIG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46267</v>
      </c>
      <c r="F224" t="inlineStr">
        <is>
          <t>GÄVLEBORGS LÄN</t>
        </is>
      </c>
      <c r="G224" t="inlineStr">
        <is>
          <t>NORDANSTIG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46267</v>
      </c>
      <c r="F225" t="inlineStr">
        <is>
          <t>GÄVLEBORGS LÄN</t>
        </is>
      </c>
      <c r="G225" t="inlineStr">
        <is>
          <t>NORDANSTIG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46267</v>
      </c>
      <c r="F226" t="inlineStr">
        <is>
          <t>GÄVLEBORGS LÄN</t>
        </is>
      </c>
      <c r="G226" t="inlineStr">
        <is>
          <t>NORDANSTIG</t>
        </is>
      </c>
      <c r="H226" t="inlineStr">
        <is>
          <t>SCA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46039</v>
      </c>
      <c r="E227" s="1" t="n">
        <v>46267</v>
      </c>
      <c r="F227" t="inlineStr">
        <is>
          <t>GÄVLEBORGS LÄN</t>
        </is>
      </c>
      <c r="G227" t="inlineStr">
        <is>
          <t>NORDANSTIG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46267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46267</v>
      </c>
      <c r="F229" t="inlineStr">
        <is>
          <t>GÄVLEBORGS LÄN</t>
        </is>
      </c>
      <c r="G229" t="inlineStr">
        <is>
          <t>NORDANSTIG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38295-2025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45883</v>
      </c>
      <c r="E230" s="1" t="n">
        <v>46267</v>
      </c>
      <c r="F230" t="inlineStr">
        <is>
          <t>GÄVLEBORGS LÄN</t>
        </is>
      </c>
      <c r="G230" t="inlineStr">
        <is>
          <t>NORDANSTIG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71442-2021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44540</v>
      </c>
      <c r="E231" s="1" t="n">
        <v>46267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46267</v>
      </c>
      <c r="F232" t="inlineStr">
        <is>
          <t>GÄVLEBORGS LÄN</t>
        </is>
      </c>
      <c r="G232" t="inlineStr">
        <is>
          <t>NORDANSTIG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46267</v>
      </c>
      <c r="F233" t="inlineStr">
        <is>
          <t>GÄVLEBORGS LÄN</t>
        </is>
      </c>
      <c r="G233" t="inlineStr">
        <is>
          <t>NORDANSTIG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46267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46267</v>
      </c>
      <c r="F235" t="inlineStr">
        <is>
          <t>GÄVLEBORGS LÄN</t>
        </is>
      </c>
      <c r="G235" t="inlineStr">
        <is>
          <t>NORDANSTIG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45663</v>
      </c>
      <c r="E236" s="1" t="n">
        <v>46267</v>
      </c>
      <c r="F236" t="inlineStr">
        <is>
          <t>GÄVLEBORGS LÄN</t>
        </is>
      </c>
      <c r="G236" t="inlineStr">
        <is>
          <t>NORDANSTIG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46267</v>
      </c>
      <c r="F237" t="inlineStr">
        <is>
          <t>GÄVLEBORGS LÄN</t>
        </is>
      </c>
      <c r="G237" t="inlineStr">
        <is>
          <t>NORDANSTIG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46267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46267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46267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46267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46267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45748</v>
      </c>
      <c r="E243" s="1" t="n">
        <v>46267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46267</v>
      </c>
      <c r="F244" t="inlineStr">
        <is>
          <t>GÄVLEBORGS LÄN</t>
        </is>
      </c>
      <c r="G244" t="inlineStr">
        <is>
          <t>NORDANSTIG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46267</v>
      </c>
      <c r="F245" t="inlineStr">
        <is>
          <t>GÄVLEBORGS LÄN</t>
        </is>
      </c>
      <c r="G245" t="inlineStr">
        <is>
          <t>NORDANSTIG</t>
        </is>
      </c>
      <c r="I245" t="n">
        <v>24.7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46267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46267</v>
      </c>
      <c r="F247" t="inlineStr">
        <is>
          <t>GÄVLEBORGS LÄN</t>
        </is>
      </c>
      <c r="G247" t="inlineStr">
        <is>
          <t>NORDANSTIG</t>
        </is>
      </c>
      <c r="I247" t="n">
        <v>11.3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46267</v>
      </c>
      <c r="F248" t="inlineStr">
        <is>
          <t>GÄVLEBORGS LÄN</t>
        </is>
      </c>
      <c r="G248" t="inlineStr">
        <is>
          <t>NORDANSTIG</t>
        </is>
      </c>
      <c r="I248" t="n">
        <v>15.3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46267</v>
      </c>
      <c r="F249" t="inlineStr">
        <is>
          <t>GÄVLEBORGS LÄN</t>
        </is>
      </c>
      <c r="G249" t="inlineStr">
        <is>
          <t>NORDANSTIG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46267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9.199999999999999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46267</v>
      </c>
      <c r="F251" t="inlineStr">
        <is>
          <t>GÄVLEBORGS LÄN</t>
        </is>
      </c>
      <c r="G251" t="inlineStr">
        <is>
          <t>NORDANSTIG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46267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46267</v>
      </c>
      <c r="F253" t="inlineStr">
        <is>
          <t>GÄVLEBORGS LÄN</t>
        </is>
      </c>
      <c r="G253" t="inlineStr">
        <is>
          <t>NORDANSTIG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45687</v>
      </c>
      <c r="E254" s="1" t="n">
        <v>46267</v>
      </c>
      <c r="F254" t="inlineStr">
        <is>
          <t>GÄVLEBORGS LÄN</t>
        </is>
      </c>
      <c r="G254" t="inlineStr">
        <is>
          <t>NORDANSTIG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46267</v>
      </c>
      <c r="F255" t="inlineStr">
        <is>
          <t>GÄVLEBORGS LÄN</t>
        </is>
      </c>
      <c r="G255" t="inlineStr">
        <is>
          <t>NORDANSTIG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46267</v>
      </c>
      <c r="F256" t="inlineStr">
        <is>
          <t>GÄVLEBORGS LÄN</t>
        </is>
      </c>
      <c r="G256" t="inlineStr">
        <is>
          <t>NORDANSTIG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46267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46267</v>
      </c>
      <c r="F258" t="inlineStr">
        <is>
          <t>GÄVLEBORGS LÄN</t>
        </is>
      </c>
      <c r="G258" t="inlineStr">
        <is>
          <t>NORDANSTIG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46267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46267</v>
      </c>
      <c r="F260" t="inlineStr">
        <is>
          <t>GÄVLEBORGS LÄN</t>
        </is>
      </c>
      <c r="G260" t="inlineStr">
        <is>
          <t>NORDANSTIG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15312-2022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44659</v>
      </c>
      <c r="E261" s="1" t="n">
        <v>46267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46267</v>
      </c>
      <c r="F262" t="inlineStr">
        <is>
          <t>GÄVLEBORGS LÄN</t>
        </is>
      </c>
      <c r="G262" t="inlineStr">
        <is>
          <t>NORDANSTIG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45506</v>
      </c>
      <c r="E263" s="1" t="n">
        <v>46267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46267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46267</v>
      </c>
      <c r="F265" t="inlineStr">
        <is>
          <t>GÄVLEBORGS LÄN</t>
        </is>
      </c>
      <c r="G265" t="inlineStr">
        <is>
          <t>NORDANSTIG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46267</v>
      </c>
      <c r="F266" t="inlineStr">
        <is>
          <t>GÄVLEBORGS LÄN</t>
        </is>
      </c>
      <c r="G266" t="inlineStr">
        <is>
          <t>NORDANSTIG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46267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44692</v>
      </c>
      <c r="E268" s="1" t="n">
        <v>46267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46267</v>
      </c>
      <c r="F269" t="inlineStr">
        <is>
          <t>GÄVLEBORGS LÄN</t>
        </is>
      </c>
      <c r="G269" t="inlineStr">
        <is>
          <t>NORDANSTIG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46267</v>
      </c>
      <c r="F270" t="inlineStr">
        <is>
          <t>GÄVLEBORGS LÄN</t>
        </is>
      </c>
      <c r="G270" t="inlineStr">
        <is>
          <t>NORDANSTIG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46267</v>
      </c>
      <c r="F271" t="inlineStr">
        <is>
          <t>GÄVLEBORGS LÄN</t>
        </is>
      </c>
      <c r="G271" t="inlineStr">
        <is>
          <t>NORDANSTIG</t>
        </is>
      </c>
      <c r="I271" t="n">
        <v>15.3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46267</v>
      </c>
      <c r="F272" t="inlineStr">
        <is>
          <t>GÄVLEBORGS LÄN</t>
        </is>
      </c>
      <c r="G272" t="inlineStr">
        <is>
          <t>NORDANSTIG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46267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46267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46267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46267</v>
      </c>
      <c r="F276" t="inlineStr">
        <is>
          <t>GÄVLEBORGS LÄN</t>
        </is>
      </c>
      <c r="G276" t="inlineStr">
        <is>
          <t>NORDANSTIG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46267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46267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44967</v>
      </c>
      <c r="E279" s="1" t="n">
        <v>46267</v>
      </c>
      <c r="F279" t="inlineStr">
        <is>
          <t>GÄVLEBORGS LÄN</t>
        </is>
      </c>
      <c r="G279" t="inlineStr">
        <is>
          <t>NORDANSTIG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46267</v>
      </c>
      <c r="F280" t="inlineStr">
        <is>
          <t>GÄVLEBORGS LÄN</t>
        </is>
      </c>
      <c r="G280" t="inlineStr">
        <is>
          <t>NORDANSTIG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46267</v>
      </c>
      <c r="F281" t="inlineStr">
        <is>
          <t>GÄVLEBORGS LÄN</t>
        </is>
      </c>
      <c r="G281" t="inlineStr">
        <is>
          <t>NORDANSTIG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46267</v>
      </c>
      <c r="F282" t="inlineStr">
        <is>
          <t>GÄVLEBORGS LÄN</t>
        </is>
      </c>
      <c r="G282" t="inlineStr">
        <is>
          <t>NORDANSTIG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46267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46267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46267</v>
      </c>
      <c r="F285" t="inlineStr">
        <is>
          <t>GÄVLEBORGS LÄN</t>
        </is>
      </c>
      <c r="G285" t="inlineStr">
        <is>
          <t>NORDANSTIG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46267</v>
      </c>
      <c r="F286" t="inlineStr">
        <is>
          <t>GÄVLEBORGS LÄN</t>
        </is>
      </c>
      <c r="G286" t="inlineStr">
        <is>
          <t>NORDANSTIG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46267</v>
      </c>
      <c r="F287" t="inlineStr">
        <is>
          <t>GÄVLEBORGS LÄN</t>
        </is>
      </c>
      <c r="G287" t="inlineStr">
        <is>
          <t>NORDANSTIG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61141-2022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46267</v>
      </c>
      <c r="F288" t="inlineStr">
        <is>
          <t>GÄVLEBORGS LÄN</t>
        </is>
      </c>
      <c r="G288" t="inlineStr">
        <is>
          <t>NORDANSTIG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46267</v>
      </c>
      <c r="F289" t="inlineStr">
        <is>
          <t>GÄVLEBORGS LÄN</t>
        </is>
      </c>
      <c r="G289" t="inlineStr">
        <is>
          <t>NORDANSTIG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46267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46267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46267</v>
      </c>
      <c r="F292" t="inlineStr">
        <is>
          <t>GÄVLEBORGS LÄN</t>
        </is>
      </c>
      <c r="G292" t="inlineStr">
        <is>
          <t>NORDANSTIG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46267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46267</v>
      </c>
      <c r="F294" t="inlineStr">
        <is>
          <t>GÄVLEBORGS LÄN</t>
        </is>
      </c>
      <c r="G294" t="inlineStr">
        <is>
          <t>NORDANSTIG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32082-2025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45835</v>
      </c>
      <c r="E295" s="1" t="n">
        <v>46267</v>
      </c>
      <c r="F295" t="inlineStr">
        <is>
          <t>GÄVLEBORGS LÄN</t>
        </is>
      </c>
      <c r="G295" t="inlineStr">
        <is>
          <t>NORDANSTIG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46267</v>
      </c>
      <c r="F296" t="inlineStr">
        <is>
          <t>GÄVLEBORGS LÄN</t>
        </is>
      </c>
      <c r="G296" t="inlineStr">
        <is>
          <t>NORDANSTIG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46267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46267</v>
      </c>
      <c r="F298" t="inlineStr">
        <is>
          <t>GÄVLEBORGS LÄN</t>
        </is>
      </c>
      <c r="G298" t="inlineStr">
        <is>
          <t>NORDANSTIG</t>
        </is>
      </c>
      <c r="I298" t="n">
        <v>12.5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46267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4414-2022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44589</v>
      </c>
      <c r="E300" s="1" t="n">
        <v>46267</v>
      </c>
      <c r="F300" t="inlineStr">
        <is>
          <t>GÄVLEBORGS LÄN</t>
        </is>
      </c>
      <c r="G300" t="inlineStr">
        <is>
          <t>NORDANSTIG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59425-2022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44907</v>
      </c>
      <c r="E301" s="1" t="n">
        <v>46267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46267</v>
      </c>
      <c r="F302" t="inlineStr">
        <is>
          <t>GÄVLEBORGS LÄN</t>
        </is>
      </c>
      <c r="G302" t="inlineStr">
        <is>
          <t>NORDANSTIG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40104-2024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45554</v>
      </c>
      <c r="E303" s="1" t="n">
        <v>46267</v>
      </c>
      <c r="F303" t="inlineStr">
        <is>
          <t>GÄVLEBORGS LÄN</t>
        </is>
      </c>
      <c r="G303" t="inlineStr">
        <is>
          <t>NORDANSTIG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32736-2025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46267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46267</v>
      </c>
      <c r="F305" t="inlineStr">
        <is>
          <t>GÄVLEBORGS LÄN</t>
        </is>
      </c>
      <c r="G305" t="inlineStr">
        <is>
          <t>NORDANSTIG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46267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46267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45757</v>
      </c>
      <c r="E308" s="1" t="n">
        <v>46267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46267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46267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46267</v>
      </c>
      <c r="F311" t="inlineStr">
        <is>
          <t>GÄVLEBORGS LÄN</t>
        </is>
      </c>
      <c r="G311" t="inlineStr">
        <is>
          <t>NORDANSTIG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46267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46267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41729-2023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45176</v>
      </c>
      <c r="E314" s="1" t="n">
        <v>46267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41960-2025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46267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SCA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46267</v>
      </c>
      <c r="F316" t="inlineStr">
        <is>
          <t>GÄVLEBORGS LÄN</t>
        </is>
      </c>
      <c r="G316" t="inlineStr">
        <is>
          <t>NORDANSTIG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46267</v>
      </c>
      <c r="F317" t="inlineStr">
        <is>
          <t>GÄVLEBORGS LÄN</t>
        </is>
      </c>
      <c r="G317" t="inlineStr">
        <is>
          <t>NORDANSTIG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46267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46267</v>
      </c>
      <c r="F319" t="inlineStr">
        <is>
          <t>GÄVLEBORGS LÄN</t>
        </is>
      </c>
      <c r="G319" t="inlineStr">
        <is>
          <t>NORDANSTIG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45848</v>
      </c>
      <c r="E320" s="1" t="n">
        <v>46267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46267</v>
      </c>
      <c r="F321" t="inlineStr">
        <is>
          <t>GÄVLEBORGS LÄN</t>
        </is>
      </c>
      <c r="G321" t="inlineStr">
        <is>
          <t>NORDANSTIG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46267</v>
      </c>
      <c r="F322" t="inlineStr">
        <is>
          <t>GÄVLEBORGS LÄN</t>
        </is>
      </c>
      <c r="G322" t="inlineStr">
        <is>
          <t>NORDANSTIG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46267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45848</v>
      </c>
      <c r="E324" s="1" t="n">
        <v>46267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51806-2024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46267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46267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45590</v>
      </c>
      <c r="E327" s="1" t="n">
        <v>46267</v>
      </c>
      <c r="F327" t="inlineStr">
        <is>
          <t>GÄVLEBORGS LÄN</t>
        </is>
      </c>
      <c r="G327" t="inlineStr">
        <is>
          <t>NORDANSTIG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46267</v>
      </c>
      <c r="F328" t="inlineStr">
        <is>
          <t>GÄVLEBORGS LÄN</t>
        </is>
      </c>
      <c r="G328" t="inlineStr">
        <is>
          <t>NORDANSTIG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57013-2022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44894</v>
      </c>
      <c r="E329" s="1" t="n">
        <v>46267</v>
      </c>
      <c r="F329" t="inlineStr">
        <is>
          <t>GÄVLEBORGS LÄN</t>
        </is>
      </c>
      <c r="G329" t="inlineStr">
        <is>
          <t>NORDANSTIG</t>
        </is>
      </c>
      <c r="H329" t="inlineStr">
        <is>
          <t>SCA</t>
        </is>
      </c>
      <c r="I329" t="n">
        <v>11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46267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46267</v>
      </c>
      <c r="F331" t="inlineStr">
        <is>
          <t>GÄVLEBORGS LÄN</t>
        </is>
      </c>
      <c r="G331" t="inlineStr">
        <is>
          <t>NORDANSTIG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46267</v>
      </c>
      <c r="F332" t="inlineStr">
        <is>
          <t>GÄVLEBORGS LÄN</t>
        </is>
      </c>
      <c r="G332" t="inlineStr">
        <is>
          <t>NORDANSTIG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46267</v>
      </c>
      <c r="F333" t="inlineStr">
        <is>
          <t>GÄVLEBORGS LÄN</t>
        </is>
      </c>
      <c r="G333" t="inlineStr">
        <is>
          <t>NORDANSTIG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46267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46267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45859</v>
      </c>
      <c r="E336" s="1" t="n">
        <v>46267</v>
      </c>
      <c r="F336" t="inlineStr">
        <is>
          <t>GÄVLEBORGS LÄN</t>
        </is>
      </c>
      <c r="G336" t="inlineStr">
        <is>
          <t>NORDANSTIG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46267</v>
      </c>
      <c r="F337" t="inlineStr">
        <is>
          <t>GÄVLEBORGS LÄN</t>
        </is>
      </c>
      <c r="G337" t="inlineStr">
        <is>
          <t>NORDANSTIG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46267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46267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46267</v>
      </c>
      <c r="F340" t="inlineStr">
        <is>
          <t>GÄVLEBORGS LÄN</t>
        </is>
      </c>
      <c r="G340" t="inlineStr">
        <is>
          <t>NORDANSTIG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46267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46267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46267</v>
      </c>
      <c r="F343" t="inlineStr">
        <is>
          <t>GÄVLEBORGS LÄN</t>
        </is>
      </c>
      <c r="G343" t="inlineStr">
        <is>
          <t>NORDANSTIG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46267</v>
      </c>
      <c r="F344" t="inlineStr">
        <is>
          <t>GÄVLEBORGS LÄN</t>
        </is>
      </c>
      <c r="G344" t="inlineStr">
        <is>
          <t>NORDANSTIG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46267</v>
      </c>
      <c r="F345" t="inlineStr">
        <is>
          <t>GÄVLEBORGS LÄN</t>
        </is>
      </c>
      <c r="G345" t="inlineStr">
        <is>
          <t>NORDANSTIG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46267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46267</v>
      </c>
      <c r="F347" t="inlineStr">
        <is>
          <t>GÄVLEBORGS LÄN</t>
        </is>
      </c>
      <c r="G347" t="inlineStr">
        <is>
          <t>NORDANSTIG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45271</v>
      </c>
      <c r="E348" s="1" t="n">
        <v>46267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46267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46267</v>
      </c>
      <c r="F350" t="inlineStr">
        <is>
          <t>GÄVLEBORGS LÄN</t>
        </is>
      </c>
      <c r="G350" t="inlineStr">
        <is>
          <t>NORDANSTIG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46267</v>
      </c>
      <c r="F351" t="inlineStr">
        <is>
          <t>GÄVLEBORGS LÄN</t>
        </is>
      </c>
      <c r="G351" t="inlineStr">
        <is>
          <t>NORDANSTIG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46267</v>
      </c>
      <c r="F352" t="inlineStr">
        <is>
          <t>GÄVLEBORGS LÄN</t>
        </is>
      </c>
      <c r="G352" t="inlineStr">
        <is>
          <t>NORDANSTIG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45582</v>
      </c>
      <c r="E353" s="1" t="n">
        <v>46267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46267</v>
      </c>
      <c r="F354" t="inlineStr">
        <is>
          <t>GÄVLEBORGS LÄN</t>
        </is>
      </c>
      <c r="G354" t="inlineStr">
        <is>
          <t>NORDANSTIG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46267</v>
      </c>
      <c r="F355" t="inlineStr">
        <is>
          <t>GÄVLEBORGS LÄN</t>
        </is>
      </c>
      <c r="G355" t="inlineStr">
        <is>
          <t>NORDANSTIG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44978-2025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46267</v>
      </c>
      <c r="F356" t="inlineStr">
        <is>
          <t>GÄVLEBORGS LÄN</t>
        </is>
      </c>
      <c r="G356" t="inlineStr">
        <is>
          <t>NORDANSTIG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45919</v>
      </c>
      <c r="E357" s="1" t="n">
        <v>46267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45763</v>
      </c>
      <c r="E358" s="1" t="n">
        <v>46267</v>
      </c>
      <c r="F358" t="inlineStr">
        <is>
          <t>GÄVLEBORGS LÄN</t>
        </is>
      </c>
      <c r="G358" t="inlineStr">
        <is>
          <t>NORDANSTIG</t>
        </is>
      </c>
      <c r="I358" t="n">
        <v>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46267</v>
      </c>
      <c r="F359" t="inlineStr">
        <is>
          <t>GÄVLEBORGS LÄN</t>
        </is>
      </c>
      <c r="G359" t="inlineStr">
        <is>
          <t>NORDANSTIG</t>
        </is>
      </c>
      <c r="I359" t="n">
        <v>17.6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46267</v>
      </c>
      <c r="F360" t="inlineStr">
        <is>
          <t>GÄVLEBORGS LÄN</t>
        </is>
      </c>
      <c r="G360" t="inlineStr">
        <is>
          <t>NORDANSTIG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45020</v>
      </c>
      <c r="E361" s="1" t="n">
        <v>46267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45020</v>
      </c>
      <c r="E362" s="1" t="n">
        <v>46267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46267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44952</v>
      </c>
      <c r="E364" s="1" t="n">
        <v>46267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44952</v>
      </c>
      <c r="E365" s="1" t="n">
        <v>46267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46267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45902-2025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45923</v>
      </c>
      <c r="E367" s="1" t="n">
        <v>46267</v>
      </c>
      <c r="F367" t="inlineStr">
        <is>
          <t>GÄVLEBORGS LÄN</t>
        </is>
      </c>
      <c r="G367" t="inlineStr">
        <is>
          <t>NORDANSTIG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46267</v>
      </c>
      <c r="F368" t="inlineStr">
        <is>
          <t>GÄVLEBORGS LÄN</t>
        </is>
      </c>
      <c r="G368" t="inlineStr">
        <is>
          <t>NORDANSTIG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46267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48607-2023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46267</v>
      </c>
      <c r="F370" t="inlineStr">
        <is>
          <t>GÄVLEBORGS LÄN</t>
        </is>
      </c>
      <c r="G370" t="inlineStr">
        <is>
          <t>NORDANSTIG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44704</v>
      </c>
      <c r="E371" s="1" t="n">
        <v>46267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46267</v>
      </c>
      <c r="F372" t="inlineStr">
        <is>
          <t>GÄVLEBORGS LÄN</t>
        </is>
      </c>
      <c r="G372" t="inlineStr">
        <is>
          <t>NORDANSTIG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45140</v>
      </c>
      <c r="E373" s="1" t="n">
        <v>46267</v>
      </c>
      <c r="F373" t="inlineStr">
        <is>
          <t>GÄVLEBORGS LÄN</t>
        </is>
      </c>
      <c r="G373" t="inlineStr">
        <is>
          <t>NORDANSTIG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46267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21187-2022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46267</v>
      </c>
      <c r="F375" t="inlineStr">
        <is>
          <t>GÄVLEBORGS LÄN</t>
        </is>
      </c>
      <c r="G375" t="inlineStr">
        <is>
          <t>NORDANSTIG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45020</v>
      </c>
      <c r="E376" s="1" t="n">
        <v>46267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17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46267</v>
      </c>
      <c r="F377" t="inlineStr">
        <is>
          <t>GÄVLEBORGS LÄN</t>
        </is>
      </c>
      <c r="G377" t="inlineStr">
        <is>
          <t>NORDANSTIG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45881</v>
      </c>
      <c r="E378" s="1" t="n">
        <v>46267</v>
      </c>
      <c r="F378" t="inlineStr">
        <is>
          <t>GÄVLEBORGS LÄN</t>
        </is>
      </c>
      <c r="G378" t="inlineStr">
        <is>
          <t>NORDANSTIG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46267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59930-2024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45642</v>
      </c>
      <c r="E380" s="1" t="n">
        <v>46267</v>
      </c>
      <c r="F380" t="inlineStr">
        <is>
          <t>GÄVLEBORGS LÄN</t>
        </is>
      </c>
      <c r="G380" t="inlineStr">
        <is>
          <t>NORDANSTIG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46267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46053</v>
      </c>
      <c r="E382" s="1" t="n">
        <v>46267</v>
      </c>
      <c r="F382" t="inlineStr">
        <is>
          <t>GÄVLEBORGS LÄN</t>
        </is>
      </c>
      <c r="G382" t="inlineStr">
        <is>
          <t>NORDANSTIG</t>
        </is>
      </c>
      <c r="I382" t="n">
        <v>9.1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46053</v>
      </c>
      <c r="E383" s="1" t="n">
        <v>46267</v>
      </c>
      <c r="F383" t="inlineStr">
        <is>
          <t>GÄVLEBORGS LÄN</t>
        </is>
      </c>
      <c r="G383" t="inlineStr">
        <is>
          <t>NORDANSTIG</t>
        </is>
      </c>
      <c r="I383" t="n">
        <v>45.3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46267</v>
      </c>
      <c r="F384" t="inlineStr">
        <is>
          <t>GÄVLEBORGS LÄN</t>
        </is>
      </c>
      <c r="G384" t="inlineStr">
        <is>
          <t>NORDANSTIG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46267</v>
      </c>
      <c r="F385" t="inlineStr">
        <is>
          <t>GÄVLEBORGS LÄN</t>
        </is>
      </c>
      <c r="G385" t="inlineStr">
        <is>
          <t>NORDANSTIG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45062</v>
      </c>
      <c r="E386" s="1" t="n">
        <v>46267</v>
      </c>
      <c r="F386" t="inlineStr">
        <is>
          <t>GÄVLEBORGS LÄN</t>
        </is>
      </c>
      <c r="G386" t="inlineStr">
        <is>
          <t>NORDANSTIG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43652-2025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45912</v>
      </c>
      <c r="E387" s="1" t="n">
        <v>46267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46267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46267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44964</v>
      </c>
      <c r="E390" s="1" t="n">
        <v>46267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21085-2024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45439</v>
      </c>
      <c r="E391" s="1" t="n">
        <v>46267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46267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38589-2025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45884</v>
      </c>
      <c r="E393" s="1" t="n">
        <v>46267</v>
      </c>
      <c r="F393" t="inlineStr">
        <is>
          <t>GÄVLEBORGS LÄN</t>
        </is>
      </c>
      <c r="G393" t="inlineStr">
        <is>
          <t>NORDANSTIG</t>
        </is>
      </c>
      <c r="I393" t="n">
        <v>10.8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46267</v>
      </c>
      <c r="F394" t="inlineStr">
        <is>
          <t>GÄVLEBORGS LÄN</t>
        </is>
      </c>
      <c r="G394" t="inlineStr">
        <is>
          <t>NORDANSTIG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45610</v>
      </c>
      <c r="E395" s="1" t="n">
        <v>46267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46267</v>
      </c>
      <c r="F396" t="inlineStr">
        <is>
          <t>GÄVLEBORGS LÄN</t>
        </is>
      </c>
      <c r="G396" t="inlineStr">
        <is>
          <t>NORDANSTIG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45429</v>
      </c>
      <c r="E397" s="1" t="n">
        <v>46267</v>
      </c>
      <c r="F397" t="inlineStr">
        <is>
          <t>GÄVLEBORGS LÄN</t>
        </is>
      </c>
      <c r="G397" t="inlineStr">
        <is>
          <t>NORDANSTIG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45931</v>
      </c>
      <c r="E398" s="1" t="n">
        <v>46267</v>
      </c>
      <c r="F398" t="inlineStr">
        <is>
          <t>GÄVLEBORGS LÄN</t>
        </is>
      </c>
      <c r="G398" t="inlineStr">
        <is>
          <t>NORDANSTIG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45931</v>
      </c>
      <c r="E399" s="1" t="n">
        <v>46267</v>
      </c>
      <c r="F399" t="inlineStr">
        <is>
          <t>GÄVLEBORGS LÄN</t>
        </is>
      </c>
      <c r="G399" t="inlineStr">
        <is>
          <t>NORDANSTIG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46267</v>
      </c>
      <c r="F400" t="inlineStr">
        <is>
          <t>GÄVLEBORGS LÄN</t>
        </is>
      </c>
      <c r="G400" t="inlineStr">
        <is>
          <t>NORDANSTIG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46267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45936</v>
      </c>
      <c r="E402" s="1" t="n">
        <v>46267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46267</v>
      </c>
      <c r="F403" t="inlineStr">
        <is>
          <t>GÄVLEBORGS LÄN</t>
        </is>
      </c>
      <c r="G403" t="inlineStr">
        <is>
          <t>NORDANSTIG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45142</v>
      </c>
      <c r="E404" s="1" t="n">
        <v>46267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34918-2023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45142</v>
      </c>
      <c r="E405" s="1" t="n">
        <v>46267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45616</v>
      </c>
      <c r="E406" s="1" t="n">
        <v>46267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46267</v>
      </c>
      <c r="F407" t="inlineStr">
        <is>
          <t>GÄVLEBORGS LÄN</t>
        </is>
      </c>
      <c r="G407" t="inlineStr">
        <is>
          <t>NORDANSTIG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46267</v>
      </c>
      <c r="F408" t="inlineStr">
        <is>
          <t>GÄVLEBORGS LÄN</t>
        </is>
      </c>
      <c r="G408" t="inlineStr">
        <is>
          <t>NORDANSTIG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46267</v>
      </c>
      <c r="F409" t="inlineStr">
        <is>
          <t>GÄVLEBORGS LÄN</t>
        </is>
      </c>
      <c r="G409" t="inlineStr">
        <is>
          <t>NORDANSTIG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46267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46267</v>
      </c>
      <c r="F411" t="inlineStr">
        <is>
          <t>GÄVLEBORGS LÄN</t>
        </is>
      </c>
      <c r="G411" t="inlineStr">
        <is>
          <t>NORDANSTIG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45297</v>
      </c>
      <c r="E412" s="1" t="n">
        <v>46267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11113-2026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46079</v>
      </c>
      <c r="E413" s="1" t="n">
        <v>46267</v>
      </c>
      <c r="F413" t="inlineStr">
        <is>
          <t>GÄVLEBORGS LÄN</t>
        </is>
      </c>
      <c r="G413" t="inlineStr">
        <is>
          <t>NORDANSTIG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46267</v>
      </c>
      <c r="F414" t="inlineStr">
        <is>
          <t>GÄVLEBORGS LÄN</t>
        </is>
      </c>
      <c r="G414" t="inlineStr">
        <is>
          <t>NORDANSTIG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46267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46267</v>
      </c>
      <c r="F416" t="inlineStr">
        <is>
          <t>GÄVLEBORGS LÄN</t>
        </is>
      </c>
      <c r="G416" t="inlineStr">
        <is>
          <t>NORDANSTIG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45617</v>
      </c>
      <c r="E417" s="1" t="n">
        <v>46267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46267</v>
      </c>
      <c r="F418" t="inlineStr">
        <is>
          <t>GÄVLEBORGS LÄN</t>
        </is>
      </c>
      <c r="G418" t="inlineStr">
        <is>
          <t>NORDANSTIG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46267</v>
      </c>
      <c r="F419" t="inlineStr">
        <is>
          <t>GÄVLEBORGS LÄN</t>
        </is>
      </c>
      <c r="G419" t="inlineStr">
        <is>
          <t>NORDANSTIG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44999</v>
      </c>
      <c r="E420" s="1" t="n">
        <v>46267</v>
      </c>
      <c r="F420" t="inlineStr">
        <is>
          <t>GÄVLEBORGS LÄN</t>
        </is>
      </c>
      <c r="G420" t="inlineStr">
        <is>
          <t>NORDANSTIG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46267</v>
      </c>
      <c r="F421" t="inlineStr">
        <is>
          <t>GÄVLEBORGS LÄN</t>
        </is>
      </c>
      <c r="G421" t="inlineStr">
        <is>
          <t>NORDANSTIG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46267</v>
      </c>
      <c r="F422" t="inlineStr">
        <is>
          <t>GÄVLEBORGS LÄN</t>
        </is>
      </c>
      <c r="G422" t="inlineStr">
        <is>
          <t>NORDANSTIG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46267</v>
      </c>
      <c r="F423" t="inlineStr">
        <is>
          <t>GÄVLEBORGS LÄN</t>
        </is>
      </c>
      <c r="G423" t="inlineStr">
        <is>
          <t>NORDANSTIG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46267</v>
      </c>
      <c r="F424" t="inlineStr">
        <is>
          <t>GÄVLEBORGS LÄN</t>
        </is>
      </c>
      <c r="G424" t="inlineStr">
        <is>
          <t>NORDANSTIG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46267</v>
      </c>
      <c r="F425" t="inlineStr">
        <is>
          <t>GÄVLEBORGS LÄN</t>
        </is>
      </c>
      <c r="G425" t="inlineStr">
        <is>
          <t>NORDANSTIG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46267</v>
      </c>
      <c r="F426" t="inlineStr">
        <is>
          <t>GÄVLEBORGS LÄN</t>
        </is>
      </c>
      <c r="G426" t="inlineStr">
        <is>
          <t>NORDANSTIG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7944-2026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46063</v>
      </c>
      <c r="E427" s="1" t="n">
        <v>46267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46267</v>
      </c>
      <c r="F428" t="inlineStr">
        <is>
          <t>GÄVLEBORGS LÄN</t>
        </is>
      </c>
      <c r="G428" t="inlineStr">
        <is>
          <t>NORDANSTIG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46267</v>
      </c>
      <c r="F429" t="inlineStr">
        <is>
          <t>GÄVLEBORGS LÄN</t>
        </is>
      </c>
      <c r="G429" t="inlineStr">
        <is>
          <t>NORDANSTIG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46267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46267</v>
      </c>
      <c r="F431" t="inlineStr">
        <is>
          <t>GÄVLEBORGS LÄN</t>
        </is>
      </c>
      <c r="G431" t="inlineStr">
        <is>
          <t>NORDANSTIG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46267</v>
      </c>
      <c r="F432" t="inlineStr">
        <is>
          <t>GÄVLEBORGS LÄN</t>
        </is>
      </c>
      <c r="G432" t="inlineStr">
        <is>
          <t>NORDANSTIG</t>
        </is>
      </c>
      <c r="I432" t="n">
        <v>10.5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26728-2022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46267</v>
      </c>
      <c r="F433" t="inlineStr">
        <is>
          <t>GÄVLEBORGS LÄN</t>
        </is>
      </c>
      <c r="G433" t="inlineStr">
        <is>
          <t>NORDANSTIG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46267</v>
      </c>
      <c r="F434" t="inlineStr">
        <is>
          <t>GÄVLEBORGS LÄN</t>
        </is>
      </c>
      <c r="G434" t="inlineStr">
        <is>
          <t>NORDANSTIG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46267</v>
      </c>
      <c r="F435" t="inlineStr">
        <is>
          <t>GÄVLEBORGS LÄN</t>
        </is>
      </c>
      <c r="G435" t="inlineStr">
        <is>
          <t>NORDANSTIG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46267</v>
      </c>
      <c r="F436" t="inlineStr">
        <is>
          <t>GÄVLEBORGS LÄN</t>
        </is>
      </c>
      <c r="G436" t="inlineStr">
        <is>
          <t>NORDANSTIG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49273-2025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46267</v>
      </c>
      <c r="F437" t="inlineStr">
        <is>
          <t>GÄVLEBORGS LÄN</t>
        </is>
      </c>
      <c r="G437" t="inlineStr">
        <is>
          <t>NORDANSTIG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46267</v>
      </c>
      <c r="F438" t="inlineStr">
        <is>
          <t>GÄVLEBORGS LÄN</t>
        </is>
      </c>
      <c r="G438" t="inlineStr">
        <is>
          <t>NORDANSTIG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45938</v>
      </c>
      <c r="E439" s="1" t="n">
        <v>46267</v>
      </c>
      <c r="F439" t="inlineStr">
        <is>
          <t>GÄVLEBORGS LÄN</t>
        </is>
      </c>
      <c r="G439" t="inlineStr">
        <is>
          <t>NORDANSTIG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46267</v>
      </c>
      <c r="F440" t="inlineStr">
        <is>
          <t>GÄVLEBORGS LÄN</t>
        </is>
      </c>
      <c r="G440" t="inlineStr">
        <is>
          <t>NORDANSTIG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46267</v>
      </c>
      <c r="F441" t="inlineStr">
        <is>
          <t>GÄVLEBORGS LÄN</t>
        </is>
      </c>
      <c r="G441" t="inlineStr">
        <is>
          <t>NORDANSTIG</t>
        </is>
      </c>
      <c r="I441" t="n">
        <v>38.1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46267</v>
      </c>
      <c r="F442" t="inlineStr">
        <is>
          <t>GÄVLEBORGS LÄN</t>
        </is>
      </c>
      <c r="G442" t="inlineStr">
        <is>
          <t>NORDANSTIG</t>
        </is>
      </c>
      <c r="I442" t="n">
        <v>19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34783-2022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44795</v>
      </c>
      <c r="E443" s="1" t="n">
        <v>46267</v>
      </c>
      <c r="F443" t="inlineStr">
        <is>
          <t>GÄVLEBORGS LÄN</t>
        </is>
      </c>
      <c r="G443" t="inlineStr">
        <is>
          <t>NORDANSTIG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45939</v>
      </c>
      <c r="E444" s="1" t="n">
        <v>46267</v>
      </c>
      <c r="F444" t="inlineStr">
        <is>
          <t>GÄVLEBORGS LÄN</t>
        </is>
      </c>
      <c r="G444" t="inlineStr">
        <is>
          <t>NORDANSTIG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45939</v>
      </c>
      <c r="E445" s="1" t="n">
        <v>46267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49596-2025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45939</v>
      </c>
      <c r="E446" s="1" t="n">
        <v>46267</v>
      </c>
      <c r="F446" t="inlineStr">
        <is>
          <t>GÄVLEBORGS LÄN</t>
        </is>
      </c>
      <c r="G446" t="inlineStr">
        <is>
          <t>NORDANSTIG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46267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8.6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46063</v>
      </c>
      <c r="E448" s="1" t="n">
        <v>46267</v>
      </c>
      <c r="F448" t="inlineStr">
        <is>
          <t>GÄVLEBORGS LÄN</t>
        </is>
      </c>
      <c r="G448" t="inlineStr">
        <is>
          <t>NORDANSTIG</t>
        </is>
      </c>
      <c r="I448" t="n">
        <v>13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46267</v>
      </c>
      <c r="F449" t="inlineStr">
        <is>
          <t>GÄVLEBORGS LÄN</t>
        </is>
      </c>
      <c r="G449" t="inlineStr">
        <is>
          <t>NORDANSTIG</t>
        </is>
      </c>
      <c r="H449" t="inlineStr">
        <is>
          <t>Naturvårdsverket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46267</v>
      </c>
      <c r="F450" t="inlineStr">
        <is>
          <t>GÄVLEBORGS LÄN</t>
        </is>
      </c>
      <c r="G450" t="inlineStr">
        <is>
          <t>NORDANSTIG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46267</v>
      </c>
      <c r="F451" t="inlineStr">
        <is>
          <t>GÄVLEBORGS LÄN</t>
        </is>
      </c>
      <c r="G451" t="inlineStr">
        <is>
          <t>NORDANSTIG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45946</v>
      </c>
      <c r="E452" s="1" t="n">
        <v>46267</v>
      </c>
      <c r="F452" t="inlineStr">
        <is>
          <t>GÄVLEBORGS LÄN</t>
        </is>
      </c>
      <c r="G452" t="inlineStr">
        <is>
          <t>NORDANSTIG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50818-2025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45946</v>
      </c>
      <c r="E453" s="1" t="n">
        <v>46267</v>
      </c>
      <c r="F453" t="inlineStr">
        <is>
          <t>GÄVLEBORGS LÄN</t>
        </is>
      </c>
      <c r="G453" t="inlineStr">
        <is>
          <t>NORDANSTIG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46267</v>
      </c>
      <c r="F454" t="inlineStr">
        <is>
          <t>GÄVLEBORGS LÄN</t>
        </is>
      </c>
      <c r="G454" t="inlineStr">
        <is>
          <t>NORDANSTIG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51115-2025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45947</v>
      </c>
      <c r="E455" s="1" t="n">
        <v>46267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38048-2024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45544</v>
      </c>
      <c r="E456" s="1" t="n">
        <v>46267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18279-2023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45041</v>
      </c>
      <c r="E457" s="1" t="n">
        <v>46267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46267</v>
      </c>
      <c r="F458" t="inlineStr">
        <is>
          <t>GÄVLEBORGS LÄN</t>
        </is>
      </c>
      <c r="G458" t="inlineStr">
        <is>
          <t>NORDANSTIG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51101-2025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46267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46267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45947</v>
      </c>
      <c r="E461" s="1" t="n">
        <v>46267</v>
      </c>
      <c r="F461" t="inlineStr">
        <is>
          <t>GÄVLEBORGS LÄN</t>
        </is>
      </c>
      <c r="G461" t="inlineStr">
        <is>
          <t>NORDANSTIG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46267</v>
      </c>
      <c r="F462" t="inlineStr">
        <is>
          <t>GÄVLEBORGS LÄN</t>
        </is>
      </c>
      <c r="G462" t="inlineStr">
        <is>
          <t>NORDANSTIG</t>
        </is>
      </c>
      <c r="I462" t="n">
        <v>30.9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51464-2025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45950</v>
      </c>
      <c r="E463" s="1" t="n">
        <v>46267</v>
      </c>
      <c r="F463" t="inlineStr">
        <is>
          <t>GÄVLEBORGS LÄN</t>
        </is>
      </c>
      <c r="G463" t="inlineStr">
        <is>
          <t>NORDANSTIG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9032-2026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46267</v>
      </c>
      <c r="F464" t="inlineStr">
        <is>
          <t>GÄVLEBORGS LÄN</t>
        </is>
      </c>
      <c r="G464" t="inlineStr">
        <is>
          <t>NORDANSTIG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45951</v>
      </c>
      <c r="E465" s="1" t="n">
        <v>46267</v>
      </c>
      <c r="F465" t="inlineStr">
        <is>
          <t>GÄVLEBORGS LÄN</t>
        </is>
      </c>
      <c r="G465" t="inlineStr">
        <is>
          <t>NORDANSTIG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58912-2024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45636</v>
      </c>
      <c r="E466" s="1" t="n">
        <v>46267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46069</v>
      </c>
      <c r="E467" s="1" t="n">
        <v>46267</v>
      </c>
      <c r="F467" t="inlineStr">
        <is>
          <t>GÄVLEBORGS LÄN</t>
        </is>
      </c>
      <c r="G467" t="inlineStr">
        <is>
          <t>NORDANSTIG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44987</v>
      </c>
      <c r="E468" s="1" t="n">
        <v>46267</v>
      </c>
      <c r="F468" t="inlineStr">
        <is>
          <t>GÄVLEBORGS LÄN</t>
        </is>
      </c>
      <c r="G468" t="inlineStr">
        <is>
          <t>NORDANSTIG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46070</v>
      </c>
      <c r="E469" s="1" t="n">
        <v>46267</v>
      </c>
      <c r="F469" t="inlineStr">
        <is>
          <t>GÄVLEBORGS LÄN</t>
        </is>
      </c>
      <c r="G469" t="inlineStr">
        <is>
          <t>NORDANSTIG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46267</v>
      </c>
      <c r="F470" t="inlineStr">
        <is>
          <t>GÄVLEBORGS LÄN</t>
        </is>
      </c>
      <c r="G470" t="inlineStr">
        <is>
          <t>NORDANSTIG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44797</v>
      </c>
      <c r="E471" s="1" t="n">
        <v>46267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46070</v>
      </c>
      <c r="E472" s="1" t="n">
        <v>46267</v>
      </c>
      <c r="F472" t="inlineStr">
        <is>
          <t>GÄVLEBORGS LÄN</t>
        </is>
      </c>
      <c r="G472" t="inlineStr">
        <is>
          <t>NORDANSTIG</t>
        </is>
      </c>
      <c r="I472" t="n">
        <v>15.6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56494-2024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45625</v>
      </c>
      <c r="E473" s="1" t="n">
        <v>46267</v>
      </c>
      <c r="F473" t="inlineStr">
        <is>
          <t>GÄVLEBORGS LÄN</t>
        </is>
      </c>
      <c r="G473" t="inlineStr">
        <is>
          <t>NORDANSTIG</t>
        </is>
      </c>
      <c r="I473" t="n">
        <v>10.1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46267</v>
      </c>
      <c r="F474" t="inlineStr">
        <is>
          <t>GÄVLEBORGS LÄN</t>
        </is>
      </c>
      <c r="G474" t="inlineStr">
        <is>
          <t>NORDANSTIG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45958</v>
      </c>
      <c r="E475" s="1" t="n">
        <v>46267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46267</v>
      </c>
      <c r="F476" t="inlineStr">
        <is>
          <t>GÄVLEBORGS LÄN</t>
        </is>
      </c>
      <c r="G476" t="inlineStr">
        <is>
          <t>NORDANSTIG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9516-2026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46071</v>
      </c>
      <c r="E477" s="1" t="n">
        <v>46267</v>
      </c>
      <c r="F477" t="inlineStr">
        <is>
          <t>GÄVLEBORGS LÄN</t>
        </is>
      </c>
      <c r="G477" t="inlineStr">
        <is>
          <t>NORDANSTIG</t>
        </is>
      </c>
      <c r="I477" t="n">
        <v>12.2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9591-2026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46071</v>
      </c>
      <c r="E478" s="1" t="n">
        <v>46267</v>
      </c>
      <c r="F478" t="inlineStr">
        <is>
          <t>GÄVLEBORGS LÄN</t>
        </is>
      </c>
      <c r="G478" t="inlineStr">
        <is>
          <t>NORDANSTIG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44985</v>
      </c>
      <c r="E479" s="1" t="n">
        <v>46267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46267</v>
      </c>
      <c r="F480" t="inlineStr">
        <is>
          <t>GÄVLEBORGS LÄN</t>
        </is>
      </c>
      <c r="G480" t="inlineStr">
        <is>
          <t>NORDANSTIG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46267</v>
      </c>
      <c r="F481" t="inlineStr">
        <is>
          <t>GÄVLEBORGS LÄN</t>
        </is>
      </c>
      <c r="G481" t="inlineStr">
        <is>
          <t>NORDANSTIG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50827-2025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46267</v>
      </c>
      <c r="F482" t="inlineStr">
        <is>
          <t>GÄVLEBORGS LÄN</t>
        </is>
      </c>
      <c r="G482" t="inlineStr">
        <is>
          <t>NORDANSTIG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57196-2022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44895</v>
      </c>
      <c r="E483" s="1" t="n">
        <v>46267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42118-2022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44830</v>
      </c>
      <c r="E484" s="1" t="n">
        <v>46267</v>
      </c>
      <c r="F484" t="inlineStr">
        <is>
          <t>GÄVLEBORGS LÄN</t>
        </is>
      </c>
      <c r="G484" t="inlineStr">
        <is>
          <t>NORDANSTIG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45960</v>
      </c>
      <c r="E485" s="1" t="n">
        <v>46267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46267</v>
      </c>
      <c r="F486" t="inlineStr">
        <is>
          <t>GÄVLEBORGS LÄN</t>
        </is>
      </c>
      <c r="G486" t="inlineStr">
        <is>
          <t>NORDANSTIG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46267</v>
      </c>
      <c r="F487" t="inlineStr">
        <is>
          <t>GÄVLEBORGS LÄN</t>
        </is>
      </c>
      <c r="G487" t="inlineStr">
        <is>
          <t>NORDANSTIG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46267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46267</v>
      </c>
      <c r="F489" t="inlineStr">
        <is>
          <t>GÄVLEBORGS LÄN</t>
        </is>
      </c>
      <c r="G489" t="inlineStr">
        <is>
          <t>NORDANSTIG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45489</v>
      </c>
      <c r="E490" s="1" t="n">
        <v>46267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46267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46267</v>
      </c>
      <c r="F492" t="inlineStr">
        <is>
          <t>GÄVLEBORGS LÄN</t>
        </is>
      </c>
      <c r="G492" t="inlineStr">
        <is>
          <t>NORDANSTIG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46267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46267</v>
      </c>
      <c r="F494" t="inlineStr">
        <is>
          <t>GÄVLEBORGS LÄN</t>
        </is>
      </c>
      <c r="G494" t="inlineStr">
        <is>
          <t>NORDANSTIG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33535-2022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44789</v>
      </c>
      <c r="E495" s="1" t="n">
        <v>46267</v>
      </c>
      <c r="F495" t="inlineStr">
        <is>
          <t>GÄVLEBORGS LÄN</t>
        </is>
      </c>
      <c r="G495" t="inlineStr">
        <is>
          <t>NORDANSTIG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46267</v>
      </c>
      <c r="F496" t="inlineStr">
        <is>
          <t>GÄVLEBORGS LÄN</t>
        </is>
      </c>
      <c r="G496" t="inlineStr">
        <is>
          <t>NORDANSTIG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54373-2025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45965</v>
      </c>
      <c r="E497" s="1" t="n">
        <v>46267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46267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63145-2023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45273</v>
      </c>
      <c r="E499" s="1" t="n">
        <v>46267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10310-2026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46267</v>
      </c>
      <c r="F500" t="inlineStr">
        <is>
          <t>GÄVLEBORGS LÄN</t>
        </is>
      </c>
      <c r="G500" t="inlineStr">
        <is>
          <t>NORDANSTIG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46267</v>
      </c>
      <c r="F501" t="inlineStr">
        <is>
          <t>GÄVLEBORGS LÄN</t>
        </is>
      </c>
      <c r="G501" t="inlineStr">
        <is>
          <t>NORDANSTIG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40733-2023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45170</v>
      </c>
      <c r="E502" s="1" t="n">
        <v>46267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17853-2025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45758</v>
      </c>
      <c r="E503" s="1" t="n">
        <v>46267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55186-2025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45968</v>
      </c>
      <c r="E504" s="1" t="n">
        <v>46267</v>
      </c>
      <c r="F504" t="inlineStr">
        <is>
          <t>GÄVLEBORGS LÄN</t>
        </is>
      </c>
      <c r="G504" t="inlineStr">
        <is>
          <t>NORDANSTIG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34502-2024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45525</v>
      </c>
      <c r="E505" s="1" t="n">
        <v>46267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46267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46267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46078</v>
      </c>
      <c r="E508" s="1" t="n">
        <v>46267</v>
      </c>
      <c r="F508" t="inlineStr">
        <is>
          <t>GÄVLEBORGS LÄN</t>
        </is>
      </c>
      <c r="G508" t="inlineStr">
        <is>
          <t>NORDANSTIG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46267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46079</v>
      </c>
      <c r="E510" s="1" t="n">
        <v>46267</v>
      </c>
      <c r="F510" t="inlineStr">
        <is>
          <t>GÄVLEBORGS LÄN</t>
        </is>
      </c>
      <c r="G510" t="inlineStr">
        <is>
          <t>NORDANSTIG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46079</v>
      </c>
      <c r="E511" s="1" t="n">
        <v>46267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46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46267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46267</v>
      </c>
      <c r="F513" t="inlineStr">
        <is>
          <t>GÄVLEBORGS LÄN</t>
        </is>
      </c>
      <c r="G513" t="inlineStr">
        <is>
          <t>NORDANSTIG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46079</v>
      </c>
      <c r="E514" s="1" t="n">
        <v>46267</v>
      </c>
      <c r="F514" t="inlineStr">
        <is>
          <t>GÄVLEBORGS LÄN</t>
        </is>
      </c>
      <c r="G514" t="inlineStr">
        <is>
          <t>NORDANSTIG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56039-2025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46267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45177</v>
      </c>
      <c r="E516" s="1" t="n">
        <v>46267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56281-2024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45624</v>
      </c>
      <c r="E517" s="1" t="n">
        <v>46267</v>
      </c>
      <c r="F517" t="inlineStr">
        <is>
          <t>GÄVLEBORGS LÄN</t>
        </is>
      </c>
      <c r="G517" t="inlineStr">
        <is>
          <t>NORDANSTIG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55964-2025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46267</v>
      </c>
      <c r="F518" t="inlineStr">
        <is>
          <t>GÄVLEBORGS LÄN</t>
        </is>
      </c>
      <c r="G518" t="inlineStr">
        <is>
          <t>NORDANSTIG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46267</v>
      </c>
      <c r="F519" t="inlineStr">
        <is>
          <t>GÄVLEBORGS LÄN</t>
        </is>
      </c>
      <c r="G519" t="inlineStr">
        <is>
          <t>NORDANSTIG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46267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46267</v>
      </c>
      <c r="F521" t="inlineStr">
        <is>
          <t>GÄVLEBORGS LÄN</t>
        </is>
      </c>
      <c r="G521" t="inlineStr">
        <is>
          <t>NORDANSTIG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46267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45072</v>
      </c>
      <c r="E523" s="1" t="n">
        <v>46267</v>
      </c>
      <c r="F523" t="inlineStr">
        <is>
          <t>GÄVLEBORGS LÄN</t>
        </is>
      </c>
      <c r="G523" t="inlineStr">
        <is>
          <t>NORDANSTIG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56191-2025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45974</v>
      </c>
      <c r="E524" s="1" t="n">
        <v>46267</v>
      </c>
      <c r="F524" t="inlineStr">
        <is>
          <t>GÄVLEBORGS LÄN</t>
        </is>
      </c>
      <c r="G524" t="inlineStr">
        <is>
          <t>NORDANSTIG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45068</v>
      </c>
      <c r="E525" s="1" t="n">
        <v>46267</v>
      </c>
      <c r="F525" t="inlineStr">
        <is>
          <t>GÄVLEBORGS LÄN</t>
        </is>
      </c>
      <c r="G525" t="inlineStr">
        <is>
          <t>NORDANSTIG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46267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57559-2025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45980</v>
      </c>
      <c r="E527" s="1" t="n">
        <v>46267</v>
      </c>
      <c r="F527" t="inlineStr">
        <is>
          <t>GÄVLEBORGS LÄN</t>
        </is>
      </c>
      <c r="G527" t="inlineStr">
        <is>
          <t>NORDANSTIG</t>
        </is>
      </c>
      <c r="H527" t="inlineStr">
        <is>
          <t>SCA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57558-2025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45980</v>
      </c>
      <c r="E528" s="1" t="n">
        <v>46267</v>
      </c>
      <c r="F528" t="inlineStr">
        <is>
          <t>GÄVLEBORGS LÄN</t>
        </is>
      </c>
      <c r="G528" t="inlineStr">
        <is>
          <t>NORDANSTIG</t>
        </is>
      </c>
      <c r="H528" t="inlineStr">
        <is>
          <t>SCA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57284-2025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45979</v>
      </c>
      <c r="E529" s="1" t="n">
        <v>46267</v>
      </c>
      <c r="F529" t="inlineStr">
        <is>
          <t>GÄVLEBORGS LÄN</t>
        </is>
      </c>
      <c r="G529" t="inlineStr">
        <is>
          <t>NORDANSTIG</t>
        </is>
      </c>
      <c r="H529" t="inlineStr">
        <is>
          <t>SCA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45231</v>
      </c>
      <c r="E530" s="1" t="n">
        <v>46267</v>
      </c>
      <c r="F530" t="inlineStr">
        <is>
          <t>GÄVLEBORGS LÄN</t>
        </is>
      </c>
      <c r="G530" t="inlineStr">
        <is>
          <t>NORDANSTIG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46267</v>
      </c>
      <c r="F531" t="inlineStr">
        <is>
          <t>GÄVLEBORGS LÄN</t>
        </is>
      </c>
      <c r="G531" t="inlineStr">
        <is>
          <t>NORDANSTIG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46267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46267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46267</v>
      </c>
      <c r="F534" t="inlineStr">
        <is>
          <t>GÄVLEBORGS LÄN</t>
        </is>
      </c>
      <c r="G534" t="inlineStr">
        <is>
          <t>NORDANSTIG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11713-2026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46084</v>
      </c>
      <c r="E535" s="1" t="n">
        <v>46267</v>
      </c>
      <c r="F535" t="inlineStr">
        <is>
          <t>GÄVLEBORGS LÄN</t>
        </is>
      </c>
      <c r="G535" t="inlineStr">
        <is>
          <t>NORDANSTIG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46267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1483-2022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44573</v>
      </c>
      <c r="E537" s="1" t="n">
        <v>46267</v>
      </c>
      <c r="F537" t="inlineStr">
        <is>
          <t>GÄVLEBORGS LÄN</t>
        </is>
      </c>
      <c r="G537" t="inlineStr">
        <is>
          <t>NORDANSTIG</t>
        </is>
      </c>
      <c r="I537" t="n">
        <v>7.8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46267</v>
      </c>
      <c r="F538" t="inlineStr">
        <is>
          <t>GÄVLEBORGS LÄN</t>
        </is>
      </c>
      <c r="G538" t="inlineStr">
        <is>
          <t>NORDANSTIG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58522-2025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46267</v>
      </c>
      <c r="F539" t="inlineStr">
        <is>
          <t>GÄVLEBORGS LÄN</t>
        </is>
      </c>
      <c r="G539" t="inlineStr">
        <is>
          <t>NORDANSTIG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45044</v>
      </c>
      <c r="E540" s="1" t="n">
        <v>46267</v>
      </c>
      <c r="F540" t="inlineStr">
        <is>
          <t>GÄVLEBORGS LÄN</t>
        </is>
      </c>
      <c r="G540" t="inlineStr">
        <is>
          <t>NORDANSTIG</t>
        </is>
      </c>
      <c r="I540" t="n">
        <v>26.6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46267</v>
      </c>
      <c r="F541" t="inlineStr">
        <is>
          <t>GÄVLEBORGS LÄN</t>
        </is>
      </c>
      <c r="G541" t="inlineStr">
        <is>
          <t>NORDANSTIG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45986</v>
      </c>
      <c r="E542" s="1" t="n">
        <v>46267</v>
      </c>
      <c r="F542" t="inlineStr">
        <is>
          <t>GÄVLEBORGS LÄN</t>
        </is>
      </c>
      <c r="G542" t="inlineStr">
        <is>
          <t>NORDANSTIG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45985</v>
      </c>
      <c r="E543" s="1" t="n">
        <v>46267</v>
      </c>
      <c r="F543" t="inlineStr">
        <is>
          <t>GÄVLEBORGS LÄN</t>
        </is>
      </c>
      <c r="G543" t="inlineStr">
        <is>
          <t>NORDANSTIG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58535-2025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46267</v>
      </c>
      <c r="F544" t="inlineStr">
        <is>
          <t>GÄVLEBORGS LÄN</t>
        </is>
      </c>
      <c r="G544" t="inlineStr">
        <is>
          <t>NORDANSTIG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46267</v>
      </c>
      <c r="F545" t="inlineStr">
        <is>
          <t>GÄVLEBORGS LÄN</t>
        </is>
      </c>
      <c r="G545" t="inlineStr">
        <is>
          <t>NORDANSTIG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46267</v>
      </c>
      <c r="F546" t="inlineStr">
        <is>
          <t>GÄVLEBORGS LÄN</t>
        </is>
      </c>
      <c r="G546" t="inlineStr">
        <is>
          <t>NORDANSTIG</t>
        </is>
      </c>
      <c r="I546" t="n">
        <v>10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59008-2025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45987</v>
      </c>
      <c r="E547" s="1" t="n">
        <v>46267</v>
      </c>
      <c r="F547" t="inlineStr">
        <is>
          <t>GÄVLEBORGS LÄN</t>
        </is>
      </c>
      <c r="G547" t="inlineStr">
        <is>
          <t>NORDANSTIG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46267</v>
      </c>
      <c r="F548" t="inlineStr">
        <is>
          <t>GÄVLEBORGS LÄN</t>
        </is>
      </c>
      <c r="G548" t="inlineStr">
        <is>
          <t>NORDANSTIG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46267</v>
      </c>
      <c r="F549" t="inlineStr">
        <is>
          <t>GÄVLEBORGS LÄN</t>
        </is>
      </c>
      <c r="G549" t="inlineStr">
        <is>
          <t>NORDANSTIG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35931-2023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45148</v>
      </c>
      <c r="E550" s="1" t="n">
        <v>46267</v>
      </c>
      <c r="F550" t="inlineStr">
        <is>
          <t>GÄVLEBORGS LÄN</t>
        </is>
      </c>
      <c r="G550" t="inlineStr">
        <is>
          <t>NORDANSTIG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46267</v>
      </c>
      <c r="F551" t="inlineStr">
        <is>
          <t>GÄVLEBORGS LÄN</t>
        </is>
      </c>
      <c r="G551" t="inlineStr">
        <is>
          <t>NORDANSTIG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46267</v>
      </c>
      <c r="F552" t="inlineStr">
        <is>
          <t>GÄVLEBORGS LÄN</t>
        </is>
      </c>
      <c r="G552" t="inlineStr">
        <is>
          <t>NORDANSTIG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45037</v>
      </c>
      <c r="E553" s="1" t="n">
        <v>46267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45541</v>
      </c>
      <c r="E554" s="1" t="n">
        <v>46267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61419-2024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45646</v>
      </c>
      <c r="E555" s="1" t="n">
        <v>46267</v>
      </c>
      <c r="F555" t="inlineStr">
        <is>
          <t>GÄVLEBORGS LÄN</t>
        </is>
      </c>
      <c r="G555" t="inlineStr">
        <is>
          <t>NORDANSTIG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58184-2022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44900</v>
      </c>
      <c r="E556" s="1" t="n">
        <v>46267</v>
      </c>
      <c r="F556" t="inlineStr">
        <is>
          <t>GÄVLEBORGS LÄN</t>
        </is>
      </c>
      <c r="G556" t="inlineStr">
        <is>
          <t>NORDANSTIG</t>
        </is>
      </c>
      <c r="H556" t="inlineStr">
        <is>
          <t>SCA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46267</v>
      </c>
      <c r="F557" t="inlineStr">
        <is>
          <t>GÄVLEBORGS LÄN</t>
        </is>
      </c>
      <c r="G557" t="inlineStr">
        <is>
          <t>NORDANSTIG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46267</v>
      </c>
      <c r="F558" t="inlineStr">
        <is>
          <t>GÄVLEBORGS LÄN</t>
        </is>
      </c>
      <c r="G558" t="inlineStr">
        <is>
          <t>NORDANSTIG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44869</v>
      </c>
      <c r="E559" s="1" t="n">
        <v>46267</v>
      </c>
      <c r="F559" t="inlineStr">
        <is>
          <t>GÄVLEBORGS LÄN</t>
        </is>
      </c>
      <c r="G559" t="inlineStr">
        <is>
          <t>NORDANSTIG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45993</v>
      </c>
      <c r="E560" s="1" t="n">
        <v>46267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45994</v>
      </c>
      <c r="E561" s="1" t="n">
        <v>46267</v>
      </c>
      <c r="F561" t="inlineStr">
        <is>
          <t>GÄVLEBORGS LÄN</t>
        </is>
      </c>
      <c r="G561" t="inlineStr">
        <is>
          <t>NORDANSTIG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45545</v>
      </c>
      <c r="E562" s="1" t="n">
        <v>46267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45297</v>
      </c>
      <c r="E563" s="1" t="n">
        <v>46267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60372-2025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45995</v>
      </c>
      <c r="E564" s="1" t="n">
        <v>46267</v>
      </c>
      <c r="F564" t="inlineStr">
        <is>
          <t>GÄVLEBORGS LÄN</t>
        </is>
      </c>
      <c r="G564" t="inlineStr">
        <is>
          <t>NORDANSTIG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45555</v>
      </c>
      <c r="E565" s="1" t="n">
        <v>46267</v>
      </c>
      <c r="F565" t="inlineStr">
        <is>
          <t>GÄVLEBORGS LÄN</t>
        </is>
      </c>
      <c r="G565" t="inlineStr">
        <is>
          <t>NORDANSTIG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45999</v>
      </c>
      <c r="E566" s="1" t="n">
        <v>46267</v>
      </c>
      <c r="F566" t="inlineStr">
        <is>
          <t>GÄVLEBORGS LÄN</t>
        </is>
      </c>
      <c r="G566" t="inlineStr">
        <is>
          <t>NORDANSTIG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45573</v>
      </c>
      <c r="E567" s="1" t="n">
        <v>46267</v>
      </c>
      <c r="F567" t="inlineStr">
        <is>
          <t>GÄVLEBORGS LÄN</t>
        </is>
      </c>
      <c r="G567" t="inlineStr">
        <is>
          <t>NORDANSTIG</t>
        </is>
      </c>
      <c r="I567" t="n">
        <v>10.7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46267</v>
      </c>
      <c r="F568" t="inlineStr">
        <is>
          <t>GÄVLEBORGS LÄN</t>
        </is>
      </c>
      <c r="G568" t="inlineStr">
        <is>
          <t>NORDANSTIG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61072-2025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46267</v>
      </c>
      <c r="F569" t="inlineStr">
        <is>
          <t>GÄVLEBORGS LÄN</t>
        </is>
      </c>
      <c r="G569" t="inlineStr">
        <is>
          <t>NORDANSTIG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44964</v>
      </c>
      <c r="E570" s="1" t="n">
        <v>46267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32635-2022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44783</v>
      </c>
      <c r="E571" s="1" t="n">
        <v>46267</v>
      </c>
      <c r="F571" t="inlineStr">
        <is>
          <t>GÄVLEBORGS LÄN</t>
        </is>
      </c>
      <c r="G571" t="inlineStr">
        <is>
          <t>NORDANSTIG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61046-2025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46000</v>
      </c>
      <c r="E572" s="1" t="n">
        <v>46267</v>
      </c>
      <c r="F572" t="inlineStr">
        <is>
          <t>GÄVLEBORGS LÄN</t>
        </is>
      </c>
      <c r="G572" t="inlineStr">
        <is>
          <t>NORDANSTIG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46267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12956-2026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46267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46267</v>
      </c>
      <c r="F575" t="inlineStr">
        <is>
          <t>GÄVLEBORGS LÄN</t>
        </is>
      </c>
      <c r="G575" t="inlineStr">
        <is>
          <t>NORDANSTIG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46267</v>
      </c>
      <c r="F576" t="inlineStr">
        <is>
          <t>GÄVLEBORGS LÄN</t>
        </is>
      </c>
      <c r="G576" t="inlineStr">
        <is>
          <t>NORDANSTIG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45644</v>
      </c>
      <c r="E577" s="1" t="n">
        <v>46267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64835-2021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44512</v>
      </c>
      <c r="E578" s="1" t="n">
        <v>46267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46006</v>
      </c>
      <c r="E579" s="1" t="n">
        <v>46267</v>
      </c>
      <c r="F579" t="inlineStr">
        <is>
          <t>GÄVLEBORGS LÄN</t>
        </is>
      </c>
      <c r="G579" t="inlineStr">
        <is>
          <t>NORDANSTIG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61871-2025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46003</v>
      </c>
      <c r="E580" s="1" t="n">
        <v>46267</v>
      </c>
      <c r="F580" t="inlineStr">
        <is>
          <t>GÄVLEBORGS LÄN</t>
        </is>
      </c>
      <c r="G580" t="inlineStr">
        <is>
          <t>NORDANSTIG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62182-2025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46006</v>
      </c>
      <c r="E581" s="1" t="n">
        <v>46267</v>
      </c>
      <c r="F581" t="inlineStr">
        <is>
          <t>GÄVLEBORGS LÄN</t>
        </is>
      </c>
      <c r="G581" t="inlineStr">
        <is>
          <t>NORDANSTIG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14866-2024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45397</v>
      </c>
      <c r="E582" s="1" t="n">
        <v>46267</v>
      </c>
      <c r="F582" t="inlineStr">
        <is>
          <t>GÄVLEBORGS LÄN</t>
        </is>
      </c>
      <c r="G582" t="inlineStr">
        <is>
          <t>NORDANSTIG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65039-2023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45287</v>
      </c>
      <c r="E583" s="1" t="n">
        <v>46267</v>
      </c>
      <c r="F583" t="inlineStr">
        <is>
          <t>GÄVLEBORGS LÄN</t>
        </is>
      </c>
      <c r="G583" t="inlineStr">
        <is>
          <t>NORDANSTIG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46008</v>
      </c>
      <c r="E584" s="1" t="n">
        <v>46267</v>
      </c>
      <c r="F584" t="inlineStr">
        <is>
          <t>GÄVLEBORGS LÄN</t>
        </is>
      </c>
      <c r="G584" t="inlineStr">
        <is>
          <t>NORDANSTIG</t>
        </is>
      </c>
      <c r="H584" t="inlineStr">
        <is>
          <t>SCA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44952</v>
      </c>
      <c r="E585" s="1" t="n">
        <v>46267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55694-2024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46267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14244-2026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46267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45455</v>
      </c>
      <c r="E588" s="1" t="n">
        <v>46267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46267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13978-2026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46267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62816-2023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45271</v>
      </c>
      <c r="E591" s="1" t="n">
        <v>46267</v>
      </c>
      <c r="F591" t="inlineStr">
        <is>
          <t>GÄVLEBORGS LÄN</t>
        </is>
      </c>
      <c r="G591" t="inlineStr">
        <is>
          <t>NORDANSTIG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46267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46099</v>
      </c>
      <c r="E593" s="1" t="n">
        <v>46267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13823-2026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46267</v>
      </c>
      <c r="F594" t="inlineStr">
        <is>
          <t>GÄVLEBORGS LÄN</t>
        </is>
      </c>
      <c r="G594" t="inlineStr">
        <is>
          <t>NORDANSTIG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46267</v>
      </c>
      <c r="F595" t="inlineStr">
        <is>
          <t>GÄVLEBORGS LÄN</t>
        </is>
      </c>
      <c r="G595" t="inlineStr">
        <is>
          <t>NORDANSTIG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46267</v>
      </c>
      <c r="F596" t="inlineStr">
        <is>
          <t>GÄVLEBORGS LÄN</t>
        </is>
      </c>
      <c r="G596" t="inlineStr">
        <is>
          <t>NORDANSTIG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51541-2025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45950</v>
      </c>
      <c r="E597" s="1" t="n">
        <v>46267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12095-2023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46267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65208-2023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45289</v>
      </c>
      <c r="E599" s="1" t="n">
        <v>46267</v>
      </c>
      <c r="F599" t="inlineStr">
        <is>
          <t>GÄVLEBORGS LÄN</t>
        </is>
      </c>
      <c r="G599" t="inlineStr">
        <is>
          <t>NORDANSTIG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63986-2025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46267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51380-2024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45604</v>
      </c>
      <c r="E601" s="1" t="n">
        <v>46267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46024</v>
      </c>
      <c r="E602" s="1" t="n">
        <v>46267</v>
      </c>
      <c r="F602" t="inlineStr">
        <is>
          <t>GÄVLEBORGS LÄN</t>
        </is>
      </c>
      <c r="G602" t="inlineStr">
        <is>
          <t>NORDANSTIG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46026</v>
      </c>
      <c r="E603" s="1" t="n">
        <v>46267</v>
      </c>
      <c r="F603" t="inlineStr">
        <is>
          <t>GÄVLEBORGS LÄN</t>
        </is>
      </c>
      <c r="G603" t="inlineStr">
        <is>
          <t>NORDANSTIG</t>
        </is>
      </c>
      <c r="I603" t="n">
        <v>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62089-2021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44502</v>
      </c>
      <c r="E604" s="1" t="n">
        <v>46267</v>
      </c>
      <c r="F604" t="inlineStr">
        <is>
          <t>GÄVLEBORGS LÄN</t>
        </is>
      </c>
      <c r="G604" t="inlineStr">
        <is>
          <t>NORDANSTIG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20747-2023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45058</v>
      </c>
      <c r="E605" s="1" t="n">
        <v>46267</v>
      </c>
      <c r="F605" t="inlineStr">
        <is>
          <t>GÄVLEBORGS LÄN</t>
        </is>
      </c>
      <c r="G605" t="inlineStr">
        <is>
          <t>NORDANSTIG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46030</v>
      </c>
      <c r="E606" s="1" t="n">
        <v>46267</v>
      </c>
      <c r="F606" t="inlineStr">
        <is>
          <t>GÄVLEBORGS LÄN</t>
        </is>
      </c>
      <c r="G606" t="inlineStr">
        <is>
          <t>NORDANSTIG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18288-2023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45041</v>
      </c>
      <c r="E607" s="1" t="n">
        <v>46267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11087-2022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44628</v>
      </c>
      <c r="E608" s="1" t="n">
        <v>46267</v>
      </c>
      <c r="F608" t="inlineStr">
        <is>
          <t>GÄVLEBORGS LÄN</t>
        </is>
      </c>
      <c r="G608" t="inlineStr">
        <is>
          <t>NORDANSTIG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46267</v>
      </c>
      <c r="F609" t="inlineStr">
        <is>
          <t>GÄVLEBORGS LÄN</t>
        </is>
      </c>
      <c r="G609" t="inlineStr">
        <is>
          <t>NORDANSTIG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46267</v>
      </c>
      <c r="F610" t="inlineStr">
        <is>
          <t>GÄVLEBORGS LÄN</t>
        </is>
      </c>
      <c r="G610" t="inlineStr">
        <is>
          <t>NORDANSTIG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50657-2024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45601</v>
      </c>
      <c r="E611" s="1" t="n">
        <v>46267</v>
      </c>
      <c r="F611" t="inlineStr">
        <is>
          <t>GÄVLEBORGS LÄN</t>
        </is>
      </c>
      <c r="G611" t="inlineStr">
        <is>
          <t>NORDANSTIG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45306</v>
      </c>
      <c r="E612" s="1" t="n">
        <v>46267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34842-2023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45141</v>
      </c>
      <c r="E613" s="1" t="n">
        <v>46267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45343</v>
      </c>
      <c r="E614" s="1" t="n">
        <v>46267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18020-2026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46125</v>
      </c>
      <c r="E615" s="1" t="n">
        <v>46267</v>
      </c>
      <c r="F615" t="inlineStr">
        <is>
          <t>GÄVLEBORGS LÄN</t>
        </is>
      </c>
      <c r="G615" t="inlineStr">
        <is>
          <t>NORDANSTIG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6583-2022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44601</v>
      </c>
      <c r="E616" s="1" t="n">
        <v>46267</v>
      </c>
      <c r="F616" t="inlineStr">
        <is>
          <t>GÄVLEBORGS LÄN</t>
        </is>
      </c>
      <c r="G616" t="inlineStr">
        <is>
          <t>NORDANSTIG</t>
        </is>
      </c>
      <c r="I616" t="n">
        <v>8.800000000000001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46267</v>
      </c>
      <c r="F617" t="inlineStr">
        <is>
          <t>GÄVLEBORGS LÄN</t>
        </is>
      </c>
      <c r="G617" t="inlineStr">
        <is>
          <t>NORDANSTIG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46267</v>
      </c>
      <c r="F618" t="inlineStr">
        <is>
          <t>GÄVLEBORGS LÄN</t>
        </is>
      </c>
      <c r="G618" t="inlineStr">
        <is>
          <t>NORDANSTIG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46267</v>
      </c>
      <c r="F619" t="inlineStr">
        <is>
          <t>GÄVLEBORGS LÄN</t>
        </is>
      </c>
      <c r="G619" t="inlineStr">
        <is>
          <t>NORDANSTIG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46267</v>
      </c>
      <c r="F620" t="inlineStr">
        <is>
          <t>GÄVLEBORGS LÄN</t>
        </is>
      </c>
      <c r="G620" t="inlineStr">
        <is>
          <t>NORDANSTIG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46267</v>
      </c>
      <c r="F621" t="inlineStr">
        <is>
          <t>GÄVLEBORGS LÄN</t>
        </is>
      </c>
      <c r="G621" t="inlineStr">
        <is>
          <t>NORDANSTIG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46267</v>
      </c>
      <c r="F622" t="inlineStr">
        <is>
          <t>GÄVLEBORGS LÄN</t>
        </is>
      </c>
      <c r="G622" t="inlineStr">
        <is>
          <t>NORDANSTIG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32471-2023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45120</v>
      </c>
      <c r="E623" s="1" t="n">
        <v>46267</v>
      </c>
      <c r="F623" t="inlineStr">
        <is>
          <t>GÄVLEBORGS LÄN</t>
        </is>
      </c>
      <c r="G623" t="inlineStr">
        <is>
          <t>NORDANSTIG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46038</v>
      </c>
      <c r="E624" s="1" t="n">
        <v>46267</v>
      </c>
      <c r="F624" t="inlineStr">
        <is>
          <t>GÄVLEBORGS LÄN</t>
        </is>
      </c>
      <c r="G624" t="inlineStr">
        <is>
          <t>NORDANSTIG</t>
        </is>
      </c>
      <c r="I624" t="n">
        <v>21.1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46267</v>
      </c>
      <c r="F625" t="inlineStr">
        <is>
          <t>GÄVLEBORGS LÄN</t>
        </is>
      </c>
      <c r="G625" t="inlineStr">
        <is>
          <t>NORDANSTIG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46267</v>
      </c>
      <c r="F626" t="inlineStr">
        <is>
          <t>GÄVLEBORGS LÄN</t>
        </is>
      </c>
      <c r="G626" t="inlineStr">
        <is>
          <t>NORDANSTIG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45463</v>
      </c>
      <c r="E627" s="1" t="n">
        <v>46267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46037</v>
      </c>
      <c r="E628" s="1" t="n">
        <v>46267</v>
      </c>
      <c r="F628" t="inlineStr">
        <is>
          <t>GÄVLEBORGS LÄN</t>
        </is>
      </c>
      <c r="G628" t="inlineStr">
        <is>
          <t>NORDANSTIG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34370-2024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45525</v>
      </c>
      <c r="E629" s="1" t="n">
        <v>46267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46267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42796-2024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45566</v>
      </c>
      <c r="E631" s="1" t="n">
        <v>46267</v>
      </c>
      <c r="F631" t="inlineStr">
        <is>
          <t>GÄVLEBORGS LÄN</t>
        </is>
      </c>
      <c r="G631" t="inlineStr">
        <is>
          <t>NORDANSTIG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49455-2024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45596</v>
      </c>
      <c r="E632" s="1" t="n">
        <v>46267</v>
      </c>
      <c r="F632" t="inlineStr">
        <is>
          <t>GÄVLEBORGS LÄN</t>
        </is>
      </c>
      <c r="G632" t="inlineStr">
        <is>
          <t>NORDANSTIG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44601</v>
      </c>
      <c r="E633" s="1" t="n">
        <v>46267</v>
      </c>
      <c r="F633" t="inlineStr">
        <is>
          <t>GÄVLEBORGS LÄN</t>
        </is>
      </c>
      <c r="G633" t="inlineStr">
        <is>
          <t>NORDANSTIG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45618</v>
      </c>
      <c r="E634" s="1" t="n">
        <v>46267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46267</v>
      </c>
      <c r="F635" t="inlineStr">
        <is>
          <t>GÄVLEBORGS LÄN</t>
        </is>
      </c>
      <c r="G635" t="inlineStr">
        <is>
          <t>NORDANSTIG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45642</v>
      </c>
      <c r="E636" s="1" t="n">
        <v>46267</v>
      </c>
      <c r="F636" t="inlineStr">
        <is>
          <t>GÄVLEBORGS LÄN</t>
        </is>
      </c>
      <c r="G636" t="inlineStr">
        <is>
          <t>NORDANSTIG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23417-2023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45076</v>
      </c>
      <c r="E637" s="1" t="n">
        <v>46267</v>
      </c>
      <c r="F637" t="inlineStr">
        <is>
          <t>GÄVLEBORGS LÄN</t>
        </is>
      </c>
      <c r="G637" t="inlineStr">
        <is>
          <t>NORDANSTIG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44603</v>
      </c>
      <c r="E638" s="1" t="n">
        <v>46267</v>
      </c>
      <c r="F638" t="inlineStr">
        <is>
          <t>GÄVLEBORGS LÄN</t>
        </is>
      </c>
      <c r="G638" t="inlineStr">
        <is>
          <t>NORDANSTIG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16184-2026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46267</v>
      </c>
      <c r="F639" t="inlineStr">
        <is>
          <t>GÄVLEBORGS LÄN</t>
        </is>
      </c>
      <c r="G639" t="inlineStr">
        <is>
          <t>NORDANSTIG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46267</v>
      </c>
      <c r="F640" t="inlineStr">
        <is>
          <t>GÄVLEBORGS LÄN</t>
        </is>
      </c>
      <c r="G640" t="inlineStr">
        <is>
          <t>NORDANSTIG</t>
        </is>
      </c>
      <c r="H640" t="inlineStr">
        <is>
          <t>Kommuner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46267</v>
      </c>
      <c r="F641" t="inlineStr">
        <is>
          <t>GÄVLEBORGS LÄN</t>
        </is>
      </c>
      <c r="G641" t="inlineStr">
        <is>
          <t>NORDANSTIG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46267</v>
      </c>
      <c r="F642" t="inlineStr">
        <is>
          <t>GÄVLEBORGS LÄN</t>
        </is>
      </c>
      <c r="G642" t="inlineStr">
        <is>
          <t>NORDANSTIG</t>
        </is>
      </c>
      <c r="H642" t="inlineStr">
        <is>
          <t>Kommuner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46267</v>
      </c>
      <c r="F643" t="inlineStr">
        <is>
          <t>GÄVLEBORGS LÄN</t>
        </is>
      </c>
      <c r="G643" t="inlineStr">
        <is>
          <t>NORDANSTIG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16310-2026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46267</v>
      </c>
      <c r="F644" t="inlineStr">
        <is>
          <t>GÄVLEBORGS LÄN</t>
        </is>
      </c>
      <c r="G644" t="inlineStr">
        <is>
          <t>NORDANSTIG</t>
        </is>
      </c>
      <c r="H644" t="inlineStr">
        <is>
          <t>Kommuner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46267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42.1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36186-2023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45149</v>
      </c>
      <c r="E646" s="1" t="n">
        <v>46267</v>
      </c>
      <c r="F646" t="inlineStr">
        <is>
          <t>GÄVLEBORGS LÄN</t>
        </is>
      </c>
      <c r="G646" t="inlineStr">
        <is>
          <t>NORDANSTIG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46267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46112</v>
      </c>
      <c r="E648" s="1" t="n">
        <v>46267</v>
      </c>
      <c r="F648" t="inlineStr">
        <is>
          <t>GÄVLEBORGS LÄN</t>
        </is>
      </c>
      <c r="G648" t="inlineStr">
        <is>
          <t>NORDANSTIG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46267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46113</v>
      </c>
      <c r="E650" s="1" t="n">
        <v>46267</v>
      </c>
      <c r="F650" t="inlineStr">
        <is>
          <t>GÄVLEBORGS LÄN</t>
        </is>
      </c>
      <c r="G650" t="inlineStr">
        <is>
          <t>NORDANSTIG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40738-2023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45170</v>
      </c>
      <c r="E651" s="1" t="n">
        <v>46267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9.5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62465-2021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44503</v>
      </c>
      <c r="E652" s="1" t="n">
        <v>46267</v>
      </c>
      <c r="F652" t="inlineStr">
        <is>
          <t>GÄVLEBORGS LÄN</t>
        </is>
      </c>
      <c r="G652" t="inlineStr">
        <is>
          <t>NORDANSTIG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46267</v>
      </c>
      <c r="F653" t="inlineStr">
        <is>
          <t>GÄVLEBORGS LÄN</t>
        </is>
      </c>
      <c r="G653" t="inlineStr">
        <is>
          <t>NORDANSTIG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46267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54705-2024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45618</v>
      </c>
      <c r="E655" s="1" t="n">
        <v>46267</v>
      </c>
      <c r="F655" t="inlineStr">
        <is>
          <t>GÄVLEBORGS LÄN</t>
        </is>
      </c>
      <c r="G655" t="inlineStr">
        <is>
          <t>NORDANSTIG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46267</v>
      </c>
      <c r="F656" t="inlineStr">
        <is>
          <t>GÄVLEBORGS LÄN</t>
        </is>
      </c>
      <c r="G656" t="inlineStr">
        <is>
          <t>NORDANSTIG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36028-2024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45533</v>
      </c>
      <c r="E657" s="1" t="n">
        <v>46267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46118</v>
      </c>
      <c r="E658" s="1" t="n">
        <v>46267</v>
      </c>
      <c r="F658" t="inlineStr">
        <is>
          <t>GÄVLEBORGS LÄN</t>
        </is>
      </c>
      <c r="G658" t="inlineStr">
        <is>
          <t>NORDANSTIG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38332-2024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45545</v>
      </c>
      <c r="E659" s="1" t="n">
        <v>46267</v>
      </c>
      <c r="F659" t="inlineStr">
        <is>
          <t>GÄVLEBORGS LÄN</t>
        </is>
      </c>
      <c r="G659" t="inlineStr">
        <is>
          <t>NORDANSTIG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45545</v>
      </c>
      <c r="E660" s="1" t="n">
        <v>46267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46267</v>
      </c>
      <c r="F661" t="inlineStr">
        <is>
          <t>GÄVLEBORGS LÄN</t>
        </is>
      </c>
      <c r="G661" t="inlineStr">
        <is>
          <t>NORDANSTIG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18322-2024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45422</v>
      </c>
      <c r="E662" s="1" t="n">
        <v>46267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48636-2024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45593</v>
      </c>
      <c r="E663" s="1" t="n">
        <v>46267</v>
      </c>
      <c r="F663" t="inlineStr">
        <is>
          <t>GÄVLEBORGS LÄN</t>
        </is>
      </c>
      <c r="G663" t="inlineStr">
        <is>
          <t>NORDANSTIG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46267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46267</v>
      </c>
      <c r="F665" t="inlineStr">
        <is>
          <t>GÄVLEBORGS LÄN</t>
        </is>
      </c>
      <c r="G665" t="inlineStr">
        <is>
          <t>NORDANSTIG</t>
        </is>
      </c>
      <c r="I665" t="n">
        <v>16.3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46267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17492-2026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46267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17498-2026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46120</v>
      </c>
      <c r="E668" s="1" t="n">
        <v>46267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17487-2026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46267</v>
      </c>
      <c r="F669" t="inlineStr">
        <is>
          <t>GÄVLEBORGS LÄN</t>
        </is>
      </c>
      <c r="G669" t="inlineStr">
        <is>
          <t>NORDANSTIG</t>
        </is>
      </c>
      <c r="I669" t="n">
        <v>9.800000000000001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46267</v>
      </c>
      <c r="F670" t="inlineStr">
        <is>
          <t>GÄVLEBORGS LÄN</t>
        </is>
      </c>
      <c r="G670" t="inlineStr">
        <is>
          <t>NORDANSTIG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46267</v>
      </c>
      <c r="F671" t="inlineStr">
        <is>
          <t>GÄVLEBORGS LÄN</t>
        </is>
      </c>
      <c r="G671" t="inlineStr">
        <is>
          <t>NORDANSTIG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37031-2024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45539</v>
      </c>
      <c r="E672" s="1" t="n">
        <v>46267</v>
      </c>
      <c r="F672" t="inlineStr">
        <is>
          <t>GÄVLEBORGS LÄN</t>
        </is>
      </c>
      <c r="G672" t="inlineStr">
        <is>
          <t>NORDANSTIG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46267</v>
      </c>
      <c r="F673" t="inlineStr">
        <is>
          <t>GÄVLEBORGS LÄN</t>
        </is>
      </c>
      <c r="G673" t="inlineStr">
        <is>
          <t>NORDANSTIG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46125</v>
      </c>
      <c r="E674" s="1" t="n">
        <v>46267</v>
      </c>
      <c r="F674" t="inlineStr">
        <is>
          <t>GÄVLEBORGS LÄN</t>
        </is>
      </c>
      <c r="G674" t="inlineStr">
        <is>
          <t>NORDANSTIG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44500-2024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45574</v>
      </c>
      <c r="E675" s="1" t="n">
        <v>46267</v>
      </c>
      <c r="F675" t="inlineStr">
        <is>
          <t>GÄVLEBORGS LÄN</t>
        </is>
      </c>
      <c r="G675" t="inlineStr">
        <is>
          <t>NORDANSTIG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54685-2024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45618</v>
      </c>
      <c r="E676" s="1" t="n">
        <v>46267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7796-2026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46267</v>
      </c>
      <c r="F677" t="inlineStr">
        <is>
          <t>GÄVLEBORGS LÄN</t>
        </is>
      </c>
      <c r="G677" t="inlineStr">
        <is>
          <t>NORDANSTIG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46267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46267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44009-2023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45188</v>
      </c>
      <c r="E680" s="1" t="n">
        <v>46267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46267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43.6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14501-2026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46267</v>
      </c>
      <c r="F682" t="inlineStr">
        <is>
          <t>GÄVLEBORGS LÄN</t>
        </is>
      </c>
      <c r="G682" t="inlineStr">
        <is>
          <t>NORDANSTIG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73389-2021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44551</v>
      </c>
      <c r="E683" s="1" t="n">
        <v>46267</v>
      </c>
      <c r="F683" t="inlineStr">
        <is>
          <t>GÄVLEBORGS LÄN</t>
        </is>
      </c>
      <c r="G683" t="inlineStr">
        <is>
          <t>NORDANSTIG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12858-2025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45733</v>
      </c>
      <c r="E684" s="1" t="n">
        <v>46267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5892-2022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44596</v>
      </c>
      <c r="E685" s="1" t="n">
        <v>46267</v>
      </c>
      <c r="F685" t="inlineStr">
        <is>
          <t>GÄVLEBORGS LÄN</t>
        </is>
      </c>
      <c r="G685" t="inlineStr">
        <is>
          <t>NORDANSTIG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10042-2025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46267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6.6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45631</v>
      </c>
      <c r="E687" s="1" t="n">
        <v>46267</v>
      </c>
      <c r="F687" t="inlineStr">
        <is>
          <t>GÄVLEBORGS LÄN</t>
        </is>
      </c>
      <c r="G687" t="inlineStr">
        <is>
          <t>NORDANSTIG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45631</v>
      </c>
      <c r="E688" s="1" t="n">
        <v>46267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41616-2023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45175</v>
      </c>
      <c r="E689" s="1" t="n">
        <v>46267</v>
      </c>
      <c r="F689" t="inlineStr">
        <is>
          <t>GÄVLEBORGS LÄN</t>
        </is>
      </c>
      <c r="G689" t="inlineStr">
        <is>
          <t>NORDANSTIG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45173</v>
      </c>
      <c r="E690" s="1" t="n">
        <v>46267</v>
      </c>
      <c r="F690" t="inlineStr">
        <is>
          <t>GÄVLEBORGS LÄN</t>
        </is>
      </c>
      <c r="G690" t="inlineStr">
        <is>
          <t>NORDANSTIG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40613-2023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45170</v>
      </c>
      <c r="E691" s="1" t="n">
        <v>46267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56733-2024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45628</v>
      </c>
      <c r="E692" s="1" t="n">
        <v>46267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13270-2022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44644</v>
      </c>
      <c r="E693" s="1" t="n">
        <v>46267</v>
      </c>
      <c r="F693" t="inlineStr">
        <is>
          <t>GÄVLEBORGS LÄN</t>
        </is>
      </c>
      <c r="G693" t="inlineStr">
        <is>
          <t>NORDANSTIG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45631</v>
      </c>
      <c r="E694" s="1" t="n">
        <v>46267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25200-2022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44729</v>
      </c>
      <c r="E695" s="1" t="n">
        <v>46267</v>
      </c>
      <c r="F695" t="inlineStr">
        <is>
          <t>GÄVLEBORGS LÄN</t>
        </is>
      </c>
      <c r="G695" t="inlineStr">
        <is>
          <t>NORDANSTIG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45309</v>
      </c>
      <c r="E696" s="1" t="n">
        <v>46267</v>
      </c>
      <c r="F696" t="inlineStr">
        <is>
          <t>GÄVLEBORGS LÄN</t>
        </is>
      </c>
      <c r="G696" t="inlineStr">
        <is>
          <t>NORDANSTIG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18531-2026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46127</v>
      </c>
      <c r="E697" s="1" t="n">
        <v>46267</v>
      </c>
      <c r="F697" t="inlineStr">
        <is>
          <t>GÄVLEBORGS LÄN</t>
        </is>
      </c>
      <c r="G697" t="inlineStr">
        <is>
          <t>NORDANSTIG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60285-2024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45642</v>
      </c>
      <c r="E698" s="1" t="n">
        <v>46267</v>
      </c>
      <c r="F698" t="inlineStr">
        <is>
          <t>GÄVLEBORGS LÄN</t>
        </is>
      </c>
      <c r="G698" t="inlineStr">
        <is>
          <t>NORDANSTIG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46267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55477-2024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45622</v>
      </c>
      <c r="E700" s="1" t="n">
        <v>46267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45686</v>
      </c>
      <c r="E701" s="1" t="n">
        <v>46267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31002-2024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45499</v>
      </c>
      <c r="E702" s="1" t="n">
        <v>46267</v>
      </c>
      <c r="F702" t="inlineStr">
        <is>
          <t>GÄVLEBORGS LÄN</t>
        </is>
      </c>
      <c r="G702" t="inlineStr">
        <is>
          <t>NORDANSTIG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60675-2024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45644</v>
      </c>
      <c r="E703" s="1" t="n">
        <v>46267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46267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46267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46133</v>
      </c>
      <c r="E706" s="1" t="n">
        <v>46267</v>
      </c>
      <c r="F706" t="inlineStr">
        <is>
          <t>GÄVLEBORGS LÄN</t>
        </is>
      </c>
      <c r="G706" t="inlineStr">
        <is>
          <t>NORDANSTIG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55498-2024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45622</v>
      </c>
      <c r="E707" s="1" t="n">
        <v>46267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7503-2022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44607</v>
      </c>
      <c r="E708" s="1" t="n">
        <v>46267</v>
      </c>
      <c r="F708" t="inlineStr">
        <is>
          <t>GÄVLEBORGS LÄN</t>
        </is>
      </c>
      <c r="G708" t="inlineStr">
        <is>
          <t>NORDANSTIG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47876-2023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45204</v>
      </c>
      <c r="E709" s="1" t="n">
        <v>46267</v>
      </c>
      <c r="F709" t="inlineStr">
        <is>
          <t>GÄVLEBORGS LÄN</t>
        </is>
      </c>
      <c r="G709" t="inlineStr">
        <is>
          <t>NORDANSTIG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38298-2024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45545</v>
      </c>
      <c r="E710" s="1" t="n">
        <v>46267</v>
      </c>
      <c r="F710" t="inlineStr">
        <is>
          <t>GÄVLEBORGS LÄN</t>
        </is>
      </c>
      <c r="G710" t="inlineStr">
        <is>
          <t>NORDANSTIG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51091-2024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45603</v>
      </c>
      <c r="E711" s="1" t="n">
        <v>46267</v>
      </c>
      <c r="F711" t="inlineStr">
        <is>
          <t>GÄVLEBORGS LÄN</t>
        </is>
      </c>
      <c r="G711" t="inlineStr">
        <is>
          <t>NORDANSTIG</t>
        </is>
      </c>
      <c r="H711" t="inlineStr">
        <is>
          <t>SCA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33478-2023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45131</v>
      </c>
      <c r="E712" s="1" t="n">
        <v>46267</v>
      </c>
      <c r="F712" t="inlineStr">
        <is>
          <t>GÄVLEBORGS LÄN</t>
        </is>
      </c>
      <c r="G712" t="inlineStr">
        <is>
          <t>NORDANSTIG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19896-2025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46267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53691-2024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45615</v>
      </c>
      <c r="E714" s="1" t="n">
        <v>46267</v>
      </c>
      <c r="F714" t="inlineStr">
        <is>
          <t>GÄVLEBORGS LÄN</t>
        </is>
      </c>
      <c r="G714" t="inlineStr">
        <is>
          <t>NORDANSTIG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48832-2022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44859</v>
      </c>
      <c r="E715" s="1" t="n">
        <v>46267</v>
      </c>
      <c r="F715" t="inlineStr">
        <is>
          <t>GÄVLEBORGS LÄN</t>
        </is>
      </c>
      <c r="G715" t="inlineStr">
        <is>
          <t>NORDANSTIG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46267</v>
      </c>
      <c r="F716" t="inlineStr">
        <is>
          <t>GÄVLEBORGS LÄN</t>
        </is>
      </c>
      <c r="G716" t="inlineStr">
        <is>
          <t>NORDANSTIG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1860-2025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45671</v>
      </c>
      <c r="E717" s="1" t="n">
        <v>46267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5963-2025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45695</v>
      </c>
      <c r="E718" s="1" t="n">
        <v>46267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46267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46136</v>
      </c>
      <c r="E720" s="1" t="n">
        <v>46267</v>
      </c>
      <c r="F720" t="inlineStr">
        <is>
          <t>GÄVLEBORGS LÄN</t>
        </is>
      </c>
      <c r="G720" t="inlineStr">
        <is>
          <t>NORDANSTIG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58891-2024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45636</v>
      </c>
      <c r="E721" s="1" t="n">
        <v>46267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46299-2023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45197</v>
      </c>
      <c r="E722" s="1" t="n">
        <v>46267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72820-2021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44547</v>
      </c>
      <c r="E723" s="1" t="n">
        <v>46267</v>
      </c>
      <c r="F723" t="inlineStr">
        <is>
          <t>GÄVLEBORGS LÄN</t>
        </is>
      </c>
      <c r="G723" t="inlineStr">
        <is>
          <t>NORDANSTIG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16659-2026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46267</v>
      </c>
      <c r="F724" t="inlineStr">
        <is>
          <t>GÄVLEBORGS LÄN</t>
        </is>
      </c>
      <c r="G724" t="inlineStr">
        <is>
          <t>NORDANSTIG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59851-2024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46267</v>
      </c>
      <c r="F725" t="inlineStr">
        <is>
          <t>GÄVLEBORGS LÄN</t>
        </is>
      </c>
      <c r="G725" t="inlineStr">
        <is>
          <t>NORDANSTIG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45691</v>
      </c>
      <c r="E726" s="1" t="n">
        <v>46267</v>
      </c>
      <c r="F726" t="inlineStr">
        <is>
          <t>GÄVLEBORGS LÄN</t>
        </is>
      </c>
      <c r="G726" t="inlineStr">
        <is>
          <t>NORDANSTIG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46140</v>
      </c>
      <c r="E727" s="1" t="n">
        <v>46267</v>
      </c>
      <c r="F727" t="inlineStr">
        <is>
          <t>GÄVLEBORGS LÄN</t>
        </is>
      </c>
      <c r="G727" t="inlineStr">
        <is>
          <t>NORDANSTIG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46038</v>
      </c>
      <c r="E728" s="1" t="n">
        <v>46267</v>
      </c>
      <c r="F728" t="inlineStr">
        <is>
          <t>GÄVLEBORGS LÄN</t>
        </is>
      </c>
      <c r="G728" t="inlineStr">
        <is>
          <t>NORDANSTIG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45687</v>
      </c>
      <c r="E729" s="1" t="n">
        <v>46267</v>
      </c>
      <c r="F729" t="inlineStr">
        <is>
          <t>GÄVLEBORGS LÄN</t>
        </is>
      </c>
      <c r="G729" t="inlineStr">
        <is>
          <t>NORDANSTIG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46267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51740-2023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45222</v>
      </c>
      <c r="E731" s="1" t="n">
        <v>46267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51438-2023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45219</v>
      </c>
      <c r="E732" s="1" t="n">
        <v>46267</v>
      </c>
      <c r="F732" t="inlineStr">
        <is>
          <t>GÄVLEBORGS LÄN</t>
        </is>
      </c>
      <c r="G732" t="inlineStr">
        <is>
          <t>NORDANSTIG</t>
        </is>
      </c>
      <c r="H732" t="inlineStr">
        <is>
          <t>SCA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55494-2024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45622</v>
      </c>
      <c r="E733" s="1" t="n">
        <v>46267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55531-2024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46267</v>
      </c>
      <c r="F734" t="inlineStr">
        <is>
          <t>GÄVLEBORGS LÄN</t>
        </is>
      </c>
      <c r="G734" t="inlineStr">
        <is>
          <t>NORDANSTIG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20482-2026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46140</v>
      </c>
      <c r="E735" s="1" t="n">
        <v>46267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8.6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20512-2022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44699</v>
      </c>
      <c r="E736" s="1" t="n">
        <v>46267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17482-2022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44679</v>
      </c>
      <c r="E737" s="1" t="n">
        <v>46267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58165-2023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46267</v>
      </c>
      <c r="F738" t="inlineStr">
        <is>
          <t>GÄVLEBORGS LÄN</t>
        </is>
      </c>
      <c r="G738" t="inlineStr">
        <is>
          <t>NORDANSTIG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17271-2022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44678</v>
      </c>
      <c r="E739" s="1" t="n">
        <v>46267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36025-2023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46267</v>
      </c>
      <c r="F740" t="inlineStr">
        <is>
          <t>GÄVLEBORGS LÄN</t>
        </is>
      </c>
      <c r="G740" t="inlineStr">
        <is>
          <t>NORDANSTIG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46139</v>
      </c>
      <c r="E741" s="1" t="n">
        <v>46267</v>
      </c>
      <c r="F741" t="inlineStr">
        <is>
          <t>GÄVLEBORGS LÄN</t>
        </is>
      </c>
      <c r="G741" t="inlineStr">
        <is>
          <t>NORDANSTIG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50413-2023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45216</v>
      </c>
      <c r="E742" s="1" t="n">
        <v>46267</v>
      </c>
      <c r="F742" t="inlineStr">
        <is>
          <t>GÄVLEBORGS LÄN</t>
        </is>
      </c>
      <c r="G742" t="inlineStr">
        <is>
          <t>NORDANSTIG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52695-2024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45610</v>
      </c>
      <c r="E743" s="1" t="n">
        <v>46267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18529-2022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44686</v>
      </c>
      <c r="E744" s="1" t="n">
        <v>46267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63786-2025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46019</v>
      </c>
      <c r="E745" s="1" t="n">
        <v>46267</v>
      </c>
      <c r="F745" t="inlineStr">
        <is>
          <t>GÄVLEBORGS LÄN</t>
        </is>
      </c>
      <c r="G745" t="inlineStr">
        <is>
          <t>NORDANSTIG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31724-2024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45509</v>
      </c>
      <c r="E746" s="1" t="n">
        <v>46267</v>
      </c>
      <c r="F746" t="inlineStr">
        <is>
          <t>GÄVLEBORGS LÄN</t>
        </is>
      </c>
      <c r="G746" t="inlineStr">
        <is>
          <t>NORDANSTIG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46267</v>
      </c>
      <c r="F747" t="inlineStr">
        <is>
          <t>GÄVLEBORGS LÄN</t>
        </is>
      </c>
      <c r="G747" t="inlineStr">
        <is>
          <t>NORDANSTIG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59930-2024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45642</v>
      </c>
      <c r="E748" s="1" t="n">
        <v>46267</v>
      </c>
      <c r="F748" t="inlineStr">
        <is>
          <t>GÄVLEBORGS LÄN</t>
        </is>
      </c>
      <c r="G748" t="inlineStr">
        <is>
          <t>NORDANSTIG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64033-2025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46021</v>
      </c>
      <c r="E749" s="1" t="n">
        <v>46267</v>
      </c>
      <c r="F749" t="inlineStr">
        <is>
          <t>GÄVLEBORGS LÄN</t>
        </is>
      </c>
      <c r="G749" t="inlineStr">
        <is>
          <t>NORDANSTIG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46048</v>
      </c>
      <c r="E750" s="1" t="n">
        <v>46267</v>
      </c>
      <c r="F750" t="inlineStr">
        <is>
          <t>GÄVLEBORGS LÄN</t>
        </is>
      </c>
      <c r="G750" t="inlineStr">
        <is>
          <t>NORDANSTIG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46054</v>
      </c>
      <c r="E751" s="1" t="n">
        <v>46267</v>
      </c>
      <c r="F751" t="inlineStr">
        <is>
          <t>GÄVLEBORGS LÄN</t>
        </is>
      </c>
      <c r="G751" t="inlineStr">
        <is>
          <t>NORDANSTIG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46033</v>
      </c>
      <c r="E752" s="1" t="n">
        <v>46267</v>
      </c>
      <c r="F752" t="inlineStr">
        <is>
          <t>GÄVLEBORGS LÄN</t>
        </is>
      </c>
      <c r="G752" t="inlineStr">
        <is>
          <t>NORDANSTIG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32149-2024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45511</v>
      </c>
      <c r="E753" s="1" t="n">
        <v>46267</v>
      </c>
      <c r="F753" t="inlineStr">
        <is>
          <t>GÄVLEBORGS LÄN</t>
        </is>
      </c>
      <c r="G753" t="inlineStr">
        <is>
          <t>NORDANSTIG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30630-2022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44763</v>
      </c>
      <c r="E754" s="1" t="n">
        <v>46267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28711-2022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44748</v>
      </c>
      <c r="E755" s="1" t="n">
        <v>46267</v>
      </c>
      <c r="F755" t="inlineStr">
        <is>
          <t>GÄVLEBORGS LÄN</t>
        </is>
      </c>
      <c r="G755" t="inlineStr">
        <is>
          <t>NORDANSTIG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46136</v>
      </c>
      <c r="E756" s="1" t="n">
        <v>46267</v>
      </c>
      <c r="F756" t="inlineStr">
        <is>
          <t>GÄVLEBORGS LÄN</t>
        </is>
      </c>
      <c r="G756" t="inlineStr">
        <is>
          <t>NORDANSTIG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45741</v>
      </c>
      <c r="E757" s="1" t="n">
        <v>46267</v>
      </c>
      <c r="F757" t="inlineStr">
        <is>
          <t>GÄVLEBORGS LÄN</t>
        </is>
      </c>
      <c r="G757" t="inlineStr">
        <is>
          <t>NORDANSTIG</t>
        </is>
      </c>
      <c r="I757" t="n">
        <v>17.1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46026</v>
      </c>
      <c r="E758" s="1" t="n">
        <v>46267</v>
      </c>
      <c r="F758" t="inlineStr">
        <is>
          <t>GÄVLEBORGS LÄN</t>
        </is>
      </c>
      <c r="G758" t="inlineStr">
        <is>
          <t>NORDANSTIG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36960-2023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45154</v>
      </c>
      <c r="E759" s="1" t="n">
        <v>46267</v>
      </c>
      <c r="F759" t="inlineStr">
        <is>
          <t>GÄVLEBORGS LÄN</t>
        </is>
      </c>
      <c r="G759" t="inlineStr">
        <is>
          <t>NORDANSTIG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44768</v>
      </c>
      <c r="E760" s="1" t="n">
        <v>46267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44075-2025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46267</v>
      </c>
      <c r="F761" t="inlineStr">
        <is>
          <t>GÄVLEBORGS LÄN</t>
        </is>
      </c>
      <c r="G761" t="inlineStr">
        <is>
          <t>NORDANSTIG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55002-2023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45236</v>
      </c>
      <c r="E762" s="1" t="n">
        <v>46267</v>
      </c>
      <c r="F762" t="inlineStr">
        <is>
          <t>GÄVLEBORGS LÄN</t>
        </is>
      </c>
      <c r="G762" t="inlineStr">
        <is>
          <t>NORDANSTIG</t>
        </is>
      </c>
      <c r="H762" t="inlineStr">
        <is>
          <t>SCA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60398-2023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45259</v>
      </c>
      <c r="E763" s="1" t="n">
        <v>46267</v>
      </c>
      <c r="F763" t="inlineStr">
        <is>
          <t>GÄVLEBORGS LÄN</t>
        </is>
      </c>
      <c r="G763" t="inlineStr">
        <is>
          <t>NORDANSTIG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46267</v>
      </c>
      <c r="F764" t="inlineStr">
        <is>
          <t>GÄVLEBORGS LÄN</t>
        </is>
      </c>
      <c r="G764" t="inlineStr">
        <is>
          <t>NORDANSTIG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46267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46267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64034-2025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46021</v>
      </c>
      <c r="E767" s="1" t="n">
        <v>46267</v>
      </c>
      <c r="F767" t="inlineStr">
        <is>
          <t>GÄVLEBORGS LÄN</t>
        </is>
      </c>
      <c r="G767" t="inlineStr">
        <is>
          <t>NORDANSTIG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9976-2026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46073</v>
      </c>
      <c r="E768" s="1" t="n">
        <v>46267</v>
      </c>
      <c r="F768" t="inlineStr">
        <is>
          <t>GÄVLEBORGS LÄN</t>
        </is>
      </c>
      <c r="G768" t="inlineStr">
        <is>
          <t>NORDANSTIG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7916-2022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44608</v>
      </c>
      <c r="E769" s="1" t="n">
        <v>46267</v>
      </c>
      <c r="F769" t="inlineStr">
        <is>
          <t>GÄVLEBORGS LÄN</t>
        </is>
      </c>
      <c r="G769" t="inlineStr">
        <is>
          <t>NORDANSTIG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44720</v>
      </c>
      <c r="E770" s="1" t="n">
        <v>46267</v>
      </c>
      <c r="F770" t="inlineStr">
        <is>
          <t>GÄVLEBORGS LÄN</t>
        </is>
      </c>
      <c r="G770" t="inlineStr">
        <is>
          <t>NORDANSTIG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40269-2023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45169</v>
      </c>
      <c r="E771" s="1" t="n">
        <v>46267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12216-2025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45729</v>
      </c>
      <c r="E772" s="1" t="n">
        <v>46267</v>
      </c>
      <c r="F772" t="inlineStr">
        <is>
          <t>GÄVLEBORGS LÄN</t>
        </is>
      </c>
      <c r="G772" t="inlineStr">
        <is>
          <t>NORDANSTIG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4630-2026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46267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13826-2026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46267</v>
      </c>
      <c r="F774" t="inlineStr">
        <is>
          <t>GÄVLEBORGS LÄN</t>
        </is>
      </c>
      <c r="G774" t="inlineStr">
        <is>
          <t>NORDANSTIG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9373-2026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46267</v>
      </c>
      <c r="F775" t="inlineStr">
        <is>
          <t>GÄVLEBORGS LÄN</t>
        </is>
      </c>
      <c r="G775" t="inlineStr">
        <is>
          <t>NORDANSTIG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47762-2021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44448</v>
      </c>
      <c r="E776" s="1" t="n">
        <v>46267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33377-2022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44788</v>
      </c>
      <c r="E777" s="1" t="n">
        <v>46267</v>
      </c>
      <c r="F777" t="inlineStr">
        <is>
          <t>GÄVLEBORGS LÄN</t>
        </is>
      </c>
      <c r="G777" t="inlineStr">
        <is>
          <t>NORDANSTIG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46267</v>
      </c>
      <c r="F778" t="inlineStr">
        <is>
          <t>GÄVLEBORGS LÄN</t>
        </is>
      </c>
      <c r="G778" t="inlineStr">
        <is>
          <t>NORDANSTIG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41620-2023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45175</v>
      </c>
      <c r="E779" s="1" t="n">
        <v>46267</v>
      </c>
      <c r="F779" t="inlineStr">
        <is>
          <t>GÄVLEBORGS LÄN</t>
        </is>
      </c>
      <c r="G779" t="inlineStr">
        <is>
          <t>NORDANSTIG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20577-2025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45775</v>
      </c>
      <c r="E780" s="1" t="n">
        <v>46267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18445-2025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45762</v>
      </c>
      <c r="E781" s="1" t="n">
        <v>46267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9031-2026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46069</v>
      </c>
      <c r="E782" s="1" t="n">
        <v>46267</v>
      </c>
      <c r="F782" t="inlineStr">
        <is>
          <t>GÄVLEBORGS LÄN</t>
        </is>
      </c>
      <c r="G782" t="inlineStr">
        <is>
          <t>NORDANSTIG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22784-2025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45789</v>
      </c>
      <c r="E783" s="1" t="n">
        <v>46267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55.6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46267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44446-2023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45189</v>
      </c>
      <c r="E785" s="1" t="n">
        <v>46267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51681-2025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45951</v>
      </c>
      <c r="E786" s="1" t="n">
        <v>46267</v>
      </c>
      <c r="F786" t="inlineStr">
        <is>
          <t>GÄVLEBORGS LÄN</t>
        </is>
      </c>
      <c r="G786" t="inlineStr">
        <is>
          <t>NORDANSTIG</t>
        </is>
      </c>
      <c r="I786" t="n">
        <v>9.1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37640-2025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45880</v>
      </c>
      <c r="E787" s="1" t="n">
        <v>46267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11582-2026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46084</v>
      </c>
      <c r="E788" s="1" t="n">
        <v>46267</v>
      </c>
      <c r="F788" t="inlineStr">
        <is>
          <t>GÄVLEBORGS LÄN</t>
        </is>
      </c>
      <c r="G788" t="inlineStr">
        <is>
          <t>NORDANSTIG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38514-2025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45884</v>
      </c>
      <c r="E789" s="1" t="n">
        <v>46267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21118-2026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46146</v>
      </c>
      <c r="E790" s="1" t="n">
        <v>46267</v>
      </c>
      <c r="F790" t="inlineStr">
        <is>
          <t>GÄVLEBORGS LÄN</t>
        </is>
      </c>
      <c r="G790" t="inlineStr">
        <is>
          <t>NORDANSTIG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46055</v>
      </c>
      <c r="E791" s="1" t="n">
        <v>46267</v>
      </c>
      <c r="F791" t="inlineStr">
        <is>
          <t>GÄVLEBORGS LÄN</t>
        </is>
      </c>
      <c r="G791" t="inlineStr">
        <is>
          <t>NORDANSTIG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17254-2026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46119</v>
      </c>
      <c r="E792" s="1" t="n">
        <v>46267</v>
      </c>
      <c r="F792" t="inlineStr">
        <is>
          <t>GÄVLEBORGS LÄN</t>
        </is>
      </c>
      <c r="G792" t="inlineStr">
        <is>
          <t>NORDANSTIG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31899-2022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44777</v>
      </c>
      <c r="E793" s="1" t="n">
        <v>46267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37295-2022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44808</v>
      </c>
      <c r="E794" s="1" t="n">
        <v>46267</v>
      </c>
      <c r="F794" t="inlineStr">
        <is>
          <t>GÄVLEBORGS LÄN</t>
        </is>
      </c>
      <c r="G794" t="inlineStr">
        <is>
          <t>NORDANSTIG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924-2026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46030</v>
      </c>
      <c r="E795" s="1" t="n">
        <v>46267</v>
      </c>
      <c r="F795" t="inlineStr">
        <is>
          <t>GÄVLEBORGS LÄN</t>
        </is>
      </c>
      <c r="G795" t="inlineStr">
        <is>
          <t>NORDANSTIG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46038</v>
      </c>
      <c r="E796" s="1" t="n">
        <v>46267</v>
      </c>
      <c r="F796" t="inlineStr">
        <is>
          <t>GÄVLEBORGS LÄN</t>
        </is>
      </c>
      <c r="G796" t="inlineStr">
        <is>
          <t>NORDANSTIG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46267</v>
      </c>
      <c r="F797" t="inlineStr">
        <is>
          <t>GÄVLEBORGS LÄN</t>
        </is>
      </c>
      <c r="G797" t="inlineStr">
        <is>
          <t>NORDANSTIG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46267</v>
      </c>
      <c r="F798" t="inlineStr">
        <is>
          <t>GÄVLEBORGS LÄN</t>
        </is>
      </c>
      <c r="G798" t="inlineStr">
        <is>
          <t>NORDANSTIG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21093-2026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46267</v>
      </c>
      <c r="F799" t="inlineStr">
        <is>
          <t>GÄVLEBORGS LÄN</t>
        </is>
      </c>
      <c r="G799" t="inlineStr">
        <is>
          <t>NORDANSTIG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21060-2026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46267</v>
      </c>
      <c r="F800" t="inlineStr">
        <is>
          <t>GÄVLEBORGS LÄN</t>
        </is>
      </c>
      <c r="G800" t="inlineStr">
        <is>
          <t>NORDANSTIG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45313</v>
      </c>
      <c r="E801" s="1" t="n">
        <v>46267</v>
      </c>
      <c r="F801" t="inlineStr">
        <is>
          <t>GÄVLEBORGS LÄN</t>
        </is>
      </c>
      <c r="G801" t="inlineStr">
        <is>
          <t>NORDANSTIG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5411-2022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44595</v>
      </c>
      <c r="E802" s="1" t="n">
        <v>46267</v>
      </c>
      <c r="F802" t="inlineStr">
        <is>
          <t>GÄVLEBORGS LÄN</t>
        </is>
      </c>
      <c r="G802" t="inlineStr">
        <is>
          <t>NORDANSTIG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10680-2026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46078</v>
      </c>
      <c r="E803" s="1" t="n">
        <v>46267</v>
      </c>
      <c r="F803" t="inlineStr">
        <is>
          <t>GÄVLEBORGS LÄN</t>
        </is>
      </c>
      <c r="G803" t="inlineStr">
        <is>
          <t>NORDANSTIG</t>
        </is>
      </c>
      <c r="I803" t="n">
        <v>10.9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46149</v>
      </c>
      <c r="E804" s="1" t="n">
        <v>46267</v>
      </c>
      <c r="F804" t="inlineStr">
        <is>
          <t>GÄVLEBORGS LÄN</t>
        </is>
      </c>
      <c r="G804" t="inlineStr">
        <is>
          <t>NORDANSTIG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37972-2022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44811</v>
      </c>
      <c r="E805" s="1" t="n">
        <v>46267</v>
      </c>
      <c r="F805" t="inlineStr">
        <is>
          <t>GÄVLEBORGS LÄN</t>
        </is>
      </c>
      <c r="G805" t="inlineStr">
        <is>
          <t>NORDANSTIG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37986-2022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44811</v>
      </c>
      <c r="E806" s="1" t="n">
        <v>46267</v>
      </c>
      <c r="F806" t="inlineStr">
        <is>
          <t>GÄVLEBORGS LÄN</t>
        </is>
      </c>
      <c r="G806" t="inlineStr">
        <is>
          <t>NORDANSTIG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21661-2026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46149</v>
      </c>
      <c r="E807" s="1" t="n">
        <v>46267</v>
      </c>
      <c r="F807" t="inlineStr">
        <is>
          <t>GÄVLEBORGS LÄN</t>
        </is>
      </c>
      <c r="G807" t="inlineStr">
        <is>
          <t>NORDANSTIG</t>
        </is>
      </c>
      <c r="I807" t="n">
        <v>10.7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35070-2022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44797</v>
      </c>
      <c r="E808" s="1" t="n">
        <v>46267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46111-2023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45196</v>
      </c>
      <c r="E809" s="1" t="n">
        <v>46267</v>
      </c>
      <c r="F809" t="inlineStr">
        <is>
          <t>GÄVLEBORGS LÄN</t>
        </is>
      </c>
      <c r="G809" t="inlineStr">
        <is>
          <t>NORDANSTIG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1829-2026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46267</v>
      </c>
      <c r="F810" t="inlineStr">
        <is>
          <t>GÄVLEBORGS LÄN</t>
        </is>
      </c>
      <c r="G810" t="inlineStr">
        <is>
          <t>NORDANSTIG</t>
        </is>
      </c>
      <c r="I810" t="n">
        <v>15.6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18691-2026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46128</v>
      </c>
      <c r="E811" s="1" t="n">
        <v>46267</v>
      </c>
      <c r="F811" t="inlineStr">
        <is>
          <t>GÄVLEBORGS LÄN</t>
        </is>
      </c>
      <c r="G811" t="inlineStr">
        <is>
          <t>NORDANSTIG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5981-2026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46052</v>
      </c>
      <c r="E812" s="1" t="n">
        <v>46267</v>
      </c>
      <c r="F812" t="inlineStr">
        <is>
          <t>GÄVLEBORGS LÄN</t>
        </is>
      </c>
      <c r="G812" t="inlineStr">
        <is>
          <t>NORDANSTIG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46026</v>
      </c>
      <c r="E813" s="1" t="n">
        <v>46267</v>
      </c>
      <c r="F813" t="inlineStr">
        <is>
          <t>GÄVLEBORGS LÄN</t>
        </is>
      </c>
      <c r="G813" t="inlineStr">
        <is>
          <t>NORDANSTIG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55026-2022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44886</v>
      </c>
      <c r="E814" s="1" t="n">
        <v>46267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55120-2022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44886</v>
      </c>
      <c r="E815" s="1" t="n">
        <v>46267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6820-2023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44967</v>
      </c>
      <c r="E816" s="1" t="n">
        <v>46267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46042</v>
      </c>
      <c r="E817" s="1" t="n">
        <v>46267</v>
      </c>
      <c r="F817" t="inlineStr">
        <is>
          <t>GÄVLEBORGS LÄN</t>
        </is>
      </c>
      <c r="G817" t="inlineStr">
        <is>
          <t>NORDANSTIG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17283-2026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46267</v>
      </c>
      <c r="F818" t="inlineStr">
        <is>
          <t>GÄVLEBORGS LÄN</t>
        </is>
      </c>
      <c r="G818" t="inlineStr">
        <is>
          <t>NORDANSTIG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51560-2023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45222</v>
      </c>
      <c r="E819" s="1" t="n">
        <v>46267</v>
      </c>
      <c r="F819" t="inlineStr">
        <is>
          <t>GÄVLEBORGS LÄN</t>
        </is>
      </c>
      <c r="G819" t="inlineStr">
        <is>
          <t>NORDANSTIG</t>
        </is>
      </c>
      <c r="I819" t="n">
        <v>26.9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22621-2026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46155</v>
      </c>
      <c r="E820" s="1" t="n">
        <v>46267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32622-2022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44783</v>
      </c>
      <c r="E821" s="1" t="n">
        <v>46267</v>
      </c>
      <c r="F821" t="inlineStr">
        <is>
          <t>GÄVLEBORGS LÄN</t>
        </is>
      </c>
      <c r="G821" t="inlineStr">
        <is>
          <t>NORDANSTIG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15226-2023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45019</v>
      </c>
      <c r="E822" s="1" t="n">
        <v>46267</v>
      </c>
      <c r="F822" t="inlineStr">
        <is>
          <t>GÄVLEBORGS LÄN</t>
        </is>
      </c>
      <c r="G822" t="inlineStr">
        <is>
          <t>NORDANSTIG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14532-2026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46100</v>
      </c>
      <c r="E823" s="1" t="n">
        <v>46267</v>
      </c>
      <c r="F823" t="inlineStr">
        <is>
          <t>GÄVLEBORGS LÄN</t>
        </is>
      </c>
      <c r="G823" t="inlineStr">
        <is>
          <t>NORDANSTIG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7436-2024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45345</v>
      </c>
      <c r="E824" s="1" t="n">
        <v>46267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62.5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7460-2024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45345</v>
      </c>
      <c r="E825" s="1" t="n">
        <v>46267</v>
      </c>
      <c r="F825" t="inlineStr">
        <is>
          <t>GÄVLEBORGS LÄN</t>
        </is>
      </c>
      <c r="G825" t="inlineStr">
        <is>
          <t>NORDANSTIG</t>
        </is>
      </c>
      <c r="I825" t="n">
        <v>10.8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46267</v>
      </c>
      <c r="F826" t="inlineStr">
        <is>
          <t>GÄVLEBORGS LÄN</t>
        </is>
      </c>
      <c r="G826" t="inlineStr">
        <is>
          <t>NORDANSTIG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56586-2023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45243</v>
      </c>
      <c r="E827" s="1" t="n">
        <v>46267</v>
      </c>
      <c r="F827" t="inlineStr">
        <is>
          <t>GÄVLEBORGS LÄN</t>
        </is>
      </c>
      <c r="G827" t="inlineStr">
        <is>
          <t>NORDANSTIG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46155</v>
      </c>
      <c r="E828" s="1" t="n">
        <v>46267</v>
      </c>
      <c r="F828" t="inlineStr">
        <is>
          <t>GÄVLEBORGS LÄN</t>
        </is>
      </c>
      <c r="G828" t="inlineStr">
        <is>
          <t>NORDANSTIG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51250-2022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44868</v>
      </c>
      <c r="E829" s="1" t="n">
        <v>46267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15088-2024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45399</v>
      </c>
      <c r="E830" s="1" t="n">
        <v>46267</v>
      </c>
      <c r="F830" t="inlineStr">
        <is>
          <t>GÄVLEBORGS LÄN</t>
        </is>
      </c>
      <c r="G830" t="inlineStr">
        <is>
          <t>NORDANSTIG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22733-2026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46157</v>
      </c>
      <c r="E831" s="1" t="n">
        <v>46267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19569-2024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45429</v>
      </c>
      <c r="E832" s="1" t="n">
        <v>46267</v>
      </c>
      <c r="F832" t="inlineStr">
        <is>
          <t>GÄVLEBORGS LÄN</t>
        </is>
      </c>
      <c r="G832" t="inlineStr">
        <is>
          <t>NORDANSTIG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35765-2024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45532</v>
      </c>
      <c r="E833" s="1" t="n">
        <v>46267</v>
      </c>
      <c r="F833" t="inlineStr">
        <is>
          <t>GÄVLEBORGS LÄN</t>
        </is>
      </c>
      <c r="G833" t="inlineStr">
        <is>
          <t>NORDANSTIG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23002-2026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46160</v>
      </c>
      <c r="E834" s="1" t="n">
        <v>46267</v>
      </c>
      <c r="F834" t="inlineStr">
        <is>
          <t>GÄVLEBORGS LÄN</t>
        </is>
      </c>
      <c r="G834" t="inlineStr">
        <is>
          <t>NORDANSTIG</t>
        </is>
      </c>
      <c r="I834" t="n">
        <v>5.5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19906-2026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46267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16434-2026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46111</v>
      </c>
      <c r="E836" s="1" t="n">
        <v>46267</v>
      </c>
      <c r="F836" t="inlineStr">
        <is>
          <t>GÄVLEBORGS LÄN</t>
        </is>
      </c>
      <c r="G836" t="inlineStr">
        <is>
          <t>NORDANSTIG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46051</v>
      </c>
      <c r="E837" s="1" t="n">
        <v>46267</v>
      </c>
      <c r="F837" t="inlineStr">
        <is>
          <t>GÄVLEBORGS LÄN</t>
        </is>
      </c>
      <c r="G837" t="inlineStr">
        <is>
          <t>NORDANSTIG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3768-2026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46043</v>
      </c>
      <c r="E838" s="1" t="n">
        <v>46267</v>
      </c>
      <c r="F838" t="inlineStr">
        <is>
          <t>GÄVLEBORGS LÄN</t>
        </is>
      </c>
      <c r="G838" t="inlineStr">
        <is>
          <t>NORDANSTIG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23039-2026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46161</v>
      </c>
      <c r="E839" s="1" t="n">
        <v>46267</v>
      </c>
      <c r="F839" t="inlineStr">
        <is>
          <t>GÄVLEBORGS LÄN</t>
        </is>
      </c>
      <c r="G839" t="inlineStr">
        <is>
          <t>NORDANSTIG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23764-2026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46164</v>
      </c>
      <c r="E840" s="1" t="n">
        <v>46267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23506-2026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46267</v>
      </c>
      <c r="F841" t="inlineStr">
        <is>
          <t>GÄVLEBORGS LÄN</t>
        </is>
      </c>
      <c r="G841" t="inlineStr">
        <is>
          <t>NORDANSTIG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23654-2026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46164</v>
      </c>
      <c r="E842" s="1" t="n">
        <v>46267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18479-2024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45425</v>
      </c>
      <c r="E843" s="1" t="n">
        <v>46267</v>
      </c>
      <c r="F843" t="inlineStr">
        <is>
          <t>GÄVLEBORGS LÄN</t>
        </is>
      </c>
      <c r="G843" t="inlineStr">
        <is>
          <t>NORDANSTIG</t>
        </is>
      </c>
      <c r="I843" t="n">
        <v>7.6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59912-2024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45641</v>
      </c>
      <c r="E844" s="1" t="n">
        <v>46267</v>
      </c>
      <c r="F844" t="inlineStr">
        <is>
          <t>GÄVLEBORGS LÄN</t>
        </is>
      </c>
      <c r="G844" t="inlineStr">
        <is>
          <t>NORDANSTIG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24178-2026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46168</v>
      </c>
      <c r="E845" s="1" t="n">
        <v>46267</v>
      </c>
      <c r="F845" t="inlineStr">
        <is>
          <t>GÄVLEBORGS LÄN</t>
        </is>
      </c>
      <c r="G845" t="inlineStr">
        <is>
          <t>NORDANSTIG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23895-2026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46167</v>
      </c>
      <c r="E846" s="1" t="n">
        <v>46267</v>
      </c>
      <c r="F846" t="inlineStr">
        <is>
          <t>GÄVLEBORGS LÄN</t>
        </is>
      </c>
      <c r="G846" t="inlineStr">
        <is>
          <t>NORDANSTIG</t>
        </is>
      </c>
      <c r="I846" t="n">
        <v>18.1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6324-2023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44965</v>
      </c>
      <c r="E847" s="1" t="n">
        <v>46267</v>
      </c>
      <c r="F847" t="inlineStr">
        <is>
          <t>GÄVLEBORGS LÄN</t>
        </is>
      </c>
      <c r="G847" t="inlineStr">
        <is>
          <t>NORDANSTIG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23867-2026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46167</v>
      </c>
      <c r="E848" s="1" t="n">
        <v>46267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23900-2026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46167</v>
      </c>
      <c r="E849" s="1" t="n">
        <v>46267</v>
      </c>
      <c r="F849" t="inlineStr">
        <is>
          <t>GÄVLEBORGS LÄN</t>
        </is>
      </c>
      <c r="G849" t="inlineStr">
        <is>
          <t>NORDANSTIG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14961-2025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45743</v>
      </c>
      <c r="E850" s="1" t="n">
        <v>46267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46169</v>
      </c>
      <c r="E851" s="1" t="n">
        <v>46267</v>
      </c>
      <c r="F851" t="inlineStr">
        <is>
          <t>GÄVLEBORGS LÄN</t>
        </is>
      </c>
      <c r="G851" t="inlineStr">
        <is>
          <t>NORDANSTIG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1034-2026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46030</v>
      </c>
      <c r="E852" s="1" t="n">
        <v>46267</v>
      </c>
      <c r="F852" t="inlineStr">
        <is>
          <t>GÄVLEBORGS LÄN</t>
        </is>
      </c>
      <c r="G852" t="inlineStr">
        <is>
          <t>NORDANSTIG</t>
        </is>
      </c>
      <c r="I852" t="n">
        <v>11.5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30130-2024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45489</v>
      </c>
      <c r="E853" s="1" t="n">
        <v>46267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24612-2026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46171</v>
      </c>
      <c r="E854" s="1" t="n">
        <v>46267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24646-2026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46171</v>
      </c>
      <c r="E855" s="1" t="n">
        <v>46267</v>
      </c>
      <c r="F855" t="inlineStr">
        <is>
          <t>GÄVLEBORGS LÄN</t>
        </is>
      </c>
      <c r="G855" t="inlineStr">
        <is>
          <t>NORDANSTIG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40798-2022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44824</v>
      </c>
      <c r="E856" s="1" t="n">
        <v>46267</v>
      </c>
      <c r="F856" t="inlineStr">
        <is>
          <t>GÄVLEBORGS LÄN</t>
        </is>
      </c>
      <c r="G856" t="inlineStr">
        <is>
          <t>NORDANSTIG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37005-2022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44806</v>
      </c>
      <c r="E857" s="1" t="n">
        <v>46267</v>
      </c>
      <c r="F857" t="inlineStr">
        <is>
          <t>GÄVLEBORGS LÄN</t>
        </is>
      </c>
      <c r="G857" t="inlineStr">
        <is>
          <t>NORDANSTIG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14415-2022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44652</v>
      </c>
      <c r="E858" s="1" t="n">
        <v>46267</v>
      </c>
      <c r="F858" t="inlineStr">
        <is>
          <t>GÄVLEBORGS LÄN</t>
        </is>
      </c>
      <c r="G858" t="inlineStr">
        <is>
          <t>NORDANSTIG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43893-2023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45187</v>
      </c>
      <c r="E859" s="1" t="n">
        <v>46267</v>
      </c>
      <c r="F859" t="inlineStr">
        <is>
          <t>GÄVLEBORGS LÄN</t>
        </is>
      </c>
      <c r="G859" t="inlineStr">
        <is>
          <t>NORDANSTIG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5999-2024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45336</v>
      </c>
      <c r="E860" s="1" t="n">
        <v>46267</v>
      </c>
      <c r="F860" t="inlineStr">
        <is>
          <t>GÄVLEBORGS LÄN</t>
        </is>
      </c>
      <c r="G860" t="inlineStr">
        <is>
          <t>NORDANSTIG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3819-2026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46043</v>
      </c>
      <c r="E861" s="1" t="n">
        <v>46267</v>
      </c>
      <c r="F861" t="inlineStr">
        <is>
          <t>GÄVLEBORGS LÄN</t>
        </is>
      </c>
      <c r="G861" t="inlineStr">
        <is>
          <t>NORDANSTIG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46029</v>
      </c>
      <c r="E862" s="1" t="n">
        <v>46267</v>
      </c>
      <c r="F862" t="inlineStr">
        <is>
          <t>GÄVLEBORGS LÄN</t>
        </is>
      </c>
      <c r="G862" t="inlineStr">
        <is>
          <t>NORDANSTIG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24518-2026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46170</v>
      </c>
      <c r="E863" s="1" t="n">
        <v>46267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24623-2026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46171</v>
      </c>
      <c r="E864" s="1" t="n">
        <v>46267</v>
      </c>
      <c r="F864" t="inlineStr">
        <is>
          <t>GÄVLEBORGS LÄN</t>
        </is>
      </c>
      <c r="G864" t="inlineStr">
        <is>
          <t>NORDANSTIG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24500-2026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46170</v>
      </c>
      <c r="E865" s="1" t="n">
        <v>46267</v>
      </c>
      <c r="F865" t="inlineStr">
        <is>
          <t>GÄVLEBORGS LÄN</t>
        </is>
      </c>
      <c r="G865" t="inlineStr">
        <is>
          <t>NORDANSTIG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46042</v>
      </c>
      <c r="E866" s="1" t="n">
        <v>46267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25166-2026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46175</v>
      </c>
      <c r="E867" s="1" t="n">
        <v>46267</v>
      </c>
      <c r="F867" t="inlineStr">
        <is>
          <t>GÄVLEBORGS LÄN</t>
        </is>
      </c>
      <c r="G867" t="inlineStr">
        <is>
          <t>NORDANSTIG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1849-2026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46267</v>
      </c>
      <c r="F868" t="inlineStr">
        <is>
          <t>GÄVLEBORGS LÄN</t>
        </is>
      </c>
      <c r="G868" t="inlineStr">
        <is>
          <t>NORDANSTIG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43465-2024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45568</v>
      </c>
      <c r="E869" s="1" t="n">
        <v>46267</v>
      </c>
      <c r="F869" t="inlineStr">
        <is>
          <t>GÄVLEBORGS LÄN</t>
        </is>
      </c>
      <c r="G869" t="inlineStr">
        <is>
          <t>NORDANSTIG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25089-2026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46175</v>
      </c>
      <c r="E870" s="1" t="n">
        <v>46267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57463-2023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45246</v>
      </c>
      <c r="E871" s="1" t="n">
        <v>46267</v>
      </c>
      <c r="F871" t="inlineStr">
        <is>
          <t>GÄVLEBORGS LÄN</t>
        </is>
      </c>
      <c r="G871" t="inlineStr">
        <is>
          <t>NORDANSTIG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25406-2026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46176</v>
      </c>
      <c r="E872" s="1" t="n">
        <v>46267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37217-2024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45539</v>
      </c>
      <c r="E873" s="1" t="n">
        <v>46267</v>
      </c>
      <c r="F873" t="inlineStr">
        <is>
          <t>GÄVLEBORGS LÄN</t>
        </is>
      </c>
      <c r="G873" t="inlineStr">
        <is>
          <t>NORDANSTIG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51988-2024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45607</v>
      </c>
      <c r="E874" s="1" t="n">
        <v>46267</v>
      </c>
      <c r="F874" t="inlineStr">
        <is>
          <t>GÄVLEBORGS LÄN</t>
        </is>
      </c>
      <c r="G874" t="inlineStr">
        <is>
          <t>NORDANSTIG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25665-2023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45089</v>
      </c>
      <c r="E875" s="1" t="n">
        <v>46267</v>
      </c>
      <c r="F875" t="inlineStr">
        <is>
          <t>GÄVLEBORGS LÄN</t>
        </is>
      </c>
      <c r="G875" t="inlineStr">
        <is>
          <t>NORDANSTIG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25586-2026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46267</v>
      </c>
      <c r="F876" t="inlineStr">
        <is>
          <t>GÄVLEBORGS LÄN</t>
        </is>
      </c>
      <c r="G876" t="inlineStr">
        <is>
          <t>NORDANSTIG</t>
        </is>
      </c>
      <c r="H876" t="inlineStr">
        <is>
          <t>SCA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46042</v>
      </c>
      <c r="E877" s="1" t="n">
        <v>46267</v>
      </c>
      <c r="F877" t="inlineStr">
        <is>
          <t>GÄVLEBORGS LÄN</t>
        </is>
      </c>
      <c r="G877" t="inlineStr">
        <is>
          <t>NORDANSTIG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12764-2025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45733</v>
      </c>
      <c r="E878" s="1" t="n">
        <v>46267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20133-2026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46136</v>
      </c>
      <c r="E879" s="1" t="n">
        <v>46267</v>
      </c>
      <c r="F879" t="inlineStr">
        <is>
          <t>GÄVLEBORGS LÄN</t>
        </is>
      </c>
      <c r="G879" t="inlineStr">
        <is>
          <t>NORDANSTIG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10910-2026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46079</v>
      </c>
      <c r="E880" s="1" t="n">
        <v>46267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25633-2026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46177</v>
      </c>
      <c r="E881" s="1" t="n">
        <v>46267</v>
      </c>
      <c r="F881" t="inlineStr">
        <is>
          <t>GÄVLEBORGS LÄN</t>
        </is>
      </c>
      <c r="G881" t="inlineStr">
        <is>
          <t>NORDANSTIG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16640-2025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45754</v>
      </c>
      <c r="E882" s="1" t="n">
        <v>46267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11627-2026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46084</v>
      </c>
      <c r="E883" s="1" t="n">
        <v>46267</v>
      </c>
      <c r="F883" t="inlineStr">
        <is>
          <t>GÄVLEBORGS LÄN</t>
        </is>
      </c>
      <c r="G883" t="inlineStr">
        <is>
          <t>NORDANSTIG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37974-2024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45544</v>
      </c>
      <c r="E884" s="1" t="n">
        <v>46267</v>
      </c>
      <c r="F884" t="inlineStr">
        <is>
          <t>GÄVLEBORGS LÄN</t>
        </is>
      </c>
      <c r="G884" t="inlineStr">
        <is>
          <t>NORDANSTIG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26126-2026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46181</v>
      </c>
      <c r="E885" s="1" t="n">
        <v>46267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52006-2024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45607</v>
      </c>
      <c r="E886" s="1" t="n">
        <v>46267</v>
      </c>
      <c r="F886" t="inlineStr">
        <is>
          <t>GÄVLEBORGS LÄN</t>
        </is>
      </c>
      <c r="G886" t="inlineStr">
        <is>
          <t>NORDANSTIG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18988-2022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44690</v>
      </c>
      <c r="E887" s="1" t="n">
        <v>46267</v>
      </c>
      <c r="F887" t="inlineStr">
        <is>
          <t>GÄVLEBORGS LÄN</t>
        </is>
      </c>
      <c r="G887" t="inlineStr">
        <is>
          <t>NORDANSTIG</t>
        </is>
      </c>
      <c r="I887" t="n">
        <v>9.300000000000001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12607-2024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45382</v>
      </c>
      <c r="E888" s="1" t="n">
        <v>46267</v>
      </c>
      <c r="F888" t="inlineStr">
        <is>
          <t>GÄVLEBORGS LÄN</t>
        </is>
      </c>
      <c r="G888" t="inlineStr">
        <is>
          <t>NORDANSTIG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18332-2024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45422</v>
      </c>
      <c r="E889" s="1" t="n">
        <v>46267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26044-2026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46181</v>
      </c>
      <c r="E890" s="1" t="n">
        <v>46267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51387-2024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45604</v>
      </c>
      <c r="E891" s="1" t="n">
        <v>46267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46051</v>
      </c>
      <c r="E892" s="1" t="n">
        <v>46267</v>
      </c>
      <c r="F892" t="inlineStr">
        <is>
          <t>GÄVLEBORGS LÄN</t>
        </is>
      </c>
      <c r="G892" t="inlineStr">
        <is>
          <t>NORDANSTIG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38581-2024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46267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38589-2024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45546</v>
      </c>
      <c r="E894" s="1" t="n">
        <v>46267</v>
      </c>
      <c r="F894" t="inlineStr">
        <is>
          <t>GÄVLEBORGS LÄN</t>
        </is>
      </c>
      <c r="G894" t="inlineStr">
        <is>
          <t>NORDANSTIG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46043</v>
      </c>
      <c r="E895" s="1" t="n">
        <v>46267</v>
      </c>
      <c r="F895" t="inlineStr">
        <is>
          <t>GÄVLEBORGS LÄN</t>
        </is>
      </c>
      <c r="G895" t="inlineStr">
        <is>
          <t>NORDANSTIG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25931-2026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46179</v>
      </c>
      <c r="E896" s="1" t="n">
        <v>46267</v>
      </c>
      <c r="F896" t="inlineStr">
        <is>
          <t>GÄVLEBORGS LÄN</t>
        </is>
      </c>
      <c r="G896" t="inlineStr">
        <is>
          <t>NORDANSTIG</t>
        </is>
      </c>
      <c r="I896" t="n">
        <v>8.4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25704-2026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46267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31698-2026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46226</v>
      </c>
      <c r="E898" s="1" t="n">
        <v>46267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40078-2024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45554</v>
      </c>
      <c r="E899" s="1" t="n">
        <v>46267</v>
      </c>
      <c r="F899" t="inlineStr">
        <is>
          <t>GÄVLEBORGS LÄN</t>
        </is>
      </c>
      <c r="G899" t="inlineStr">
        <is>
          <t>NORDANSTIG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55704-2024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45622</v>
      </c>
      <c r="E900" s="1" t="n">
        <v>46267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31708-2026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46226</v>
      </c>
      <c r="E901" s="1" t="n">
        <v>46267</v>
      </c>
      <c r="F901" t="inlineStr">
        <is>
          <t>GÄVLEBORGS LÄN</t>
        </is>
      </c>
      <c r="G901" t="inlineStr">
        <is>
          <t>NORDANSTIG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19566-2025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45770</v>
      </c>
      <c r="E902" s="1" t="n">
        <v>46267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19569-2025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45770</v>
      </c>
      <c r="E903" s="1" t="n">
        <v>46267</v>
      </c>
      <c r="F903" t="inlineStr">
        <is>
          <t>GÄVLEBORGS LÄN</t>
        </is>
      </c>
      <c r="G903" t="inlineStr">
        <is>
          <t>NORDANSTIG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26486-2026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46267</v>
      </c>
      <c r="F904" t="inlineStr">
        <is>
          <t>GÄVLEBORGS LÄN</t>
        </is>
      </c>
      <c r="G904" t="inlineStr">
        <is>
          <t>NORDANSTIG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26238-2026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46182</v>
      </c>
      <c r="E905" s="1" t="n">
        <v>46267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SCA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26842-2026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46185</v>
      </c>
      <c r="E906" s="1" t="n">
        <v>46267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50.7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26838-2026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46185</v>
      </c>
      <c r="E907" s="1" t="n">
        <v>46267</v>
      </c>
      <c r="F907" t="inlineStr">
        <is>
          <t>GÄVLEBORGS LÄN</t>
        </is>
      </c>
      <c r="G907" t="inlineStr">
        <is>
          <t>NORDANSTIG</t>
        </is>
      </c>
      <c r="H907" t="inlineStr">
        <is>
          <t>SCA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26634-2026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46184</v>
      </c>
      <c r="E908" s="1" t="n">
        <v>46267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26893-2026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46185</v>
      </c>
      <c r="E909" s="1" t="n">
        <v>46267</v>
      </c>
      <c r="F909" t="inlineStr">
        <is>
          <t>GÄVLEBORGS LÄN</t>
        </is>
      </c>
      <c r="G909" t="inlineStr">
        <is>
          <t>NORDANSTIG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31732-2026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46227</v>
      </c>
      <c r="E910" s="1" t="n">
        <v>46267</v>
      </c>
      <c r="F910" t="inlineStr">
        <is>
          <t>GÄVLEBORGS LÄN</t>
        </is>
      </c>
      <c r="G910" t="inlineStr">
        <is>
          <t>NORDANSTIG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46267</v>
      </c>
      <c r="F911" t="inlineStr">
        <is>
          <t>GÄVLEBORGS LÄN</t>
        </is>
      </c>
      <c r="G911" t="inlineStr">
        <is>
          <t>NORDANSTIG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58870-2023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45252</v>
      </c>
      <c r="E912" s="1" t="n">
        <v>46267</v>
      </c>
      <c r="F912" t="inlineStr">
        <is>
          <t>GÄVLEBORGS LÄN</t>
        </is>
      </c>
      <c r="G912" t="inlineStr">
        <is>
          <t>NORDANSTIG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3404-2025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45680</v>
      </c>
      <c r="E913" s="1" t="n">
        <v>46267</v>
      </c>
      <c r="F913" t="inlineStr">
        <is>
          <t>GÄVLEBORGS LÄN</t>
        </is>
      </c>
      <c r="G913" t="inlineStr">
        <is>
          <t>NORDANSTIG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27114-2026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46188</v>
      </c>
      <c r="E914" s="1" t="n">
        <v>46267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36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27129-2026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46188</v>
      </c>
      <c r="E915" s="1" t="n">
        <v>46267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41773-2025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45902</v>
      </c>
      <c r="E916" s="1" t="n">
        <v>46267</v>
      </c>
      <c r="F916" t="inlineStr">
        <is>
          <t>GÄVLEBORGS LÄN</t>
        </is>
      </c>
      <c r="G916" t="inlineStr">
        <is>
          <t>NORDANSTIG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17843-2023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45037</v>
      </c>
      <c r="E917" s="1" t="n">
        <v>46267</v>
      </c>
      <c r="F917" t="inlineStr">
        <is>
          <t>GÄVLEBORGS LÄN</t>
        </is>
      </c>
      <c r="G917" t="inlineStr">
        <is>
          <t>NORDANSTIG</t>
        </is>
      </c>
      <c r="I917" t="n">
        <v>3.7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27149-2026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46188</v>
      </c>
      <c r="E918" s="1" t="n">
        <v>46267</v>
      </c>
      <c r="F918" t="inlineStr">
        <is>
          <t>GÄVLEBORGS LÄN</t>
        </is>
      </c>
      <c r="G918" t="inlineStr">
        <is>
          <t>NORDANSTIG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12815-2023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45001</v>
      </c>
      <c r="E919" s="1" t="n">
        <v>46267</v>
      </c>
      <c r="F919" t="inlineStr">
        <is>
          <t>GÄVLEBORGS LÄN</t>
        </is>
      </c>
      <c r="G919" t="inlineStr">
        <is>
          <t>NORDANSTIG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46188</v>
      </c>
      <c r="E920" s="1" t="n">
        <v>46267</v>
      </c>
      <c r="F920" t="inlineStr">
        <is>
          <t>GÄVLEBORGS LÄN</t>
        </is>
      </c>
      <c r="G920" t="inlineStr">
        <is>
          <t>NORDANSTIG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27183-2026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46188</v>
      </c>
      <c r="E921" s="1" t="n">
        <v>46267</v>
      </c>
      <c r="F921" t="inlineStr">
        <is>
          <t>GÄVLEBORGS LÄN</t>
        </is>
      </c>
      <c r="G921" t="inlineStr">
        <is>
          <t>NORDANSTIG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20044-2024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45434</v>
      </c>
      <c r="E922" s="1" t="n">
        <v>46267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27150-2026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46188</v>
      </c>
      <c r="E923" s="1" t="n">
        <v>46267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11599-2024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45373</v>
      </c>
      <c r="E924" s="1" t="n">
        <v>46267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30842-2024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45497</v>
      </c>
      <c r="E925" s="1" t="n">
        <v>46267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39068-2023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45163</v>
      </c>
      <c r="E926" s="1" t="n">
        <v>46267</v>
      </c>
      <c r="F926" t="inlineStr">
        <is>
          <t>GÄVLEBORGS LÄN</t>
        </is>
      </c>
      <c r="G926" t="inlineStr">
        <is>
          <t>NORDANSTIG</t>
        </is>
      </c>
      <c r="H926" t="inlineStr">
        <is>
          <t>SCA</t>
        </is>
      </c>
      <c r="I926" t="n">
        <v>11.8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32092-2026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46234</v>
      </c>
      <c r="E927" s="1" t="n">
        <v>46267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19231-2024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45428</v>
      </c>
      <c r="E928" s="1" t="n">
        <v>46267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21.5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27975-2026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46195</v>
      </c>
      <c r="E929" s="1" t="n">
        <v>46267</v>
      </c>
      <c r="F929" t="inlineStr">
        <is>
          <t>GÄVLEBORGS LÄN</t>
        </is>
      </c>
      <c r="G929" t="inlineStr">
        <is>
          <t>NORDANSTIG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52746-2022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44874</v>
      </c>
      <c r="E930" s="1" t="n">
        <v>46267</v>
      </c>
      <c r="F930" t="inlineStr">
        <is>
          <t>GÄVLEBORGS LÄN</t>
        </is>
      </c>
      <c r="G930" t="inlineStr">
        <is>
          <t>NORDANSTIG</t>
        </is>
      </c>
      <c r="H930" t="inlineStr">
        <is>
          <t>SCA</t>
        </is>
      </c>
      <c r="I930" t="n">
        <v>7.1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54524-2024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45617</v>
      </c>
      <c r="E931" s="1" t="n">
        <v>46267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27976-2026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46195</v>
      </c>
      <c r="E932" s="1" t="n">
        <v>46267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27981-2026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46195</v>
      </c>
      <c r="E933" s="1" t="n">
        <v>46267</v>
      </c>
      <c r="F933" t="inlineStr">
        <is>
          <t>GÄVLEBORGS LÄN</t>
        </is>
      </c>
      <c r="G933" t="inlineStr">
        <is>
          <t>NORDANSTIG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8898-2024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45357</v>
      </c>
      <c r="E934" s="1" t="n">
        <v>46267</v>
      </c>
      <c r="F934" t="inlineStr">
        <is>
          <t>GÄVLEBORGS LÄN</t>
        </is>
      </c>
      <c r="G934" t="inlineStr">
        <is>
          <t>NORDANSTIG</t>
        </is>
      </c>
      <c r="I934" t="n">
        <v>8.199999999999999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32340-2026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46238</v>
      </c>
      <c r="E935" s="1" t="n">
        <v>46267</v>
      </c>
      <c r="F935" t="inlineStr">
        <is>
          <t>GÄVLEBORGS LÄN</t>
        </is>
      </c>
      <c r="G935" t="inlineStr">
        <is>
          <t>NORDANSTIG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31894-2026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46231</v>
      </c>
      <c r="E936" s="1" t="n">
        <v>46267</v>
      </c>
      <c r="F936" t="inlineStr">
        <is>
          <t>GÄVLEBORGS LÄN</t>
        </is>
      </c>
      <c r="G936" t="inlineStr">
        <is>
          <t>NORDANSTIG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41318-2024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45559</v>
      </c>
      <c r="E937" s="1" t="n">
        <v>46267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15385-2023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45019</v>
      </c>
      <c r="E938" s="1" t="n">
        <v>46267</v>
      </c>
      <c r="F938" t="inlineStr">
        <is>
          <t>GÄVLEBORGS LÄN</t>
        </is>
      </c>
      <c r="G938" t="inlineStr">
        <is>
          <t>NORDANSTIG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45303</v>
      </c>
      <c r="E939" s="1" t="n">
        <v>46267</v>
      </c>
      <c r="F939" t="inlineStr">
        <is>
          <t>GÄVLEBORGS LÄN</t>
        </is>
      </c>
      <c r="G939" t="inlineStr">
        <is>
          <t>NORDANSTIG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1564-2025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45667</v>
      </c>
      <c r="E940" s="1" t="n">
        <v>46267</v>
      </c>
      <c r="F940" t="inlineStr">
        <is>
          <t>GÄVLEBORGS LÄN</t>
        </is>
      </c>
      <c r="G940" t="inlineStr">
        <is>
          <t>NORDANSTIG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1576-2025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45670</v>
      </c>
      <c r="E941" s="1" t="n">
        <v>46267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5.6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45670</v>
      </c>
      <c r="E942" s="1" t="n">
        <v>46267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28529-2026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46197</v>
      </c>
      <c r="E943" s="1" t="n">
        <v>46267</v>
      </c>
      <c r="F943" t="inlineStr">
        <is>
          <t>GÄVLEBORGS LÄN</t>
        </is>
      </c>
      <c r="G943" t="inlineStr">
        <is>
          <t>NORDANSTIG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2705-2025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45677</v>
      </c>
      <c r="E944" s="1" t="n">
        <v>46267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55276-2024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45621</v>
      </c>
      <c r="E945" s="1" t="n">
        <v>46267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28370-2026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46196</v>
      </c>
      <c r="E946" s="1" t="n">
        <v>46267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28391-2026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46196</v>
      </c>
      <c r="E947" s="1" t="n">
        <v>46267</v>
      </c>
      <c r="F947" t="inlineStr">
        <is>
          <t>GÄVLEBORGS LÄN</t>
        </is>
      </c>
      <c r="G947" t="inlineStr">
        <is>
          <t>NORDANSTIG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58749-2024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45635</v>
      </c>
      <c r="E948" s="1" t="n">
        <v>46267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28226-2026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46196</v>
      </c>
      <c r="E949" s="1" t="n">
        <v>46267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28777-2026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46198</v>
      </c>
      <c r="E950" s="1" t="n">
        <v>46267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25821-2026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46178</v>
      </c>
      <c r="E951" s="1" t="n">
        <v>46267</v>
      </c>
      <c r="F951" t="inlineStr">
        <is>
          <t>GÄVLEBORGS LÄN</t>
        </is>
      </c>
      <c r="G951" t="inlineStr">
        <is>
          <t>NORDANSTIG</t>
        </is>
      </c>
      <c r="I951" t="n">
        <v>11.2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32917-2026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46244</v>
      </c>
      <c r="E952" s="1" t="n">
        <v>46267</v>
      </c>
      <c r="F952" t="inlineStr">
        <is>
          <t>GÄVLEBORGS LÄN</t>
        </is>
      </c>
      <c r="G952" t="inlineStr">
        <is>
          <t>NORDANSTIG</t>
        </is>
      </c>
      <c r="I952" t="n">
        <v>7.4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28739-2026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46198</v>
      </c>
      <c r="E953" s="1" t="n">
        <v>46267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25631-2023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45089</v>
      </c>
      <c r="E954" s="1" t="n">
        <v>46267</v>
      </c>
      <c r="F954" t="inlineStr">
        <is>
          <t>GÄVLEBORGS LÄN</t>
        </is>
      </c>
      <c r="G954" t="inlineStr">
        <is>
          <t>NORDANSTIG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32938-2026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46267</v>
      </c>
      <c r="F955" t="inlineStr">
        <is>
          <t>GÄVLEBORGS LÄN</t>
        </is>
      </c>
      <c r="G955" t="inlineStr">
        <is>
          <t>NORDANSTIG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28724-2026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46198</v>
      </c>
      <c r="E956" s="1" t="n">
        <v>46267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28734-2026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46198</v>
      </c>
      <c r="E957" s="1" t="n">
        <v>46267</v>
      </c>
      <c r="F957" t="inlineStr">
        <is>
          <t>GÄVLEBORGS LÄN</t>
        </is>
      </c>
      <c r="G957" t="inlineStr">
        <is>
          <t>NORDANSTIG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51842-2024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45607</v>
      </c>
      <c r="E958" s="1" t="n">
        <v>46267</v>
      </c>
      <c r="F958" t="inlineStr">
        <is>
          <t>GÄVLEBORGS LÄN</t>
        </is>
      </c>
      <c r="G958" t="inlineStr">
        <is>
          <t>NORDANSTIG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54401-2024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46267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17641-2025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45758</v>
      </c>
      <c r="E960" s="1" t="n">
        <v>46267</v>
      </c>
      <c r="F960" t="inlineStr">
        <is>
          <t>GÄVLEBORGS LÄN</t>
        </is>
      </c>
      <c r="G960" t="inlineStr">
        <is>
          <t>NORDANSTIG</t>
        </is>
      </c>
      <c r="I960" t="n">
        <v>4.7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32726-2026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46241</v>
      </c>
      <c r="E961" s="1" t="n">
        <v>46267</v>
      </c>
      <c r="F961" t="inlineStr">
        <is>
          <t>GÄVLEBORGS LÄN</t>
        </is>
      </c>
      <c r="G961" t="inlineStr">
        <is>
          <t>NORDANSTIG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54200-2023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45232</v>
      </c>
      <c r="E962" s="1" t="n">
        <v>46267</v>
      </c>
      <c r="F962" t="inlineStr">
        <is>
          <t>GÄVLEBORGS LÄN</t>
        </is>
      </c>
      <c r="G962" t="inlineStr">
        <is>
          <t>NORDANSTIG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59043-2024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45636</v>
      </c>
      <c r="E963" s="1" t="n">
        <v>46267</v>
      </c>
      <c r="F963" t="inlineStr">
        <is>
          <t>GÄVLEBORGS LÄN</t>
        </is>
      </c>
      <c r="G963" t="inlineStr">
        <is>
          <t>NORDANSTIG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10069-2025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45719</v>
      </c>
      <c r="E964" s="1" t="n">
        <v>46267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4.6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29162-2026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46202</v>
      </c>
      <c r="E965" s="1" t="n">
        <v>46267</v>
      </c>
      <c r="F965" t="inlineStr">
        <is>
          <t>GÄVLEBORGS LÄN</t>
        </is>
      </c>
      <c r="G965" t="inlineStr">
        <is>
          <t>NORDANSTIG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40241-2023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45169</v>
      </c>
      <c r="E966" s="1" t="n">
        <v>46267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11394-2025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45726</v>
      </c>
      <c r="E967" s="1" t="n">
        <v>46267</v>
      </c>
      <c r="F967" t="inlineStr">
        <is>
          <t>GÄVLEBORGS LÄN</t>
        </is>
      </c>
      <c r="G967" t="inlineStr">
        <is>
          <t>NORDANSTIG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55523-2024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45622</v>
      </c>
      <c r="E968" s="1" t="n">
        <v>46267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32350-2022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44781</v>
      </c>
      <c r="E969" s="1" t="n">
        <v>46267</v>
      </c>
      <c r="F969" t="inlineStr">
        <is>
          <t>GÄVLEBORGS LÄN</t>
        </is>
      </c>
      <c r="G969" t="inlineStr">
        <is>
          <t>NORDANSTIG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55948-2024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45623</v>
      </c>
      <c r="E970" s="1" t="n">
        <v>46267</v>
      </c>
      <c r="F970" t="inlineStr">
        <is>
          <t>GÄVLEBORGS LÄN</t>
        </is>
      </c>
      <c r="G970" t="inlineStr">
        <is>
          <t>NORDANSTIG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32827-2023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45124</v>
      </c>
      <c r="E971" s="1" t="n">
        <v>46267</v>
      </c>
      <c r="F971" t="inlineStr">
        <is>
          <t>GÄVLEBORGS LÄN</t>
        </is>
      </c>
      <c r="G971" t="inlineStr">
        <is>
          <t>NORDANSTIG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28697-2023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45103</v>
      </c>
      <c r="E972" s="1" t="n">
        <v>46267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1708-2023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44938</v>
      </c>
      <c r="E973" s="1" t="n">
        <v>46267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29733-2026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46204</v>
      </c>
      <c r="E974" s="1" t="n">
        <v>46267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8.800000000000001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59799-2022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44908</v>
      </c>
      <c r="E975" s="1" t="n">
        <v>46267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36525-2024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45537</v>
      </c>
      <c r="E976" s="1" t="n">
        <v>46267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59422-2022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44907</v>
      </c>
      <c r="E977" s="1" t="n">
        <v>46267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33884-2026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46251</v>
      </c>
      <c r="E978" s="1" t="n">
        <v>46267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30428-2026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46209</v>
      </c>
      <c r="E979" s="1" t="n">
        <v>46267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30259-2026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46206</v>
      </c>
      <c r="E980" s="1" t="n">
        <v>46267</v>
      </c>
      <c r="F980" t="inlineStr">
        <is>
          <t>GÄVLEBORGS LÄN</t>
        </is>
      </c>
      <c r="G980" t="inlineStr">
        <is>
          <t>NORDANSTIG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30267-2026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46267</v>
      </c>
      <c r="F981" t="inlineStr">
        <is>
          <t>GÄVLEBORGS LÄN</t>
        </is>
      </c>
      <c r="G981" t="inlineStr">
        <is>
          <t>NORDANSTIG</t>
        </is>
      </c>
      <c r="I981" t="n">
        <v>8.1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22547-2022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44713</v>
      </c>
      <c r="E982" s="1" t="n">
        <v>46267</v>
      </c>
      <c r="F982" t="inlineStr">
        <is>
          <t>GÄVLEBORGS LÄN</t>
        </is>
      </c>
      <c r="G982" t="inlineStr">
        <is>
          <t>NORDANSTIG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38451-2024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45546</v>
      </c>
      <c r="E983" s="1" t="n">
        <v>46267</v>
      </c>
      <c r="F983" t="inlineStr">
        <is>
          <t>GÄVLEBORGS LÄN</t>
        </is>
      </c>
      <c r="G983" t="inlineStr">
        <is>
          <t>NORDANSTIG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45551-2024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45579</v>
      </c>
      <c r="E984" s="1" t="n">
        <v>46267</v>
      </c>
      <c r="F984" t="inlineStr">
        <is>
          <t>GÄVLEBORGS LÄN</t>
        </is>
      </c>
      <c r="G984" t="inlineStr">
        <is>
          <t>NORDANSTIG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46267</v>
      </c>
      <c r="F985" t="inlineStr">
        <is>
          <t>GÄVLEBORGS LÄN</t>
        </is>
      </c>
      <c r="G985" t="inlineStr">
        <is>
          <t>NORDANSTIG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58162-2024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45632</v>
      </c>
      <c r="E986" s="1" t="n">
        <v>46267</v>
      </c>
      <c r="F986" t="inlineStr">
        <is>
          <t>GÄVLEBORGS LÄN</t>
        </is>
      </c>
      <c r="G986" t="inlineStr">
        <is>
          <t>NORDANSTIG</t>
        </is>
      </c>
      <c r="H986" t="inlineStr">
        <is>
          <t>Kyrkan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30390-2026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46267</v>
      </c>
      <c r="F987" t="inlineStr">
        <is>
          <t>GÄVLEBORGS LÄN</t>
        </is>
      </c>
      <c r="G987" t="inlineStr">
        <is>
          <t>NORDANSTIG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30391-2026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46209</v>
      </c>
      <c r="E988" s="1" t="n">
        <v>46267</v>
      </c>
      <c r="F988" t="inlineStr">
        <is>
          <t>GÄVLEBORGS LÄN</t>
        </is>
      </c>
      <c r="G988" t="inlineStr">
        <is>
          <t>NORDANSTIG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30431-2026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46209</v>
      </c>
      <c r="E989" s="1" t="n">
        <v>46267</v>
      </c>
      <c r="F989" t="inlineStr">
        <is>
          <t>GÄVLEBORGS LÄN</t>
        </is>
      </c>
      <c r="G989" t="inlineStr">
        <is>
          <t>NORDANSTIG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58876-2024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45636</v>
      </c>
      <c r="E990" s="1" t="n">
        <v>46267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34229-2026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46267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34235-2026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46253</v>
      </c>
      <c r="E992" s="1" t="n">
        <v>46267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34248-2026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46253</v>
      </c>
      <c r="E993" s="1" t="n">
        <v>46267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8646-2026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46066</v>
      </c>
      <c r="E994" s="1" t="n">
        <v>46267</v>
      </c>
      <c r="F994" t="inlineStr">
        <is>
          <t>GÄVLEBORGS LÄN</t>
        </is>
      </c>
      <c r="G994" t="inlineStr">
        <is>
          <t>NORDANSTIG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20876-2025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45777</v>
      </c>
      <c r="E995" s="1" t="n">
        <v>46267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34212-2026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46253</v>
      </c>
      <c r="E996" s="1" t="n">
        <v>46267</v>
      </c>
      <c r="F996" t="inlineStr">
        <is>
          <t>GÄVLEBORGS LÄN</t>
        </is>
      </c>
      <c r="G996" t="inlineStr">
        <is>
          <t>NORDANSTIG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21725-2025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45783</v>
      </c>
      <c r="E997" s="1" t="n">
        <v>46267</v>
      </c>
      <c r="F997" t="inlineStr">
        <is>
          <t>GÄVLEBORGS LÄN</t>
        </is>
      </c>
      <c r="G997" t="inlineStr">
        <is>
          <t>NORDANSTIG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18716-2025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45763</v>
      </c>
      <c r="E998" s="1" t="n">
        <v>46267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18707-2025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45763</v>
      </c>
      <c r="E999" s="1" t="n">
        <v>46267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12389-2023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44999</v>
      </c>
      <c r="E1000" s="1" t="n">
        <v>46267</v>
      </c>
      <c r="F1000" t="inlineStr">
        <is>
          <t>GÄVLEBORGS LÄN</t>
        </is>
      </c>
      <c r="G1000" t="inlineStr">
        <is>
          <t>NORDANSTIG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21928-2025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45784</v>
      </c>
      <c r="E1001" s="1" t="n">
        <v>46267</v>
      </c>
      <c r="F1001" t="inlineStr">
        <is>
          <t>GÄVLEBORGS LÄN</t>
        </is>
      </c>
      <c r="G1001" t="inlineStr">
        <is>
          <t>NORDANSTIG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30879-2024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45498</v>
      </c>
      <c r="E1002" s="1" t="n">
        <v>46267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34542-2026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46255</v>
      </c>
      <c r="E1003" s="1" t="n">
        <v>46267</v>
      </c>
      <c r="F1003" t="inlineStr">
        <is>
          <t>GÄVLEBORGS LÄN</t>
        </is>
      </c>
      <c r="G1003" t="inlineStr">
        <is>
          <t>NORDANSTIG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32470-2023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45120</v>
      </c>
      <c r="E1004" s="1" t="n">
        <v>46267</v>
      </c>
      <c r="F1004" t="inlineStr">
        <is>
          <t>GÄVLEBORGS LÄN</t>
        </is>
      </c>
      <c r="G1004" t="inlineStr">
        <is>
          <t>NORDANSTIG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31365-2026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46213</v>
      </c>
      <c r="E1005" s="1" t="n">
        <v>46267</v>
      </c>
      <c r="F1005" t="inlineStr">
        <is>
          <t>GÄVLEBORGS LÄN</t>
        </is>
      </c>
      <c r="G1005" t="inlineStr">
        <is>
          <t>NORDANSTIG</t>
        </is>
      </c>
      <c r="I1005" t="n">
        <v>4.8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30899-2026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46213</v>
      </c>
      <c r="E1006" s="1" t="n">
        <v>46267</v>
      </c>
      <c r="F1006" t="inlineStr">
        <is>
          <t>GÄVLEBORGS LÄN</t>
        </is>
      </c>
      <c r="G1006" t="inlineStr">
        <is>
          <t>NORDANSTIG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34475-2026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46254</v>
      </c>
      <c r="E1007" s="1" t="n">
        <v>46267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SCA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46043</v>
      </c>
      <c r="E1008" s="1" t="n">
        <v>46267</v>
      </c>
      <c r="F1008" t="inlineStr">
        <is>
          <t>GÄVLEBORGS LÄN</t>
        </is>
      </c>
      <c r="G1008" t="inlineStr">
        <is>
          <t>NORDANSTIG</t>
        </is>
      </c>
      <c r="I1008" t="n">
        <v>14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22310-2025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45786</v>
      </c>
      <c r="E1009" s="1" t="n">
        <v>46267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27.9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31366-2026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46267</v>
      </c>
      <c r="F1010" t="inlineStr">
        <is>
          <t>GÄVLEBORGS LÄN</t>
        </is>
      </c>
      <c r="G1010" t="inlineStr">
        <is>
          <t>NORDANSTIG</t>
        </is>
      </c>
      <c r="I1010" t="n">
        <v>9.6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34693-2026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46258</v>
      </c>
      <c r="E1011" s="1" t="n">
        <v>46267</v>
      </c>
      <c r="F1011" t="inlineStr">
        <is>
          <t>GÄVLEBORGS LÄN</t>
        </is>
      </c>
      <c r="G1011" t="inlineStr">
        <is>
          <t>NORDANSTIG</t>
        </is>
      </c>
      <c r="I1011" t="n">
        <v>9.199999999999999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26671-2026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46184</v>
      </c>
      <c r="E1012" s="1" t="n">
        <v>46267</v>
      </c>
      <c r="F1012" t="inlineStr">
        <is>
          <t>GÄVLEBORGS LÄN</t>
        </is>
      </c>
      <c r="G1012" t="inlineStr">
        <is>
          <t>NORDANSTIG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67879-2021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44525</v>
      </c>
      <c r="E1013" s="1" t="n">
        <v>46267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16616-2025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45754</v>
      </c>
      <c r="E1014" s="1" t="n">
        <v>46267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46267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23122-2025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45791</v>
      </c>
      <c r="E1016" s="1" t="n">
        <v>46267</v>
      </c>
      <c r="F1016" t="inlineStr">
        <is>
          <t>GÄVLEBORGS LÄN</t>
        </is>
      </c>
      <c r="G1016" t="inlineStr">
        <is>
          <t>NORDANSTIG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17678-2025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45758</v>
      </c>
      <c r="E1017" s="1" t="n">
        <v>46267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34999-2026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46259</v>
      </c>
      <c r="E1018" s="1" t="n">
        <v>46267</v>
      </c>
      <c r="F1018" t="inlineStr">
        <is>
          <t>GÄVLEBORGS LÄN</t>
        </is>
      </c>
      <c r="G1018" t="inlineStr">
        <is>
          <t>NORDANSTIG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23623-2025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45792</v>
      </c>
      <c r="E1019" s="1" t="n">
        <v>46267</v>
      </c>
      <c r="F1019" t="inlineStr">
        <is>
          <t>GÄVLEBORGS LÄN</t>
        </is>
      </c>
      <c r="G1019" t="inlineStr">
        <is>
          <t>NORDANSTIG</t>
        </is>
      </c>
      <c r="I1019" t="n">
        <v>12.9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23154-2025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45791</v>
      </c>
      <c r="E1020" s="1" t="n">
        <v>46267</v>
      </c>
      <c r="F1020" t="inlineStr">
        <is>
          <t>GÄVLEBORGS LÄN</t>
        </is>
      </c>
      <c r="G1020" t="inlineStr">
        <is>
          <t>NORDANSTIG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34998-2026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46259</v>
      </c>
      <c r="E1021" s="1" t="n">
        <v>46267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20137-2023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45055</v>
      </c>
      <c r="E1022" s="1" t="n">
        <v>46267</v>
      </c>
      <c r="F1022" t="inlineStr">
        <is>
          <t>GÄVLEBORGS LÄN</t>
        </is>
      </c>
      <c r="G1022" t="inlineStr">
        <is>
          <t>NORDANSTIG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54803-2023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45236</v>
      </c>
      <c r="E1023" s="1" t="n">
        <v>46267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33414-2022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44788</v>
      </c>
      <c r="E1024" s="1" t="n">
        <v>46267</v>
      </c>
      <c r="F1024" t="inlineStr">
        <is>
          <t>GÄVLEBORGS LÄN</t>
        </is>
      </c>
      <c r="G1024" t="inlineStr">
        <is>
          <t>NORDANSTIG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23119-2025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45791</v>
      </c>
      <c r="E1025" s="1" t="n">
        <v>46267</v>
      </c>
      <c r="F1025" t="inlineStr">
        <is>
          <t>GÄVLEBORGS LÄN</t>
        </is>
      </c>
      <c r="G1025" t="inlineStr">
        <is>
          <t>NORDANSTIG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23072-2025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45790</v>
      </c>
      <c r="E1026" s="1" t="n">
        <v>46267</v>
      </c>
      <c r="F1026" t="inlineStr">
        <is>
          <t>GÄVLEBORGS LÄN</t>
        </is>
      </c>
      <c r="G1026" t="inlineStr">
        <is>
          <t>NORDANSTIG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29372-2026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46203</v>
      </c>
      <c r="E1027" s="1" t="n">
        <v>46267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35546-2026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46262</v>
      </c>
      <c r="E1028" s="1" t="n">
        <v>46267</v>
      </c>
      <c r="F1028" t="inlineStr">
        <is>
          <t>GÄVLEBORGS LÄN</t>
        </is>
      </c>
      <c r="G1028" t="inlineStr">
        <is>
          <t>NORDANSTIG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23993-2025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46267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23791-2025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45793</v>
      </c>
      <c r="E1030" s="1" t="n">
        <v>46267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43523-2024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45569</v>
      </c>
      <c r="E1031" s="1" t="n">
        <v>46267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45312-2023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45191</v>
      </c>
      <c r="E1032" s="1" t="n">
        <v>46267</v>
      </c>
      <c r="F1032" t="inlineStr">
        <is>
          <t>GÄVLEBORGS LÄN</t>
        </is>
      </c>
      <c r="G1032" t="inlineStr">
        <is>
          <t>NORDANSTIG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26700-2026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46184</v>
      </c>
      <c r="E1033" s="1" t="n">
        <v>46267</v>
      </c>
      <c r="F1033" t="inlineStr">
        <is>
          <t>GÄVLEBORGS LÄN</t>
        </is>
      </c>
      <c r="G1033" t="inlineStr">
        <is>
          <t>NORDANSTIG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45793</v>
      </c>
      <c r="E1034" s="1" t="n">
        <v>46267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24101-2025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46267</v>
      </c>
      <c r="F1035" t="inlineStr">
        <is>
          <t>GÄVLEBORGS LÄN</t>
        </is>
      </c>
      <c r="G1035" t="inlineStr">
        <is>
          <t>NORDANSTIG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35342-2026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46261</v>
      </c>
      <c r="E1036" s="1" t="n">
        <v>46267</v>
      </c>
      <c r="F1036" t="inlineStr">
        <is>
          <t>GÄVLEBORGS LÄN</t>
        </is>
      </c>
      <c r="G1036" t="inlineStr">
        <is>
          <t>NORDANSTIG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25723-2024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45463</v>
      </c>
      <c r="E1037" s="1" t="n">
        <v>46267</v>
      </c>
      <c r="F1037" t="inlineStr">
        <is>
          <t>GÄVLEBORGS LÄN</t>
        </is>
      </c>
      <c r="G1037" t="inlineStr">
        <is>
          <t>NORDANSTIG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26696-2026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46184</v>
      </c>
      <c r="E1038" s="1" t="n">
        <v>46267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35741-2024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45532</v>
      </c>
      <c r="E1039" s="1" t="n">
        <v>46267</v>
      </c>
      <c r="F1039" t="inlineStr">
        <is>
          <t>GÄVLEBORGS LÄN</t>
        </is>
      </c>
      <c r="G1039" t="inlineStr">
        <is>
          <t>NORDANSTIG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29371-2026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46203</v>
      </c>
      <c r="E1040" s="1" t="n">
        <v>46267</v>
      </c>
      <c r="F1040" t="inlineStr">
        <is>
          <t>GÄVLEBORGS LÄN</t>
        </is>
      </c>
      <c r="G1040" t="inlineStr">
        <is>
          <t>NORDANSTIG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37294-2024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45540</v>
      </c>
      <c r="E1041" s="1" t="n">
        <v>46267</v>
      </c>
      <c r="F1041" t="inlineStr">
        <is>
          <t>GÄVLEBORGS LÄN</t>
        </is>
      </c>
      <c r="G1041" t="inlineStr">
        <is>
          <t>NORDANSTIG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31385-2026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46220</v>
      </c>
      <c r="E1042" s="1" t="n">
        <v>46267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47238-2024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45586</v>
      </c>
      <c r="E1043" s="1" t="n">
        <v>46267</v>
      </c>
      <c r="F1043" t="inlineStr">
        <is>
          <t>GÄVLEBORGS LÄN</t>
        </is>
      </c>
      <c r="G1043" t="inlineStr">
        <is>
          <t>NORDANSTIG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31500-2026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46223</v>
      </c>
      <c r="E1044" s="1" t="n">
        <v>46267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31422-2026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46267</v>
      </c>
      <c r="F1045" t="inlineStr">
        <is>
          <t>GÄVLEBORGS LÄN</t>
        </is>
      </c>
      <c r="G1045" t="inlineStr">
        <is>
          <t>NORDANSTIG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31538-2026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46223</v>
      </c>
      <c r="E1046" s="1" t="n">
        <v>46267</v>
      </c>
      <c r="F1046" t="inlineStr">
        <is>
          <t>GÄVLEBORGS LÄN</t>
        </is>
      </c>
      <c r="G1046" t="inlineStr">
        <is>
          <t>NORDANSTIG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25068-2025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45799</v>
      </c>
      <c r="E1047" s="1" t="n">
        <v>46267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35782-2026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46267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24938-2025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46267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30.1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25080-2025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45799</v>
      </c>
      <c r="E1050" s="1" t="n">
        <v>46267</v>
      </c>
      <c r="F1050" t="inlineStr">
        <is>
          <t>GÄVLEBORGS LÄN</t>
        </is>
      </c>
      <c r="G1050" t="inlineStr">
        <is>
          <t>NORDANSTIG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25468-2025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45802</v>
      </c>
      <c r="E1051" s="1" t="n">
        <v>46267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5.5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25467-2025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45802</v>
      </c>
      <c r="E1052" s="1" t="n">
        <v>46267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31406-2026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46220</v>
      </c>
      <c r="E1053" s="1" t="n">
        <v>46267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31423-2026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46220</v>
      </c>
      <c r="E1054" s="1" t="n">
        <v>46267</v>
      </c>
      <c r="F1054" t="inlineStr">
        <is>
          <t>GÄVLEBORGS LÄN</t>
        </is>
      </c>
      <c r="G1054" t="inlineStr">
        <is>
          <t>NORDANSTIG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8-2025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45650</v>
      </c>
      <c r="E1055" s="1" t="n">
        <v>46267</v>
      </c>
      <c r="F1055" t="inlineStr">
        <is>
          <t>GÄVLEBORGS LÄN</t>
        </is>
      </c>
      <c r="G1055" t="inlineStr">
        <is>
          <t>NORDANSTIG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3999-2023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46267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39.7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3990-2023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46267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79.5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10130-2021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44538</v>
      </c>
      <c r="E1058" s="1" t="n">
        <v>46267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281.2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3983-2023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131-2025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45670</v>
      </c>
      <c r="E1060" s="1" t="n">
        <v>46267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131.6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117-2025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68.7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3987-2023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25-2023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44929</v>
      </c>
      <c r="E1064" s="1" t="n">
        <v>46267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1008-2024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45386</v>
      </c>
      <c r="E1066" s="1" t="n">
        <v>46267</v>
      </c>
      <c r="F1066" t="inlineStr">
        <is>
          <t>GÄVLEBORGS LÄN</t>
        </is>
      </c>
      <c r="G1066" t="inlineStr">
        <is>
          <t>NORDANSTIG</t>
        </is>
      </c>
      <c r="I1066" t="n">
        <v>6.8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3989-2023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3994-2023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46267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57.5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127-2025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46267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3991-2023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3992-2023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130.4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138-2025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46267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49.7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3988-2023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150.6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122-2025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46267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128.2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HYPERLINK("https://klasma.github.io/Logging_2132/knärot/S 122-2025 karta knärot.png", "S 122-2025")</f>
        <v/>
      </c>
      <c r="AA1076">
        <f>HYPERLINK("https://klasma.github.io/Logging_2132/klagomål/S 122-2025 FSC-klagomål.docx", "S 122-2025")</f>
        <v/>
      </c>
      <c r="AB1076">
        <f>HYPERLINK("https://klasma.github.io/Logging_2132/klagomålsmail/S 122-2025 FSC-klagomål mail.docx", "S 122-2025")</f>
        <v/>
      </c>
      <c r="AC1076">
        <f>HYPERLINK("https://klasma.github.io/Logging_2132/tillsyn/S 122-2025 tillsynsbegäran.docx", "S 122-2025")</f>
        <v/>
      </c>
      <c r="AD1076">
        <f>HYPERLINK("https://klasma.github.io/Logging_2132/tillsynsmail/S 122-2025 tillsynsbegäran mail.docx", "S 122-2025")</f>
        <v/>
      </c>
    </row>
    <row r="1077">
      <c r="A1077" t="inlineStr">
        <is>
          <t>S 573-2026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46083</v>
      </c>
      <c r="E1077" s="1" t="n">
        <v>46267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SCA</t>
        </is>
      </c>
      <c r="I1077" t="n">
        <v>64.3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2026-09-02T02:07:42Z</dcterms:created>
  <dcterms:modified xmlns:dcterms="http://purl.org/dc/terms/" xmlns:xsi="http://www.w3.org/2001/XMLSchema-instance" xsi:type="dcterms:W3CDTF">2026-09-02T02:07:44Z</dcterms:modified>
</cp:coreProperties>
</file>