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46236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46236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46236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46236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46236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46236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46236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46236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46236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46236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46236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46236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26325-2023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46236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9.9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13</v>
      </c>
      <c r="U25" t="n">
        <v>12</v>
      </c>
      <c r="V25" s="2" t="inlineStr">
        <is>
          <t>Garnlav
Ringlav
Lunglav
Rosenticka</t>
        </is>
      </c>
      <c r="W25">
        <f>HYPERLINK("https://klasma.github.io/Logging_2132/artfynd/A 26325-2023 artfynd.xlsx", "A 26325-2023")</f>
        <v/>
      </c>
      <c r="X25">
        <f>HYPERLINK("https://klasma.github.io/Logging_2132/kartor/A 26325-2023 karta.png", "A 26325-2023")</f>
        <v/>
      </c>
      <c r="Y25">
        <f>HYPERLINK("https://klasma.github.io/Logging_2132/kartor_geotiff/A 26325-2023 georefererad karta.tif", "A 26325-2023")</f>
        <v/>
      </c>
      <c r="AA25">
        <f>HYPERLINK("https://klasma.github.io/Logging_2132/klagomål/A 26325-2023 FSC-klagomål.docx", "A 26325-2023")</f>
        <v/>
      </c>
      <c r="AB25">
        <f>HYPERLINK("https://klasma.github.io/Logging_2132/klagomålsmail/A 26325-2023 FSC-klagomål mail.docx", "A 26325-2023")</f>
        <v/>
      </c>
      <c r="AC25">
        <f>HYPERLINK("https://klasma.github.io/Logging_2132/tillsyn/A 26325-2023 tillsynsbegäran.docx", "A 26325-2023")</f>
        <v/>
      </c>
      <c r="AD25">
        <f>HYPERLINK("https://klasma.github.io/Logging_2132/tillsynsmail/A 26325-2023 tillsynsbegäran mail.docx", "A 26325-2023")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46236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46236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46236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46236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46236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46236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46236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Smal svampklubba</t>
        </is>
      </c>
      <c r="W36">
        <f>HYPERLINK("https://klasma.github.io/Logging_2132/artfynd/A 31066-2024 artfynd.xlsx", "A 31066-2024")</f>
        <v/>
      </c>
      <c r="X36">
        <f>HYPERLINK("https://klasma.github.io/Logging_2132/kartor/A 31066-2024 karta.png", "A 31066-2024")</f>
        <v/>
      </c>
      <c r="Y36">
        <f>HYPERLINK("https://klasma.github.io/Logging_2132/kartor_geotiff/A 31066-2024 georefererad karta.tif", "A 31066-2024")</f>
        <v/>
      </c>
      <c r="AA36">
        <f>HYPERLINK("https://klasma.github.io/Logging_2132/klagomål/A 31066-2024 FSC-klagomål.docx", "A 31066-2024")</f>
        <v/>
      </c>
      <c r="AB36">
        <f>HYPERLINK("https://klasma.github.io/Logging_2132/klagomålsmail/A 31066-2024 FSC-klagomål mail.docx", "A 31066-2024")</f>
        <v/>
      </c>
      <c r="AC36">
        <f>HYPERLINK("https://klasma.github.io/Logging_2132/tillsyn/A 31066-2024 tillsynsbegäran.docx", "A 31066-2024")</f>
        <v/>
      </c>
      <c r="AD36">
        <f>HYPERLINK("https://klasma.github.io/Logging_2132/tillsynsmail/A 31066-2024 tillsynsbegäran mail.docx", "A 31066-2024")</f>
        <v/>
      </c>
    </row>
    <row r="37" ht="15" customHeight="1">
      <c r="A37" t="inlineStr">
        <is>
          <t>A 29578-2023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46236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Blåsippa</t>
        </is>
      </c>
      <c r="W37">
        <f>HYPERLINK("https://klasma.github.io/Logging_2132/artfynd/A 29578-2023 artfynd.xlsx", "A 29578-2023")</f>
        <v/>
      </c>
      <c r="X37">
        <f>HYPERLINK("https://klasma.github.io/Logging_2132/kartor/A 29578-2023 karta.png", "A 29578-2023")</f>
        <v/>
      </c>
      <c r="Y37">
        <f>HYPERLINK("https://klasma.github.io/Logging_2132/kartor_geotiff/A 29578-2023 georefererad karta.tif", "A 29578-2023")</f>
        <v/>
      </c>
      <c r="AA37">
        <f>HYPERLINK("https://klasma.github.io/Logging_2132/klagomål/A 29578-2023 FSC-klagomål.docx", "A 29578-2023")</f>
        <v/>
      </c>
      <c r="AB37">
        <f>HYPERLINK("https://klasma.github.io/Logging_2132/klagomålsmail/A 29578-2023 FSC-klagomål mail.docx", "A 29578-2023")</f>
        <v/>
      </c>
      <c r="AC37">
        <f>HYPERLINK("https://klasma.github.io/Logging_2132/tillsyn/A 29578-2023 tillsynsbegäran.docx", "A 29578-2023")</f>
        <v/>
      </c>
      <c r="AD37">
        <f>HYPERLINK("https://klasma.github.io/Logging_2132/tillsynsmail/A 29578-2023 tillsynsbegäran mail.docx", "A 29578-2023")</f>
        <v/>
      </c>
      <c r="AE37">
        <f>HYPERLINK("https://klasma.github.io/Logging_2132/fåglar/A 29578-2023 prioriterade fågelarter.docx", "A 29578-2023")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46236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45297</v>
      </c>
      <c r="E39" s="1" t="n">
        <v>46236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Duvhök
Kungsfågel</t>
        </is>
      </c>
      <c r="W39">
        <f>HYPERLINK("https://klasma.github.io/Logging_2132/artfynd/A 470-2024 artfynd.xlsx", "A 470-2024")</f>
        <v/>
      </c>
      <c r="X39">
        <f>HYPERLINK("https://klasma.github.io/Logging_2132/kartor/A 470-2024 karta.png", "A 470-2024")</f>
        <v/>
      </c>
      <c r="Y39">
        <f>HYPERLINK("https://klasma.github.io/Logging_2132/kartor_geotiff/A 470-2024 georefererad karta.tif", "A 470-2024")</f>
        <v/>
      </c>
      <c r="AA39">
        <f>HYPERLINK("https://klasma.github.io/Logging_2132/klagomål/A 470-2024 FSC-klagomål.docx", "A 470-2024")</f>
        <v/>
      </c>
      <c r="AB39">
        <f>HYPERLINK("https://klasma.github.io/Logging_2132/klagomålsmail/A 470-2024 FSC-klagomål mail.docx", "A 470-2024")</f>
        <v/>
      </c>
      <c r="AC39">
        <f>HYPERLINK("https://klasma.github.io/Logging_2132/tillsyn/A 470-2024 tillsynsbegäran.docx", "A 470-2024")</f>
        <v/>
      </c>
      <c r="AD39">
        <f>HYPERLINK("https://klasma.github.io/Logging_2132/tillsynsmail/A 470-2024 tillsynsbegäran mail.docx", "A 470-2024")</f>
        <v/>
      </c>
      <c r="AE39">
        <f>HYPERLINK("https://klasma.github.io/Logging_2132/fåglar/A 470-2024 prioriterade fågelarter.docx", "A 470-2024")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46236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46236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46236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46236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46236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46236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46236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t="n">
        <v>0</v>
      </c>
      <c r="V46" s="2" t="inlineStr">
        <is>
          <t>Tjäder
Fläcknycklar</t>
        </is>
      </c>
      <c r="W46">
        <f>HYPERLINK("https://klasma.github.io/Logging_2132/artfynd/A 17006-2026 artfynd.xlsx", "A 17006-2026")</f>
        <v/>
      </c>
      <c r="X46">
        <f>HYPERLINK("https://klasma.github.io/Logging_2132/kartor/A 17006-2026 karta.png", "A 17006-2026")</f>
        <v/>
      </c>
      <c r="Y46">
        <f>HYPERLINK("https://klasma.github.io/Logging_2132/kartor_geotiff/A 17006-2026 georefererad karta.tif", "A 17006-2026")</f>
        <v/>
      </c>
      <c r="AA46">
        <f>HYPERLINK("https://klasma.github.io/Logging_2132/klagomål/A 17006-2026 FSC-klagomål.docx", "A 17006-2026")</f>
        <v/>
      </c>
      <c r="AB46">
        <f>HYPERLINK("https://klasma.github.io/Logging_2132/klagomålsmail/A 17006-2026 FSC-klagomål mail.docx", "A 17006-2026")</f>
        <v/>
      </c>
      <c r="AC46">
        <f>HYPERLINK("https://klasma.github.io/Logging_2132/tillsyn/A 17006-2026 tillsynsbegäran.docx", "A 17006-2026")</f>
        <v/>
      </c>
      <c r="AD46">
        <f>HYPERLINK("https://klasma.github.io/Logging_2132/tillsynsmail/A 17006-2026 tillsynsbegäran mail.docx", "A 17006-2026")</f>
        <v/>
      </c>
      <c r="AE46">
        <f>HYPERLINK("https://klasma.github.io/Logging_2132/fåglar/A 17006-2026 prioriterade fågelarter.docx", "A 17006-2026")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46236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46236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46236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46236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22863-2023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46236</v>
      </c>
      <c r="F55" t="inlineStr">
        <is>
          <t>GÄVLEBORGS LÄN</t>
        </is>
      </c>
      <c r="G55" t="inlineStr">
        <is>
          <t>NORDANSTIG</t>
        </is>
      </c>
      <c r="I55" t="n">
        <v>1.9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22863-2023 artfynd.xlsx", "A 22863-2023")</f>
        <v/>
      </c>
      <c r="X55">
        <f>HYPERLINK("https://klasma.github.io/Logging_2132/kartor/A 22863-2023 karta.png", "A 22863-2023")</f>
        <v/>
      </c>
      <c r="Y55">
        <f>HYPERLINK("https://klasma.github.io/Logging_2132/kartor_geotiff/A 22863-2023 georefererad karta.tif", "A 22863-2023")</f>
        <v/>
      </c>
      <c r="AA55">
        <f>HYPERLINK("https://klasma.github.io/Logging_2132/klagomål/A 22863-2023 FSC-klagomål.docx", "A 22863-2023")</f>
        <v/>
      </c>
      <c r="AB55">
        <f>HYPERLINK("https://klasma.github.io/Logging_2132/klagomålsmail/A 22863-2023 FSC-klagomål mail.docx", "A 22863-2023")</f>
        <v/>
      </c>
      <c r="AC55">
        <f>HYPERLINK("https://klasma.github.io/Logging_2132/tillsyn/A 22863-2023 tillsynsbegäran.docx", "A 22863-2023")</f>
        <v/>
      </c>
      <c r="AD55">
        <f>HYPERLINK("https://klasma.github.io/Logging_2132/tillsynsmail/A 22863-2023 tillsynsbegäran mail.docx", "A 22863-2023")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46236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46236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46236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46236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14392-2025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45741</v>
      </c>
      <c r="E61" s="1" t="n">
        <v>46236</v>
      </c>
      <c r="F61" t="inlineStr">
        <is>
          <t>GÄVLEBORGS LÄN</t>
        </is>
      </c>
      <c r="G61" t="inlineStr">
        <is>
          <t>NORDANSTIG</t>
        </is>
      </c>
      <c r="I61" t="n">
        <v>28.6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Violettgrå tagellav</t>
        </is>
      </c>
      <c r="W61">
        <f>HYPERLINK("https://klasma.github.io/Logging_2132/artfynd/A 14392-2025 artfynd.xlsx", "A 14392-2025")</f>
        <v/>
      </c>
      <c r="X61">
        <f>HYPERLINK("https://klasma.github.io/Logging_2132/kartor/A 14392-2025 karta.png", "A 14392-2025")</f>
        <v/>
      </c>
      <c r="Y61">
        <f>HYPERLINK("https://klasma.github.io/Logging_2132/kartor_geotiff/A 14392-2025 georefererad karta.tif", "A 14392-2025")</f>
        <v/>
      </c>
      <c r="AA61">
        <f>HYPERLINK("https://klasma.github.io/Logging_2132/klagomål/A 14392-2025 FSC-klagomål.docx", "A 14392-2025")</f>
        <v/>
      </c>
      <c r="AB61">
        <f>HYPERLINK("https://klasma.github.io/Logging_2132/klagomålsmail/A 14392-2025 FSC-klagomål mail.docx", "A 14392-2025")</f>
        <v/>
      </c>
      <c r="AC61">
        <f>HYPERLINK("https://klasma.github.io/Logging_2132/tillsyn/A 14392-2025 tillsynsbegäran.docx", "A 14392-2025")</f>
        <v/>
      </c>
      <c r="AD61">
        <f>HYPERLINK("https://klasma.github.io/Logging_2132/tillsynsmail/A 14392-2025 tillsynsbegäran mail.docx", "A 14392-2025")</f>
        <v/>
      </c>
    </row>
    <row r="62" ht="15" customHeight="1">
      <c r="A62" t="inlineStr">
        <is>
          <t>A 27992-2026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46236</v>
      </c>
      <c r="F62" t="inlineStr">
        <is>
          <t>GÄVLEBORGS LÄN</t>
        </is>
      </c>
      <c r="G62" t="inlineStr">
        <is>
          <t>NORDANSTIG</t>
        </is>
      </c>
      <c r="I62" t="n">
        <v>4.7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HYPERLINK("https://klasma.github.io/Logging_2132/artfynd/A 27992-2026 artfynd.xlsx", "A 27992-2026")</f>
        <v/>
      </c>
      <c r="X62">
        <f>HYPERLINK("https://klasma.github.io/Logging_2132/kartor/A 27992-2026 karta.png", "A 27992-2026")</f>
        <v/>
      </c>
      <c r="Y62">
        <f>HYPERLINK("https://klasma.github.io/Logging_2132/kartor_geotiff/A 27992-2026 georefererad karta.tif", "A 27992-2026")</f>
        <v/>
      </c>
      <c r="AA62">
        <f>HYPERLINK("https://klasma.github.io/Logging_2132/klagomål/A 27992-2026 FSC-klagomål.docx", "A 27992-2026")</f>
        <v/>
      </c>
      <c r="AB62">
        <f>HYPERLINK("https://klasma.github.io/Logging_2132/klagomålsmail/A 27992-2026 FSC-klagomål mail.docx", "A 27992-2026")</f>
        <v/>
      </c>
      <c r="AC62">
        <f>HYPERLINK("https://klasma.github.io/Logging_2132/tillsyn/A 27992-2026 tillsynsbegäran.docx", "A 27992-2026")</f>
        <v/>
      </c>
      <c r="AD62">
        <f>HYPERLINK("https://klasma.github.io/Logging_2132/tillsynsmail/A 27992-2026 tillsynsbegäran mail.docx", "A 27992-2026")</f>
        <v/>
      </c>
      <c r="AE62">
        <f>HYPERLINK("https://klasma.github.io/Logging_2132/fåglar/A 27992-2026 prioriterade fågelarter.docx", "A 27992-2026")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46236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46236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20566-2025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46236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HYPERLINK("https://klasma.github.io/Logging_2132/artfynd/A 20566-2025 artfynd.xlsx", "A 20566-2025")</f>
        <v/>
      </c>
      <c r="X65">
        <f>HYPERLINK("https://klasma.github.io/Logging_2132/kartor/A 20566-2025 karta.png", "A 20566-2025")</f>
        <v/>
      </c>
      <c r="Y65">
        <f>HYPERLINK("https://klasma.github.io/Logging_2132/kartor_geotiff/A 20566-2025 georefererad karta.tif", "A 20566-2025")</f>
        <v/>
      </c>
      <c r="AA65">
        <f>HYPERLINK("https://klasma.github.io/Logging_2132/klagomål/A 20566-2025 FSC-klagomål.docx", "A 20566-2025")</f>
        <v/>
      </c>
      <c r="AB65">
        <f>HYPERLINK("https://klasma.github.io/Logging_2132/klagomålsmail/A 20566-2025 FSC-klagomål mail.docx", "A 20566-2025")</f>
        <v/>
      </c>
      <c r="AC65">
        <f>HYPERLINK("https://klasma.github.io/Logging_2132/tillsyn/A 20566-2025 tillsynsbegäran.docx", "A 20566-2025")</f>
        <v/>
      </c>
      <c r="AD65">
        <f>HYPERLINK("https://klasma.github.io/Logging_2132/tillsynsmail/A 20566-2025 tillsynsbegäran mail.docx", "A 20566-2025")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46236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46236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46236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46236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46236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46236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46236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46236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46236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57806-2024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45631</v>
      </c>
      <c r="E75" s="1" t="n">
        <v>46236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HYPERLINK("https://klasma.github.io/Logging_2132/artfynd/A 57806-2024 artfynd.xlsx", "A 57806-2024")</f>
        <v/>
      </c>
      <c r="X75">
        <f>HYPERLINK("https://klasma.github.io/Logging_2132/kartor/A 57806-2024 karta.png", "A 57806-2024")</f>
        <v/>
      </c>
      <c r="Y75">
        <f>HYPERLINK("https://klasma.github.io/Logging_2132/kartor_geotiff/A 57806-2024 georefererad karta.tif", "A 57806-2024")</f>
        <v/>
      </c>
      <c r="Z75">
        <f>HYPERLINK("https://klasma.github.io/Logging_2132/knärot/A 57806-2024 karta knärot.png", "A 57806-2024")</f>
        <v/>
      </c>
      <c r="AA75">
        <f>HYPERLINK("https://klasma.github.io/Logging_2132/klagomål/A 57806-2024 FSC-klagomål.docx", "A 57806-2024")</f>
        <v/>
      </c>
      <c r="AB75">
        <f>HYPERLINK("https://klasma.github.io/Logging_2132/klagomålsmail/A 57806-2024 FSC-klagomål mail.docx", "A 57806-2024")</f>
        <v/>
      </c>
      <c r="AC75">
        <f>HYPERLINK("https://klasma.github.io/Logging_2132/tillsyn/A 57806-2024 tillsynsbegäran.docx", "A 57806-2024")</f>
        <v/>
      </c>
      <c r="AD75">
        <f>HYPERLINK("https://klasma.github.io/Logging_2132/tillsynsmail/A 57806-2024 tillsynsbegäran mail.docx", "A 57806-2024")</f>
        <v/>
      </c>
    </row>
    <row r="76" ht="15" customHeight="1">
      <c r="A76" t="inlineStr">
        <is>
          <t>A 3692-2022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44586</v>
      </c>
      <c r="E76" s="1" t="n">
        <v>46236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HYPERLINK("https://klasma.github.io/Logging_2132/artfynd/A 3692-2022 artfynd.xlsx", "A 3692-2022")</f>
        <v/>
      </c>
      <c r="X76">
        <f>HYPERLINK("https://klasma.github.io/Logging_2132/kartor/A 3692-2022 karta.png", "A 3692-2022")</f>
        <v/>
      </c>
      <c r="Y76">
        <f>HYPERLINK("https://klasma.github.io/Logging_2132/kartor_geotiff/A 3692-2022 georefererad karta.tif", "A 3692-2022")</f>
        <v/>
      </c>
      <c r="AA76">
        <f>HYPERLINK("https://klasma.github.io/Logging_2132/klagomål/A 3692-2022 FSC-klagomål.docx", "A 3692-2022")</f>
        <v/>
      </c>
      <c r="AB76">
        <f>HYPERLINK("https://klasma.github.io/Logging_2132/klagomålsmail/A 3692-2022 FSC-klagomål mail.docx", "A 3692-2022")</f>
        <v/>
      </c>
      <c r="AC76">
        <f>HYPERLINK("https://klasma.github.io/Logging_2132/tillsyn/A 3692-2022 tillsynsbegäran.docx", "A 3692-2022")</f>
        <v/>
      </c>
      <c r="AD76">
        <f>HYPERLINK("https://klasma.github.io/Logging_2132/tillsynsmail/A 3692-2022 tillsynsbegäran mail.docx", "A 3692-2022")</f>
        <v/>
      </c>
    </row>
    <row r="77" ht="15" customHeight="1">
      <c r="A77" t="inlineStr">
        <is>
          <t>A 2254-2025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46236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0</v>
      </c>
      <c r="V77" s="2" t="inlineStr">
        <is>
          <t>Bredgentiana</t>
        </is>
      </c>
      <c r="W77">
        <f>HYPERLINK("https://klasma.github.io/Logging_2132/artfynd/A 2254-2025 artfynd.xlsx", "A 2254-2025")</f>
        <v/>
      </c>
      <c r="X77">
        <f>HYPERLINK("https://klasma.github.io/Logging_2132/kartor/A 2254-2025 karta.png", "A 2254-2025")</f>
        <v/>
      </c>
      <c r="Y77">
        <f>HYPERLINK("https://klasma.github.io/Logging_2132/kartor_geotiff/A 2254-2025 georefererad karta.tif", "A 2254-2025")</f>
        <v/>
      </c>
      <c r="AA77">
        <f>HYPERLINK("https://klasma.github.io/Logging_2132/klagomål/A 2254-2025 FSC-klagomål.docx", "A 2254-2025")</f>
        <v/>
      </c>
      <c r="AB77">
        <f>HYPERLINK("https://klasma.github.io/Logging_2132/klagomålsmail/A 2254-2025 FSC-klagomål mail.docx", "A 2254-2025")</f>
        <v/>
      </c>
      <c r="AC77">
        <f>HYPERLINK("https://klasma.github.io/Logging_2132/tillsyn/A 2254-2025 tillsynsbegäran.docx", "A 2254-2025")</f>
        <v/>
      </c>
      <c r="AD77">
        <f>HYPERLINK("https://klasma.github.io/Logging_2132/tillsynsmail/A 2254-2025 tillsynsbegäran mail.docx", "A 2254-2025")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46236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46236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46236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46236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46236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46236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46236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46236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46236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46236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46236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46236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46236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46236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46236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46236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46236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46236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46236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46236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46236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46236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46236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46236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46236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46236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46236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46236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46236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46236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46236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46236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46236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46236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46236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46236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46236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46236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46236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46236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46236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46236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46236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46236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46236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46236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46236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46236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46236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46236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46236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46236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46236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46236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46236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46236</v>
      </c>
      <c r="F146" t="inlineStr">
        <is>
          <t>GÄVLEBORGS LÄN</t>
        </is>
      </c>
      <c r="G146" t="inlineStr">
        <is>
          <t>NORDANSTIG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46236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45139</v>
      </c>
      <c r="E148" s="1" t="n">
        <v>46236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46236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46236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13.2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51543-2021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46236</v>
      </c>
      <c r="F151" t="inlineStr">
        <is>
          <t>GÄVLEBORGS LÄN</t>
        </is>
      </c>
      <c r="G151" t="inlineStr">
        <is>
          <t>NORDANSTIG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44728</v>
      </c>
      <c r="E152" s="1" t="n">
        <v>46236</v>
      </c>
      <c r="F152" t="inlineStr">
        <is>
          <t>GÄVLEBORGS LÄN</t>
        </is>
      </c>
      <c r="G152" t="inlineStr">
        <is>
          <t>NORDANSTIG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46236</v>
      </c>
      <c r="F153" t="inlineStr">
        <is>
          <t>GÄVLEBORGS LÄN</t>
        </is>
      </c>
      <c r="G153" t="inlineStr">
        <is>
          <t>NORDANSTIG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46236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46236</v>
      </c>
      <c r="F155" t="inlineStr">
        <is>
          <t>GÄVLEBORGS LÄN</t>
        </is>
      </c>
      <c r="G155" t="inlineStr">
        <is>
          <t>NORDANSTIG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46236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46236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46236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46236</v>
      </c>
      <c r="F159" t="inlineStr">
        <is>
          <t>GÄVLEBORGS LÄN</t>
        </is>
      </c>
      <c r="G159" t="inlineStr">
        <is>
          <t>NORDANSTIG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46236</v>
      </c>
      <c r="F160" t="inlineStr">
        <is>
          <t>GÄVLEBORGS LÄN</t>
        </is>
      </c>
      <c r="G160" t="inlineStr">
        <is>
          <t>NORDANSTIG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46236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46236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46236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46236</v>
      </c>
      <c r="F164" t="inlineStr">
        <is>
          <t>GÄVLEBORGS LÄN</t>
        </is>
      </c>
      <c r="G164" t="inlineStr">
        <is>
          <t>NORDANSTIG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44824</v>
      </c>
      <c r="E165" s="1" t="n">
        <v>46236</v>
      </c>
      <c r="F165" t="inlineStr">
        <is>
          <t>GÄVLEBORGS LÄN</t>
        </is>
      </c>
      <c r="G165" t="inlineStr">
        <is>
          <t>NORDANSTIG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44502</v>
      </c>
      <c r="E166" s="1" t="n">
        <v>46236</v>
      </c>
      <c r="F166" t="inlineStr">
        <is>
          <t>GÄVLEBORGS LÄN</t>
        </is>
      </c>
      <c r="G166" t="inlineStr">
        <is>
          <t>NORDANSTIG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46236</v>
      </c>
      <c r="F167" t="inlineStr">
        <is>
          <t>GÄVLEBORGS LÄN</t>
        </is>
      </c>
      <c r="G167" t="inlineStr">
        <is>
          <t>NORDANSTIG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46236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14415-2022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44652</v>
      </c>
      <c r="E169" s="1" t="n">
        <v>46236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46236</v>
      </c>
      <c r="F170" t="inlineStr">
        <is>
          <t>GÄVLEBORGS LÄN</t>
        </is>
      </c>
      <c r="G170" t="inlineStr">
        <is>
          <t>NORDANSTIG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46236</v>
      </c>
      <c r="F171" t="inlineStr">
        <is>
          <t>GÄVLEBORGS LÄN</t>
        </is>
      </c>
      <c r="G171" t="inlineStr">
        <is>
          <t>NORDANSTIG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46236</v>
      </c>
      <c r="F172" t="inlineStr">
        <is>
          <t>GÄVLEBORGS LÄN</t>
        </is>
      </c>
      <c r="G172" t="inlineStr">
        <is>
          <t>NORDANSTIG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46236</v>
      </c>
      <c r="F173" t="inlineStr">
        <is>
          <t>GÄVLEBORGS LÄN</t>
        </is>
      </c>
      <c r="G173" t="inlineStr">
        <is>
          <t>NORDANSTIG</t>
        </is>
      </c>
      <c r="I173" t="n">
        <v>15.1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46236</v>
      </c>
      <c r="F174" t="inlineStr">
        <is>
          <t>GÄVLEBORGS LÄN</t>
        </is>
      </c>
      <c r="G174" t="inlineStr">
        <is>
          <t>NORDANSTIG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44692</v>
      </c>
      <c r="E175" s="1" t="n">
        <v>46236</v>
      </c>
      <c r="F175" t="inlineStr">
        <is>
          <t>GÄVLEBORGS LÄN</t>
        </is>
      </c>
      <c r="G175" t="inlineStr">
        <is>
          <t>NORDANSTIG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46236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46236</v>
      </c>
      <c r="F177" t="inlineStr">
        <is>
          <t>GÄVLEBORGS LÄN</t>
        </is>
      </c>
      <c r="G177" t="inlineStr">
        <is>
          <t>NORDANSTIG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45499</v>
      </c>
      <c r="E178" s="1" t="n">
        <v>46236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26113-2022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44734</v>
      </c>
      <c r="E179" s="1" t="n">
        <v>46236</v>
      </c>
      <c r="F179" t="inlineStr">
        <is>
          <t>GÄVLEBORGS LÄN</t>
        </is>
      </c>
      <c r="G179" t="inlineStr">
        <is>
          <t>NORDANSTIG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46236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46236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46236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46236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44790</v>
      </c>
      <c r="E184" s="1" t="n">
        <v>46236</v>
      </c>
      <c r="F184" t="inlineStr">
        <is>
          <t>GÄVLEBORGS LÄN</t>
        </is>
      </c>
      <c r="G184" t="inlineStr">
        <is>
          <t>NORDANSTIG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46236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46236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46236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46236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46236</v>
      </c>
      <c r="F189" t="inlineStr">
        <is>
          <t>GÄVLEBORGS LÄN</t>
        </is>
      </c>
      <c r="G189" t="inlineStr">
        <is>
          <t>NORDANSTIG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44789</v>
      </c>
      <c r="E190" s="1" t="n">
        <v>46236</v>
      </c>
      <c r="F190" t="inlineStr">
        <is>
          <t>GÄVLEBORGS LÄN</t>
        </is>
      </c>
      <c r="G190" t="inlineStr">
        <is>
          <t>NORDANSTIG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44765</v>
      </c>
      <c r="E191" s="1" t="n">
        <v>46236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46236</v>
      </c>
      <c r="F192" t="inlineStr">
        <is>
          <t>GÄVLEBORGS LÄN</t>
        </is>
      </c>
      <c r="G192" t="inlineStr">
        <is>
          <t>NORDANSTIG</t>
        </is>
      </c>
      <c r="I192" t="n">
        <v>11.3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46236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46236</v>
      </c>
      <c r="F194" t="inlineStr">
        <is>
          <t>GÄVLEBORGS LÄN</t>
        </is>
      </c>
      <c r="G194" t="inlineStr">
        <is>
          <t>NORDANSTIG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45618</v>
      </c>
      <c r="E195" s="1" t="n">
        <v>46236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46236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46236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46236</v>
      </c>
      <c r="F198" t="inlineStr">
        <is>
          <t>GÄVLEBORGS LÄN</t>
        </is>
      </c>
      <c r="G198" t="inlineStr">
        <is>
          <t>NORDANSTIG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46236</v>
      </c>
      <c r="F199" t="inlineStr">
        <is>
          <t>GÄVLEBORGS LÄN</t>
        </is>
      </c>
      <c r="G199" t="inlineStr">
        <is>
          <t>NORDANSTIG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46236</v>
      </c>
      <c r="F200" t="inlineStr">
        <is>
          <t>GÄVLEBORGS LÄN</t>
        </is>
      </c>
      <c r="G200" t="inlineStr">
        <is>
          <t>NORDANSTIG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46236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45545</v>
      </c>
      <c r="E202" s="1" t="n">
        <v>46236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46236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46236</v>
      </c>
      <c r="F204" t="inlineStr">
        <is>
          <t>GÄVLEBORGS LÄN</t>
        </is>
      </c>
      <c r="G204" t="inlineStr">
        <is>
          <t>NORDANSTIG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46236</v>
      </c>
      <c r="F205" t="inlineStr">
        <is>
          <t>GÄVLEBORGS LÄN</t>
        </is>
      </c>
      <c r="G205" t="inlineStr">
        <is>
          <t>NORDANSTIG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45537</v>
      </c>
      <c r="E206" s="1" t="n">
        <v>46236</v>
      </c>
      <c r="F206" t="inlineStr">
        <is>
          <t>GÄVLEBORGS LÄN</t>
        </is>
      </c>
      <c r="G206" t="inlineStr">
        <is>
          <t>NORDANSTIG</t>
        </is>
      </c>
      <c r="H206" t="inlineStr">
        <is>
          <t>SCA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46236</v>
      </c>
      <c r="F207" t="inlineStr">
        <is>
          <t>GÄVLEBORGS LÄN</t>
        </is>
      </c>
      <c r="G207" t="inlineStr">
        <is>
          <t>NORDANSTIG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46236</v>
      </c>
      <c r="F208" t="inlineStr">
        <is>
          <t>GÄVLEBORGS LÄN</t>
        </is>
      </c>
      <c r="G208" t="inlineStr">
        <is>
          <t>NORDANSTIG</t>
        </is>
      </c>
      <c r="I208" t="n">
        <v>16.7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46236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45089</v>
      </c>
      <c r="E210" s="1" t="n">
        <v>46236</v>
      </c>
      <c r="F210" t="inlineStr">
        <is>
          <t>GÄVLEBORGS LÄN</t>
        </is>
      </c>
      <c r="G210" t="inlineStr">
        <is>
          <t>NORDANSTIG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45566</v>
      </c>
      <c r="E211" s="1" t="n">
        <v>46236</v>
      </c>
      <c r="F211" t="inlineStr">
        <is>
          <t>GÄVLEBORGS LÄN</t>
        </is>
      </c>
      <c r="G211" t="inlineStr">
        <is>
          <t>NORDANSTIG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46236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46236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45880</v>
      </c>
      <c r="E214" s="1" t="n">
        <v>46236</v>
      </c>
      <c r="F214" t="inlineStr">
        <is>
          <t>GÄVLEBORGS LÄN</t>
        </is>
      </c>
      <c r="G214" t="inlineStr">
        <is>
          <t>NORDANSTIG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45733</v>
      </c>
      <c r="E215" s="1" t="n">
        <v>46236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46236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46236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46236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46236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46236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46236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38610-2025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45884</v>
      </c>
      <c r="E222" s="1" t="n">
        <v>46236</v>
      </c>
      <c r="F222" t="inlineStr">
        <is>
          <t>GÄVLEBORGS LÄN</t>
        </is>
      </c>
      <c r="G222" t="inlineStr">
        <is>
          <t>NORDANSTIG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46236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46236</v>
      </c>
      <c r="F224" t="inlineStr">
        <is>
          <t>GÄVLEBORGS LÄN</t>
        </is>
      </c>
      <c r="G224" t="inlineStr">
        <is>
          <t>NORDANSTIG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46236</v>
      </c>
      <c r="F225" t="inlineStr">
        <is>
          <t>GÄVLEBORGS LÄN</t>
        </is>
      </c>
      <c r="G225" t="inlineStr">
        <is>
          <t>NORDANSTIG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46236</v>
      </c>
      <c r="F226" t="inlineStr">
        <is>
          <t>GÄVLEBORGS LÄN</t>
        </is>
      </c>
      <c r="G226" t="inlineStr">
        <is>
          <t>NORDANSTIG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46236</v>
      </c>
      <c r="F227" t="inlineStr">
        <is>
          <t>GÄVLEBORGS LÄN</t>
        </is>
      </c>
      <c r="G227" t="inlineStr">
        <is>
          <t>NORDANSTIG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46236</v>
      </c>
      <c r="F228" t="inlineStr">
        <is>
          <t>GÄVLEBORGS LÄN</t>
        </is>
      </c>
      <c r="G228" t="inlineStr">
        <is>
          <t>NORDANSTIG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46236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46236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46236</v>
      </c>
      <c r="F232" t="inlineStr">
        <is>
          <t>GÄVLEBORGS LÄN</t>
        </is>
      </c>
      <c r="G232" t="inlineStr">
        <is>
          <t>NORDANSTIG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44690</v>
      </c>
      <c r="E233" s="1" t="n">
        <v>46236</v>
      </c>
      <c r="F233" t="inlineStr">
        <is>
          <t>GÄVLEBORGS LÄN</t>
        </is>
      </c>
      <c r="G233" t="inlineStr">
        <is>
          <t>NORDANSTIG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46236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46236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45382</v>
      </c>
      <c r="E236" s="1" t="n">
        <v>46236</v>
      </c>
      <c r="F236" t="inlineStr">
        <is>
          <t>GÄVLEBORGS LÄN</t>
        </is>
      </c>
      <c r="G236" t="inlineStr">
        <is>
          <t>NORDANSTIG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46236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46236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46236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46236</v>
      </c>
      <c r="F240" t="inlineStr">
        <is>
          <t>GÄVLEBORGS LÄN</t>
        </is>
      </c>
      <c r="G240" t="inlineStr">
        <is>
          <t>NORDANSTIG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45748</v>
      </c>
      <c r="E241" s="1" t="n">
        <v>46236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46236</v>
      </c>
      <c r="F242" t="inlineStr">
        <is>
          <t>GÄVLEBORGS LÄN</t>
        </is>
      </c>
      <c r="G242" t="inlineStr">
        <is>
          <t>NORDANSTIG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46236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44832</v>
      </c>
      <c r="E244" s="1" t="n">
        <v>46236</v>
      </c>
      <c r="F244" t="inlineStr">
        <is>
          <t>GÄVLEBORGS LÄN</t>
        </is>
      </c>
      <c r="G244" t="inlineStr">
        <is>
          <t>NORDANSTIG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46236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45687</v>
      </c>
      <c r="E246" s="1" t="n">
        <v>46236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46236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45422</v>
      </c>
      <c r="E248" s="1" t="n">
        <v>46236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45604</v>
      </c>
      <c r="E249" s="1" t="n">
        <v>46236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46236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46236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46236</v>
      </c>
      <c r="F252" t="inlineStr">
        <is>
          <t>GÄVLEBORGS LÄN</t>
        </is>
      </c>
      <c r="G252" t="inlineStr">
        <is>
          <t>NORDANSTIG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46236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46236</v>
      </c>
      <c r="F254" t="inlineStr">
        <is>
          <t>GÄVLEBORGS LÄN</t>
        </is>
      </c>
      <c r="G254" t="inlineStr">
        <is>
          <t>NORDANSTIG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45489</v>
      </c>
      <c r="E255" s="1" t="n">
        <v>46236</v>
      </c>
      <c r="F255" t="inlineStr">
        <is>
          <t>GÄVLEBORGS LÄN</t>
        </is>
      </c>
      <c r="G255" t="inlineStr">
        <is>
          <t>NORDANSTIG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46236</v>
      </c>
      <c r="F256" t="inlineStr">
        <is>
          <t>GÄVLEBORGS LÄN</t>
        </is>
      </c>
      <c r="G256" t="inlineStr">
        <is>
          <t>NORDANSTIG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46236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46236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46236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46236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46236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45506</v>
      </c>
      <c r="E262" s="1" t="n">
        <v>46236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46236</v>
      </c>
      <c r="F263" t="inlineStr">
        <is>
          <t>GÄVLEBORGS LÄN</t>
        </is>
      </c>
      <c r="G263" t="inlineStr">
        <is>
          <t>NORDANSTIG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46236</v>
      </c>
      <c r="F264" t="inlineStr">
        <is>
          <t>GÄVLEBORGS LÄN</t>
        </is>
      </c>
      <c r="G264" t="inlineStr">
        <is>
          <t>NORDANSTIG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46236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44692</v>
      </c>
      <c r="E266" s="1" t="n">
        <v>46236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46236</v>
      </c>
      <c r="F267" t="inlineStr">
        <is>
          <t>GÄVLEBORGS LÄN</t>
        </is>
      </c>
      <c r="G267" t="inlineStr">
        <is>
          <t>NORDANSTIG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46236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46236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46236</v>
      </c>
      <c r="F270" t="inlineStr">
        <is>
          <t>GÄVLEBORGS LÄN</t>
        </is>
      </c>
      <c r="G270" t="inlineStr">
        <is>
          <t>NORDANSTIG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46236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46236</v>
      </c>
      <c r="F272" t="inlineStr">
        <is>
          <t>GÄVLEBORGS LÄN</t>
        </is>
      </c>
      <c r="G272" t="inlineStr">
        <is>
          <t>NORDANSTIG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46236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46236</v>
      </c>
      <c r="F274" t="inlineStr">
        <is>
          <t>GÄVLEBORGS LÄN</t>
        </is>
      </c>
      <c r="G274" t="inlineStr">
        <is>
          <t>NORDANSTIG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46236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46236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46236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46236</v>
      </c>
      <c r="F278" t="inlineStr">
        <is>
          <t>GÄVLEBORGS LÄN</t>
        </is>
      </c>
      <c r="G278" t="inlineStr">
        <is>
          <t>NORDANSTIG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46019</v>
      </c>
      <c r="E279" s="1" t="n">
        <v>46236</v>
      </c>
      <c r="F279" t="inlineStr">
        <is>
          <t>GÄVLEBORGS LÄN</t>
        </is>
      </c>
      <c r="G279" t="inlineStr">
        <is>
          <t>NORDANSTIG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46236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46236</v>
      </c>
      <c r="F281" t="inlineStr">
        <is>
          <t>GÄVLEBORGS LÄN</t>
        </is>
      </c>
      <c r="G281" t="inlineStr">
        <is>
          <t>NORDANSTIG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46236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46236</v>
      </c>
      <c r="F283" t="inlineStr">
        <is>
          <t>GÄVLEBORGS LÄN</t>
        </is>
      </c>
      <c r="G283" t="inlineStr">
        <is>
          <t>NORDANSTIG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46236</v>
      </c>
      <c r="F284" t="inlineStr">
        <is>
          <t>GÄVLEBORGS LÄN</t>
        </is>
      </c>
      <c r="G284" t="inlineStr">
        <is>
          <t>NORDANSTIG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46236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46236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46236</v>
      </c>
      <c r="F287" t="inlineStr">
        <is>
          <t>GÄVLEBORGS LÄN</t>
        </is>
      </c>
      <c r="G287" t="inlineStr">
        <is>
          <t>NORDANSTIG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46236</v>
      </c>
      <c r="F288" t="inlineStr">
        <is>
          <t>GÄVLEBORGS LÄN</t>
        </is>
      </c>
      <c r="G288" t="inlineStr">
        <is>
          <t>NORDANSTIG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46236</v>
      </c>
      <c r="F289" t="inlineStr">
        <is>
          <t>GÄVLEBORGS LÄN</t>
        </is>
      </c>
      <c r="G289" t="inlineStr">
        <is>
          <t>NORDANSTIG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46054</v>
      </c>
      <c r="E290" s="1" t="n">
        <v>46236</v>
      </c>
      <c r="F290" t="inlineStr">
        <is>
          <t>GÄVLEBORGS LÄN</t>
        </is>
      </c>
      <c r="G290" t="inlineStr">
        <is>
          <t>NORDANSTIG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4414-2022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44589</v>
      </c>
      <c r="E291" s="1" t="n">
        <v>46236</v>
      </c>
      <c r="F291" t="inlineStr">
        <is>
          <t>GÄVLEBORGS LÄN</t>
        </is>
      </c>
      <c r="G291" t="inlineStr">
        <is>
          <t>NORDANSTIG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44907</v>
      </c>
      <c r="E292" s="1" t="n">
        <v>46236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46236</v>
      </c>
      <c r="F293" t="inlineStr">
        <is>
          <t>GÄVLEBORGS LÄN</t>
        </is>
      </c>
      <c r="G293" t="inlineStr">
        <is>
          <t>NORDANSTIG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46033</v>
      </c>
      <c r="E294" s="1" t="n">
        <v>46236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46236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46236</v>
      </c>
      <c r="F296" t="inlineStr">
        <is>
          <t>GÄVLEBORGS LÄN</t>
        </is>
      </c>
      <c r="G296" t="inlineStr">
        <is>
          <t>NORDANSTIG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46236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46236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46236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46236</v>
      </c>
      <c r="F300" t="inlineStr">
        <is>
          <t>GÄVLEBORGS LÄN</t>
        </is>
      </c>
      <c r="G300" t="inlineStr">
        <is>
          <t>NORDANSTIG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46236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46026</v>
      </c>
      <c r="E302" s="1" t="n">
        <v>46236</v>
      </c>
      <c r="F302" t="inlineStr">
        <is>
          <t>GÄVLEBORGS LÄN</t>
        </is>
      </c>
      <c r="G302" t="inlineStr">
        <is>
          <t>NORDANSTIG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46236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46236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46236</v>
      </c>
      <c r="F305" t="inlineStr">
        <is>
          <t>GÄVLEBORGS LÄN</t>
        </is>
      </c>
      <c r="G305" t="inlineStr">
        <is>
          <t>NORDANSTIG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45918</v>
      </c>
      <c r="E306" s="1" t="n">
        <v>46236</v>
      </c>
      <c r="F306" t="inlineStr">
        <is>
          <t>GÄVLEBORGS LÄN</t>
        </is>
      </c>
      <c r="G306" t="inlineStr">
        <is>
          <t>NORDANSTIG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46236</v>
      </c>
      <c r="F307" t="inlineStr">
        <is>
          <t>GÄVLEBORGS LÄN</t>
        </is>
      </c>
      <c r="G307" t="inlineStr">
        <is>
          <t>NORDANSTIG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45918</v>
      </c>
      <c r="E308" s="1" t="n">
        <v>46236</v>
      </c>
      <c r="F308" t="inlineStr">
        <is>
          <t>GÄVLEBORGS LÄN</t>
        </is>
      </c>
      <c r="G308" t="inlineStr">
        <is>
          <t>NORDANSTIG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44978-2025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45918</v>
      </c>
      <c r="E309" s="1" t="n">
        <v>46236</v>
      </c>
      <c r="F309" t="inlineStr">
        <is>
          <t>GÄVLEBORGS LÄN</t>
        </is>
      </c>
      <c r="G309" t="inlineStr">
        <is>
          <t>NORDANSTIG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46236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46236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46236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45590</v>
      </c>
      <c r="E313" s="1" t="n">
        <v>46236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45070</v>
      </c>
      <c r="E314" s="1" t="n">
        <v>46236</v>
      </c>
      <c r="F314" t="inlineStr">
        <is>
          <t>GÄVLEBORGS LÄN</t>
        </is>
      </c>
      <c r="G314" t="inlineStr">
        <is>
          <t>NORDANSTIG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44894</v>
      </c>
      <c r="E315" s="1" t="n">
        <v>46236</v>
      </c>
      <c r="F315" t="inlineStr">
        <is>
          <t>GÄVLEBORGS LÄN</t>
        </is>
      </c>
      <c r="G315" t="inlineStr">
        <is>
          <t>NORDANSTIG</t>
        </is>
      </c>
      <c r="H315" t="inlineStr">
        <is>
          <t>SCA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46236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46236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46236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46236</v>
      </c>
      <c r="F319" t="inlineStr">
        <is>
          <t>GÄVLEBORGS LÄN</t>
        </is>
      </c>
      <c r="G319" t="inlineStr">
        <is>
          <t>NORDANSTIG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46236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46236</v>
      </c>
      <c r="F321" t="inlineStr">
        <is>
          <t>GÄVLEBORGS LÄN</t>
        </is>
      </c>
      <c r="G321" t="inlineStr">
        <is>
          <t>NORDANSTIG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45902-2025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45923</v>
      </c>
      <c r="E322" s="1" t="n">
        <v>46236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SCA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46236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46236</v>
      </c>
      <c r="F324" t="inlineStr">
        <is>
          <t>GÄVLEBORGS LÄN</t>
        </is>
      </c>
      <c r="G324" t="inlineStr">
        <is>
          <t>NORDANSTIG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46236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46236</v>
      </c>
      <c r="F326" t="inlineStr">
        <is>
          <t>GÄVLEBORGS LÄN</t>
        </is>
      </c>
      <c r="G326" t="inlineStr">
        <is>
          <t>NORDANSTIG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46236</v>
      </c>
      <c r="F327" t="inlineStr">
        <is>
          <t>GÄVLEBORGS LÄN</t>
        </is>
      </c>
      <c r="G327" t="inlineStr">
        <is>
          <t>NORDANSTIG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46236</v>
      </c>
      <c r="F328" t="inlineStr">
        <is>
          <t>GÄVLEBORGS LÄN</t>
        </is>
      </c>
      <c r="G328" t="inlineStr">
        <is>
          <t>NORDANSTIG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46236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46236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46236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46070</v>
      </c>
      <c r="E332" s="1" t="n">
        <v>46236</v>
      </c>
      <c r="F332" t="inlineStr">
        <is>
          <t>GÄVLEBORGS LÄN</t>
        </is>
      </c>
      <c r="G332" t="inlineStr">
        <is>
          <t>NORDANSTIG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45223</v>
      </c>
      <c r="E333" s="1" t="n">
        <v>46236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44788</v>
      </c>
      <c r="E334" s="1" t="n">
        <v>46236</v>
      </c>
      <c r="F334" t="inlineStr">
        <is>
          <t>GÄVLEBORGS LÄN</t>
        </is>
      </c>
      <c r="G334" t="inlineStr">
        <is>
          <t>NORDANSTIG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46236</v>
      </c>
      <c r="F335" t="inlineStr">
        <is>
          <t>GÄVLEBORGS LÄN</t>
        </is>
      </c>
      <c r="G335" t="inlineStr">
        <is>
          <t>NORDANSTIG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46236</v>
      </c>
      <c r="F336" t="inlineStr">
        <is>
          <t>GÄVLEBORGS LÄN</t>
        </is>
      </c>
      <c r="G336" t="inlineStr">
        <is>
          <t>NORDANSTIG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46236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46236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46236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46236</v>
      </c>
      <c r="F340" t="inlineStr">
        <is>
          <t>GÄVLEBORGS LÄN</t>
        </is>
      </c>
      <c r="G340" t="inlineStr">
        <is>
          <t>NORDANSTIG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46236</v>
      </c>
      <c r="F341" t="inlineStr">
        <is>
          <t>GÄVLEBORGS LÄN</t>
        </is>
      </c>
      <c r="G341" t="inlineStr">
        <is>
          <t>NORDANSTIG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46236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46236</v>
      </c>
      <c r="F343" t="inlineStr">
        <is>
          <t>GÄVLEBORGS LÄN</t>
        </is>
      </c>
      <c r="G343" t="inlineStr">
        <is>
          <t>NORDANSTIG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46236</v>
      </c>
      <c r="F344" t="inlineStr">
        <is>
          <t>GÄVLEBORGS LÄN</t>
        </is>
      </c>
      <c r="G344" t="inlineStr">
        <is>
          <t>NORDANSTIG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45789</v>
      </c>
      <c r="E345" s="1" t="n">
        <v>46236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55.6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46236</v>
      </c>
      <c r="F346" t="inlineStr">
        <is>
          <t>GÄVLEBORGS LÄN</t>
        </is>
      </c>
      <c r="G346" t="inlineStr">
        <is>
          <t>NORDANSTIG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46236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46236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46236</v>
      </c>
      <c r="F349" t="inlineStr">
        <is>
          <t>GÄVLEBORGS LÄN</t>
        </is>
      </c>
      <c r="G349" t="inlineStr">
        <is>
          <t>NORDANSTIG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46236</v>
      </c>
      <c r="F350" t="inlineStr">
        <is>
          <t>GÄVLEBORGS LÄN</t>
        </is>
      </c>
      <c r="G350" t="inlineStr">
        <is>
          <t>NORDANSTIG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46236</v>
      </c>
      <c r="F351" t="inlineStr">
        <is>
          <t>GÄVLEBORGS LÄN</t>
        </is>
      </c>
      <c r="G351" t="inlineStr">
        <is>
          <t>NORDANSTIG</t>
        </is>
      </c>
      <c r="I351" t="n">
        <v>17.6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46236</v>
      </c>
      <c r="F352" t="inlineStr">
        <is>
          <t>GÄVLEBORGS LÄN</t>
        </is>
      </c>
      <c r="G352" t="inlineStr">
        <is>
          <t>NORDANSTIG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46236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46236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46236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45020</v>
      </c>
      <c r="E356" s="1" t="n">
        <v>46236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46236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46236</v>
      </c>
      <c r="F358" t="inlineStr">
        <is>
          <t>GÄVLEBORGS LÄN</t>
        </is>
      </c>
      <c r="G358" t="inlineStr">
        <is>
          <t>NORDANSTIG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44952</v>
      </c>
      <c r="E359" s="1" t="n">
        <v>46236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46236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46236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46236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46236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46236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21118-2026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46146</v>
      </c>
      <c r="E365" s="1" t="n">
        <v>46236</v>
      </c>
      <c r="F365" t="inlineStr">
        <is>
          <t>GÄVLEBORGS LÄN</t>
        </is>
      </c>
      <c r="G365" t="inlineStr">
        <is>
          <t>NORDANSTIG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46236</v>
      </c>
      <c r="F366" t="inlineStr">
        <is>
          <t>GÄVLEBORGS LÄN</t>
        </is>
      </c>
      <c r="G366" t="inlineStr">
        <is>
          <t>NORDANSTIG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44704</v>
      </c>
      <c r="E367" s="1" t="n">
        <v>46236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46236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46236</v>
      </c>
      <c r="F369" t="inlineStr">
        <is>
          <t>GÄVLEBORGS LÄN</t>
        </is>
      </c>
      <c r="G369" t="inlineStr">
        <is>
          <t>NORDANSTIG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46236</v>
      </c>
      <c r="F370" t="inlineStr">
        <is>
          <t>GÄVLEBORGS LÄN</t>
        </is>
      </c>
      <c r="G370" t="inlineStr">
        <is>
          <t>NORDANSTIG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46236</v>
      </c>
      <c r="F371" t="inlineStr">
        <is>
          <t>GÄVLEBORGS LÄN</t>
        </is>
      </c>
      <c r="G371" t="inlineStr">
        <is>
          <t>NORDANSTIG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46236</v>
      </c>
      <c r="F372" t="inlineStr">
        <is>
          <t>GÄVLEBORGS LÄN</t>
        </is>
      </c>
      <c r="G372" t="inlineStr">
        <is>
          <t>NORDANSTIG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46236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46236</v>
      </c>
      <c r="F374" t="inlineStr">
        <is>
          <t>GÄVLEBORGS LÄN</t>
        </is>
      </c>
      <c r="G374" t="inlineStr">
        <is>
          <t>NORDANSTIG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46236</v>
      </c>
      <c r="F375" t="inlineStr">
        <is>
          <t>GÄVLEBORGS LÄN</t>
        </is>
      </c>
      <c r="G375" t="inlineStr">
        <is>
          <t>NORDANSTIG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46236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46236</v>
      </c>
      <c r="F377" t="inlineStr">
        <is>
          <t>GÄVLEBORGS LÄN</t>
        </is>
      </c>
      <c r="G377" t="inlineStr">
        <is>
          <t>NORDANSTIG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46236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46236</v>
      </c>
      <c r="F379" t="inlineStr">
        <is>
          <t>GÄVLEBORGS LÄN</t>
        </is>
      </c>
      <c r="G379" t="inlineStr">
        <is>
          <t>NORDANSTIG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46236</v>
      </c>
      <c r="F380" t="inlineStr">
        <is>
          <t>GÄVLEBORGS LÄN</t>
        </is>
      </c>
      <c r="G380" t="inlineStr">
        <is>
          <t>NORDANSTIG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46236</v>
      </c>
      <c r="F381" t="inlineStr">
        <is>
          <t>GÄVLEBORGS LÄN</t>
        </is>
      </c>
      <c r="G381" t="inlineStr">
        <is>
          <t>NORDANSTIG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46236</v>
      </c>
      <c r="F382" t="inlineStr">
        <is>
          <t>GÄVLEBORGS LÄN</t>
        </is>
      </c>
      <c r="G382" t="inlineStr">
        <is>
          <t>NORDANSTIG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21187-2022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44704</v>
      </c>
      <c r="E383" s="1" t="n">
        <v>46236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46236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17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59930-2024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45642</v>
      </c>
      <c r="E385" s="1" t="n">
        <v>46236</v>
      </c>
      <c r="F385" t="inlineStr">
        <is>
          <t>GÄVLEBORGS LÄN</t>
        </is>
      </c>
      <c r="G385" t="inlineStr">
        <is>
          <t>NORDANSTIG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46236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46236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45062</v>
      </c>
      <c r="E388" s="1" t="n">
        <v>46236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46236</v>
      </c>
      <c r="F389" t="inlineStr">
        <is>
          <t>GÄVLEBORGS LÄN</t>
        </is>
      </c>
      <c r="G389" t="inlineStr">
        <is>
          <t>NORDANSTIG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46236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46236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46236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46236</v>
      </c>
      <c r="F393" t="inlineStr">
        <is>
          <t>GÄVLEBORGS LÄN</t>
        </is>
      </c>
      <c r="G393" t="inlineStr">
        <is>
          <t>NORDANSTIG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46236</v>
      </c>
      <c r="F394" t="inlineStr">
        <is>
          <t>GÄVLEBORGS LÄN</t>
        </is>
      </c>
      <c r="G394" t="inlineStr">
        <is>
          <t>NORDANSTIG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46236</v>
      </c>
      <c r="F395" t="inlineStr">
        <is>
          <t>GÄVLEBORGS LÄN</t>
        </is>
      </c>
      <c r="G395" t="inlineStr">
        <is>
          <t>NORDANSTIG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46236</v>
      </c>
      <c r="F396" t="inlineStr">
        <is>
          <t>GÄVLEBORGS LÄN</t>
        </is>
      </c>
      <c r="G396" t="inlineStr">
        <is>
          <t>NORDANSTIG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46236</v>
      </c>
      <c r="F397" t="inlineStr">
        <is>
          <t>GÄVLEBORGS LÄN</t>
        </is>
      </c>
      <c r="G397" t="inlineStr">
        <is>
          <t>NORDANSTIG</t>
        </is>
      </c>
      <c r="I397" t="n">
        <v>10.9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46236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45439</v>
      </c>
      <c r="E399" s="1" t="n">
        <v>46236</v>
      </c>
      <c r="F399" t="inlineStr">
        <is>
          <t>GÄVLEBORGS LÄN</t>
        </is>
      </c>
      <c r="G399" t="inlineStr">
        <is>
          <t>NORDANSTIG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46236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46236</v>
      </c>
      <c r="F401" t="inlineStr">
        <is>
          <t>GÄVLEBORGS LÄN</t>
        </is>
      </c>
      <c r="G401" t="inlineStr">
        <is>
          <t>NORDANSTIG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45610</v>
      </c>
      <c r="E402" s="1" t="n">
        <v>46236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46236</v>
      </c>
      <c r="F403" t="inlineStr">
        <is>
          <t>GÄVLEBORGS LÄN</t>
        </is>
      </c>
      <c r="G403" t="inlineStr">
        <is>
          <t>NORDANSTIG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46236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46236</v>
      </c>
      <c r="F405" t="inlineStr">
        <is>
          <t>GÄVLEBORGS LÄN</t>
        </is>
      </c>
      <c r="G405" t="inlineStr">
        <is>
          <t>NORDANSTIG</t>
        </is>
      </c>
      <c r="I405" t="n">
        <v>10.7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46236</v>
      </c>
      <c r="F406" t="inlineStr">
        <is>
          <t>GÄVLEBORGS LÄN</t>
        </is>
      </c>
      <c r="G406" t="inlineStr">
        <is>
          <t>NORDANSTIG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46236</v>
      </c>
      <c r="F407" t="inlineStr">
        <is>
          <t>GÄVLEBORGS LÄN</t>
        </is>
      </c>
      <c r="G407" t="inlineStr">
        <is>
          <t>NORDANSTIG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46236</v>
      </c>
      <c r="F408" t="inlineStr">
        <is>
          <t>GÄVLEBORGS LÄN</t>
        </is>
      </c>
      <c r="G408" t="inlineStr">
        <is>
          <t>NORDANSTIG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46236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46035</v>
      </c>
      <c r="E410" s="1" t="n">
        <v>46236</v>
      </c>
      <c r="F410" t="inlineStr">
        <is>
          <t>GÄVLEBORGS LÄN</t>
        </is>
      </c>
      <c r="G410" t="inlineStr">
        <is>
          <t>NORDANSTIG</t>
        </is>
      </c>
      <c r="I410" t="n">
        <v>15.6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46236</v>
      </c>
      <c r="F411" t="inlineStr">
        <is>
          <t>GÄVLEBORGS LÄN</t>
        </is>
      </c>
      <c r="G411" t="inlineStr">
        <is>
          <t>NORDANSTIG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46236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45142</v>
      </c>
      <c r="E413" s="1" t="n">
        <v>46236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46236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46236</v>
      </c>
      <c r="F415" t="inlineStr">
        <is>
          <t>GÄVLEBORGS LÄN</t>
        </is>
      </c>
      <c r="G415" t="inlineStr">
        <is>
          <t>NORDANSTIG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46236</v>
      </c>
      <c r="F416" t="inlineStr">
        <is>
          <t>GÄVLEBORGS LÄN</t>
        </is>
      </c>
      <c r="G416" t="inlineStr">
        <is>
          <t>NORDANSTIG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46236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46236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46052</v>
      </c>
      <c r="E419" s="1" t="n">
        <v>46236</v>
      </c>
      <c r="F419" t="inlineStr">
        <is>
          <t>GÄVLEBORGS LÄN</t>
        </is>
      </c>
      <c r="G419" t="inlineStr">
        <is>
          <t>NORDANSTIG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45037</v>
      </c>
      <c r="E420" s="1" t="n">
        <v>46236</v>
      </c>
      <c r="F420" t="inlineStr">
        <is>
          <t>GÄVLEBORGS LÄN</t>
        </is>
      </c>
      <c r="G420" t="inlineStr">
        <is>
          <t>NORDANSTIG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46026</v>
      </c>
      <c r="E421" s="1" t="n">
        <v>46236</v>
      </c>
      <c r="F421" t="inlineStr">
        <is>
          <t>GÄVLEBORGS LÄN</t>
        </is>
      </c>
      <c r="G421" t="inlineStr">
        <is>
          <t>NORDANSTIG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45001</v>
      </c>
      <c r="E422" s="1" t="n">
        <v>46236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46236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46236</v>
      </c>
      <c r="F424" t="inlineStr">
        <is>
          <t>GÄVLEBORGS LÄN</t>
        </is>
      </c>
      <c r="G424" t="inlineStr">
        <is>
          <t>NORDANSTIG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46236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46236</v>
      </c>
      <c r="F426" t="inlineStr">
        <is>
          <t>GÄVLEBORGS LÄN</t>
        </is>
      </c>
      <c r="G426" t="inlineStr">
        <is>
          <t>NORDANSTIG</t>
        </is>
      </c>
      <c r="I426" t="n">
        <v>30.9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45950</v>
      </c>
      <c r="E427" s="1" t="n">
        <v>46236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45951</v>
      </c>
      <c r="E428" s="1" t="n">
        <v>46236</v>
      </c>
      <c r="F428" t="inlineStr">
        <is>
          <t>GÄVLEBORGS LÄN</t>
        </is>
      </c>
      <c r="G428" t="inlineStr">
        <is>
          <t>NORDANSTIG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46236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46236</v>
      </c>
      <c r="F430" t="inlineStr">
        <is>
          <t>GÄVLEBORGS LÄN</t>
        </is>
      </c>
      <c r="G430" t="inlineStr">
        <is>
          <t>NORDANSTIG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46236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46236</v>
      </c>
      <c r="F432" t="inlineStr">
        <is>
          <t>GÄVLEBORGS LÄN</t>
        </is>
      </c>
      <c r="G432" t="inlineStr">
        <is>
          <t>NORDANSTIG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44999</v>
      </c>
      <c r="E433" s="1" t="n">
        <v>46236</v>
      </c>
      <c r="F433" t="inlineStr">
        <is>
          <t>GÄVLEBORGS LÄN</t>
        </is>
      </c>
      <c r="G433" t="inlineStr">
        <is>
          <t>NORDANSTIG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46236</v>
      </c>
      <c r="F434" t="inlineStr">
        <is>
          <t>GÄVLEBORGS LÄN</t>
        </is>
      </c>
      <c r="G434" t="inlineStr">
        <is>
          <t>NORDANSTIG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46236</v>
      </c>
      <c r="F435" t="inlineStr">
        <is>
          <t>GÄVLEBORGS LÄN</t>
        </is>
      </c>
      <c r="G435" t="inlineStr">
        <is>
          <t>NORDANSTIG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46236</v>
      </c>
      <c r="F436" t="inlineStr">
        <is>
          <t>GÄVLEBORGS LÄN</t>
        </is>
      </c>
      <c r="G436" t="inlineStr">
        <is>
          <t>NORDANSTIG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46236</v>
      </c>
      <c r="F437" t="inlineStr">
        <is>
          <t>GÄVLEBORGS LÄN</t>
        </is>
      </c>
      <c r="G437" t="inlineStr">
        <is>
          <t>NORDANSTIG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46236</v>
      </c>
      <c r="F438" t="inlineStr">
        <is>
          <t>GÄVLEBORGS LÄN</t>
        </is>
      </c>
      <c r="G438" t="inlineStr">
        <is>
          <t>NORDANSTIG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46236</v>
      </c>
      <c r="F439" t="inlineStr">
        <is>
          <t>GÄVLEBORGS LÄN</t>
        </is>
      </c>
      <c r="G439" t="inlineStr">
        <is>
          <t>NORDANSTIG</t>
        </is>
      </c>
      <c r="I439" t="n">
        <v>26.9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46236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46236</v>
      </c>
      <c r="F441" t="inlineStr">
        <is>
          <t>GÄVLEBORGS LÄN</t>
        </is>
      </c>
      <c r="G441" t="inlineStr">
        <is>
          <t>NORDANSTIG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44795</v>
      </c>
      <c r="E442" s="1" t="n">
        <v>46236</v>
      </c>
      <c r="F442" t="inlineStr">
        <is>
          <t>GÄVLEBORGS LÄN</t>
        </is>
      </c>
      <c r="G442" t="inlineStr">
        <is>
          <t>NORDANSTIG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45434</v>
      </c>
      <c r="E443" s="1" t="n">
        <v>46236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46236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46236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46236</v>
      </c>
      <c r="F446" t="inlineStr">
        <is>
          <t>GÄVLEBORGS LÄN</t>
        </is>
      </c>
      <c r="G446" t="inlineStr">
        <is>
          <t>NORDANSTIG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46236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46236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46236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46236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46236</v>
      </c>
      <c r="F451" t="inlineStr">
        <is>
          <t>GÄVLEBORGS LÄN</t>
        </is>
      </c>
      <c r="G451" t="inlineStr">
        <is>
          <t>NORDANSTIG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46236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38048-2024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45544</v>
      </c>
      <c r="E453" s="1" t="n">
        <v>46236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45041</v>
      </c>
      <c r="E454" s="1" t="n">
        <v>46236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46236</v>
      </c>
      <c r="F455" t="inlineStr">
        <is>
          <t>GÄVLEBORGS LÄN</t>
        </is>
      </c>
      <c r="G455" t="inlineStr">
        <is>
          <t>NORDANSTIG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46198</v>
      </c>
      <c r="E456" s="1" t="n">
        <v>46236</v>
      </c>
      <c r="F456" t="inlineStr">
        <is>
          <t>GÄVLEBORGS LÄN</t>
        </is>
      </c>
      <c r="G456" t="inlineStr">
        <is>
          <t>NORDANSTIG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46236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45636</v>
      </c>
      <c r="E458" s="1" t="n">
        <v>46236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46236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46236</v>
      </c>
      <c r="F460" t="inlineStr">
        <is>
          <t>GÄVLEBORGS LÄN</t>
        </is>
      </c>
      <c r="G460" t="inlineStr">
        <is>
          <t>NORDANSTIG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46236</v>
      </c>
      <c r="F461" t="inlineStr">
        <is>
          <t>GÄVLEBORGS LÄN</t>
        </is>
      </c>
      <c r="G461" t="inlineStr">
        <is>
          <t>NORDANSTIG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46236</v>
      </c>
      <c r="F462" t="inlineStr">
        <is>
          <t>GÄVLEBORGS LÄN</t>
        </is>
      </c>
      <c r="G462" t="inlineStr">
        <is>
          <t>NORDANSTIG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44797</v>
      </c>
      <c r="E463" s="1" t="n">
        <v>46236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30842-2024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45497</v>
      </c>
      <c r="E464" s="1" t="n">
        <v>46236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45625</v>
      </c>
      <c r="E465" s="1" t="n">
        <v>46236</v>
      </c>
      <c r="F465" t="inlineStr">
        <is>
          <t>GÄVLEBORGS LÄN</t>
        </is>
      </c>
      <c r="G465" t="inlineStr">
        <is>
          <t>NORDANSTIG</t>
        </is>
      </c>
      <c r="I465" t="n">
        <v>10.1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46236</v>
      </c>
      <c r="F466" t="inlineStr">
        <is>
          <t>GÄVLEBORGS LÄN</t>
        </is>
      </c>
      <c r="G466" t="inlineStr">
        <is>
          <t>NORDANSTIG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28529-2026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46236</v>
      </c>
      <c r="F467" t="inlineStr">
        <is>
          <t>GÄVLEBORGS LÄN</t>
        </is>
      </c>
      <c r="G467" t="inlineStr">
        <is>
          <t>NORDANSTIG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46236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46236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46236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46236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46236</v>
      </c>
      <c r="F472" t="inlineStr">
        <is>
          <t>GÄVLEBORGS LÄN</t>
        </is>
      </c>
      <c r="G472" t="inlineStr">
        <is>
          <t>NORDANSTIG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46236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46236</v>
      </c>
      <c r="F474" t="inlineStr">
        <is>
          <t>GÄVLEBORGS LÄN</t>
        </is>
      </c>
      <c r="G474" t="inlineStr">
        <is>
          <t>NORDANSTIG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46236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46236</v>
      </c>
      <c r="F476" t="inlineStr">
        <is>
          <t>GÄVLEBORGS LÄN</t>
        </is>
      </c>
      <c r="G476" t="inlineStr">
        <is>
          <t>NORDANSTIG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46236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46236</v>
      </c>
      <c r="F478" t="inlineStr">
        <is>
          <t>GÄVLEBORGS LÄN</t>
        </is>
      </c>
      <c r="G478" t="inlineStr">
        <is>
          <t>NORDANSTIG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46236</v>
      </c>
      <c r="F479" t="inlineStr">
        <is>
          <t>GÄVLEBORGS LÄN</t>
        </is>
      </c>
      <c r="G479" t="inlineStr">
        <is>
          <t>NORDANSTIG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45974</v>
      </c>
      <c r="E480" s="1" t="n">
        <v>46236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46236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55955-2025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46236</v>
      </c>
      <c r="F482" t="inlineStr">
        <is>
          <t>GÄVLEBORGS LÄN</t>
        </is>
      </c>
      <c r="G482" t="inlineStr">
        <is>
          <t>NORDANSTIG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45489</v>
      </c>
      <c r="E483" s="1" t="n">
        <v>46236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46236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33535-2022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44789</v>
      </c>
      <c r="E485" s="1" t="n">
        <v>46236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46160</v>
      </c>
      <c r="E486" s="1" t="n">
        <v>46236</v>
      </c>
      <c r="F486" t="inlineStr">
        <is>
          <t>GÄVLEBORGS LÄN</t>
        </is>
      </c>
      <c r="G486" t="inlineStr">
        <is>
          <t>NORDANSTIG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46236</v>
      </c>
      <c r="F487" t="inlineStr">
        <is>
          <t>GÄVLEBORGS LÄN</t>
        </is>
      </c>
      <c r="G487" t="inlineStr">
        <is>
          <t>NORDANSTIG</t>
        </is>
      </c>
      <c r="H487" t="inlineStr">
        <is>
          <t>SCA</t>
        </is>
      </c>
      <c r="I487" t="n">
        <v>11.8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46236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63145-2023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45273</v>
      </c>
      <c r="E489" s="1" t="n">
        <v>46236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57559-2025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45980</v>
      </c>
      <c r="E490" s="1" t="n">
        <v>46236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SCA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45170</v>
      </c>
      <c r="E491" s="1" t="n">
        <v>46236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46236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57558-2025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45980</v>
      </c>
      <c r="E493" s="1" t="n">
        <v>46236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SCA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46236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19906-2026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46136</v>
      </c>
      <c r="E495" s="1" t="n">
        <v>46236</v>
      </c>
      <c r="F495" t="inlineStr">
        <is>
          <t>GÄVLEBORGS LÄN</t>
        </is>
      </c>
      <c r="G495" t="inlineStr">
        <is>
          <t>NORDANSTIG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45525</v>
      </c>
      <c r="E496" s="1" t="n">
        <v>46236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46236</v>
      </c>
      <c r="F497" t="inlineStr">
        <is>
          <t>GÄVLEBORGS LÄN</t>
        </is>
      </c>
      <c r="G497" t="inlineStr">
        <is>
          <t>NORDANSTIG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46236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46236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46236</v>
      </c>
      <c r="F500" t="inlineStr">
        <is>
          <t>GÄVLEBORGS LÄN</t>
        </is>
      </c>
      <c r="G500" t="inlineStr">
        <is>
          <t>NORDANSTIG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46051</v>
      </c>
      <c r="E501" s="1" t="n">
        <v>46236</v>
      </c>
      <c r="F501" t="inlineStr">
        <is>
          <t>GÄVLEBORGS LÄN</t>
        </is>
      </c>
      <c r="G501" t="inlineStr">
        <is>
          <t>NORDANSTIG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41957-2023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45177</v>
      </c>
      <c r="E502" s="1" t="n">
        <v>46236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46236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46236</v>
      </c>
      <c r="F504" t="inlineStr">
        <is>
          <t>GÄVLEBORGS LÄN</t>
        </is>
      </c>
      <c r="G504" t="inlineStr">
        <is>
          <t>NORDANSTIG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46236</v>
      </c>
      <c r="F505" t="inlineStr">
        <is>
          <t>GÄVLEBORGS LÄN</t>
        </is>
      </c>
      <c r="G505" t="inlineStr">
        <is>
          <t>NORDANSTIG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46236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46236</v>
      </c>
      <c r="F507" t="inlineStr">
        <is>
          <t>GÄVLEBORGS LÄN</t>
        </is>
      </c>
      <c r="G507" t="inlineStr">
        <is>
          <t>NORDANSTIG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46236</v>
      </c>
      <c r="F508" t="inlineStr">
        <is>
          <t>GÄVLEBORGS LÄN</t>
        </is>
      </c>
      <c r="G508" t="inlineStr">
        <is>
          <t>NORDANSTIG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46236</v>
      </c>
      <c r="F509" t="inlineStr">
        <is>
          <t>GÄVLEBORGS LÄN</t>
        </is>
      </c>
      <c r="G509" t="inlineStr">
        <is>
          <t>NORDANSTIG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46236</v>
      </c>
      <c r="F510" t="inlineStr">
        <is>
          <t>GÄVLEBORGS LÄN</t>
        </is>
      </c>
      <c r="G510" t="inlineStr">
        <is>
          <t>NORDANSTIG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46236</v>
      </c>
      <c r="F511" t="inlineStr">
        <is>
          <t>GÄVLEBORGS LÄN</t>
        </is>
      </c>
      <c r="G511" t="inlineStr">
        <is>
          <t>NORDANSTIG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46236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45068</v>
      </c>
      <c r="E513" s="1" t="n">
        <v>46236</v>
      </c>
      <c r="F513" t="inlineStr">
        <is>
          <t>GÄVLEBORGS LÄN</t>
        </is>
      </c>
      <c r="G513" t="inlineStr">
        <is>
          <t>NORDANSTIG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46236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59008-2025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45987</v>
      </c>
      <c r="E515" s="1" t="n">
        <v>46236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46236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46236</v>
      </c>
      <c r="F517" t="inlineStr">
        <is>
          <t>GÄVLEBORGS LÄN</t>
        </is>
      </c>
      <c r="G517" t="inlineStr">
        <is>
          <t>NORDANSTIG</t>
        </is>
      </c>
      <c r="I517" t="n">
        <v>8.1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45231</v>
      </c>
      <c r="E518" s="1" t="n">
        <v>46236</v>
      </c>
      <c r="F518" t="inlineStr">
        <is>
          <t>GÄVLEBORGS LÄN</t>
        </is>
      </c>
      <c r="G518" t="inlineStr">
        <is>
          <t>NORDANSTIG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46236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46236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44874</v>
      </c>
      <c r="E521" s="1" t="n">
        <v>46236</v>
      </c>
      <c r="F521" t="inlineStr">
        <is>
          <t>GÄVLEBORGS LÄN</t>
        </is>
      </c>
      <c r="G521" t="inlineStr">
        <is>
          <t>NORDANSTIG</t>
        </is>
      </c>
      <c r="H521" t="inlineStr">
        <is>
          <t>SCA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46236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8898-2024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46236</v>
      </c>
      <c r="F523" t="inlineStr">
        <is>
          <t>GÄVLEBORGS LÄN</t>
        </is>
      </c>
      <c r="G523" t="inlineStr">
        <is>
          <t>NORDANSTIG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44573</v>
      </c>
      <c r="E524" s="1" t="n">
        <v>46236</v>
      </c>
      <c r="F524" t="inlineStr">
        <is>
          <t>GÄVLEBORGS LÄN</t>
        </is>
      </c>
      <c r="G524" t="inlineStr">
        <is>
          <t>NORDANSTIG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46236</v>
      </c>
      <c r="F525" t="inlineStr">
        <is>
          <t>GÄVLEBORGS LÄN</t>
        </is>
      </c>
      <c r="G525" t="inlineStr">
        <is>
          <t>NORDANSTIG</t>
        </is>
      </c>
      <c r="I525" t="n">
        <v>26.6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46236</v>
      </c>
      <c r="F526" t="inlineStr">
        <is>
          <t>GÄVLEBORGS LÄN</t>
        </is>
      </c>
      <c r="G526" t="inlineStr">
        <is>
          <t>NORDANSTIG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46236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46236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46236</v>
      </c>
      <c r="F529" t="inlineStr">
        <is>
          <t>GÄVLEBORGS LÄN</t>
        </is>
      </c>
      <c r="G529" t="inlineStr">
        <is>
          <t>NORDANSTIG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23506-2026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46236</v>
      </c>
      <c r="F530" t="inlineStr">
        <is>
          <t>GÄVLEBORGS LÄN</t>
        </is>
      </c>
      <c r="G530" t="inlineStr">
        <is>
          <t>NORDANSTIG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23654-2026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46236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46236</v>
      </c>
      <c r="F532" t="inlineStr">
        <is>
          <t>GÄVLEBORGS LÄN</t>
        </is>
      </c>
      <c r="G532" t="inlineStr">
        <is>
          <t>NORDANSTIG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46236</v>
      </c>
      <c r="F533" t="inlineStr">
        <is>
          <t>GÄVLEBORGS LÄN</t>
        </is>
      </c>
      <c r="G533" t="inlineStr">
        <is>
          <t>NORDANSTIG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46236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45999</v>
      </c>
      <c r="E535" s="1" t="n">
        <v>46236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24178-2026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46168</v>
      </c>
      <c r="E536" s="1" t="n">
        <v>46236</v>
      </c>
      <c r="F536" t="inlineStr">
        <is>
          <t>GÄVLEBORGS LÄN</t>
        </is>
      </c>
      <c r="G536" t="inlineStr">
        <is>
          <t>NORDANSTIG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46236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46236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46236</v>
      </c>
      <c r="F539" t="inlineStr">
        <is>
          <t>GÄVLEBORGS LÄN</t>
        </is>
      </c>
      <c r="G539" t="inlineStr">
        <is>
          <t>NORDANSTIG</t>
        </is>
      </c>
      <c r="I539" t="n">
        <v>18.1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45646</v>
      </c>
      <c r="E540" s="1" t="n">
        <v>46236</v>
      </c>
      <c r="F540" t="inlineStr">
        <is>
          <t>GÄVLEBORGS LÄN</t>
        </is>
      </c>
      <c r="G540" t="inlineStr">
        <is>
          <t>NORDANSTIG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46236</v>
      </c>
      <c r="F541" t="inlineStr">
        <is>
          <t>GÄVLEBORGS LÄN</t>
        </is>
      </c>
      <c r="G541" t="inlineStr">
        <is>
          <t>NORDANSTIG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46236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30431-2026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46209</v>
      </c>
      <c r="E543" s="1" t="n">
        <v>46236</v>
      </c>
      <c r="F543" t="inlineStr">
        <is>
          <t>GÄVLEBORGS LÄN</t>
        </is>
      </c>
      <c r="G543" t="inlineStr">
        <is>
          <t>NORDANSTIG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46236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46236</v>
      </c>
      <c r="F545" t="inlineStr">
        <is>
          <t>GÄVLEBORGS LÄN</t>
        </is>
      </c>
      <c r="G545" t="inlineStr">
        <is>
          <t>NORDANSTIG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46236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46236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46236</v>
      </c>
      <c r="F548" t="inlineStr">
        <is>
          <t>GÄVLEBORGS LÄN</t>
        </is>
      </c>
      <c r="G548" t="inlineStr">
        <is>
          <t>NORDANSTIG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46236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45297</v>
      </c>
      <c r="E550" s="1" t="n">
        <v>46236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46236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45019</v>
      </c>
      <c r="E552" s="1" t="n">
        <v>46236</v>
      </c>
      <c r="F552" t="inlineStr">
        <is>
          <t>GÄVLEBORGS LÄN</t>
        </is>
      </c>
      <c r="G552" t="inlineStr">
        <is>
          <t>NORDANSTIG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46236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45555</v>
      </c>
      <c r="E554" s="1" t="n">
        <v>46236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46236</v>
      </c>
      <c r="F555" t="inlineStr">
        <is>
          <t>GÄVLEBORGS LÄN</t>
        </is>
      </c>
      <c r="G555" t="inlineStr">
        <is>
          <t>NORDANSTIG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61871-2025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46003</v>
      </c>
      <c r="E556" s="1" t="n">
        <v>46236</v>
      </c>
      <c r="F556" t="inlineStr">
        <is>
          <t>GÄVLEBORGS LÄN</t>
        </is>
      </c>
      <c r="G556" t="inlineStr">
        <is>
          <t>NORDANSTIG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46236</v>
      </c>
      <c r="F557" t="inlineStr">
        <is>
          <t>GÄVLEBORGS LÄN</t>
        </is>
      </c>
      <c r="G557" t="inlineStr">
        <is>
          <t>NORDANSTIG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62182-2025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46236</v>
      </c>
      <c r="F558" t="inlineStr">
        <is>
          <t>GÄVLEBORGS LÄN</t>
        </is>
      </c>
      <c r="G558" t="inlineStr">
        <is>
          <t>NORDANSTIG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24265-2026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46236</v>
      </c>
      <c r="F559" t="inlineStr">
        <is>
          <t>GÄVLEBORGS LÄN</t>
        </is>
      </c>
      <c r="G559" t="inlineStr">
        <is>
          <t>NORDANSTIG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45667</v>
      </c>
      <c r="E560" s="1" t="n">
        <v>46236</v>
      </c>
      <c r="F560" t="inlineStr">
        <is>
          <t>GÄVLEBORGS LÄN</t>
        </is>
      </c>
      <c r="G560" t="inlineStr">
        <is>
          <t>NORDANSTIG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45670</v>
      </c>
      <c r="E561" s="1" t="n">
        <v>46236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46236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46236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32635-2022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44783</v>
      </c>
      <c r="E564" s="1" t="n">
        <v>46236</v>
      </c>
      <c r="F564" t="inlineStr">
        <is>
          <t>GÄVLEBORGS LÄN</t>
        </is>
      </c>
      <c r="G564" t="inlineStr">
        <is>
          <t>NORDANSTIG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46236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62833-2025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46236</v>
      </c>
      <c r="F566" t="inlineStr">
        <is>
          <t>GÄVLEBORGS LÄN</t>
        </is>
      </c>
      <c r="G566" t="inlineStr">
        <is>
          <t>NORDANSTIG</t>
        </is>
      </c>
      <c r="H566" t="inlineStr">
        <is>
          <t>SCA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43883-2021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44434</v>
      </c>
      <c r="E567" s="1" t="n">
        <v>46236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46236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46236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46236</v>
      </c>
      <c r="F570" t="inlineStr">
        <is>
          <t>GÄVLEBORGS LÄN</t>
        </is>
      </c>
      <c r="G570" t="inlineStr">
        <is>
          <t>NORDANSTIG</t>
        </is>
      </c>
      <c r="I570" t="n">
        <v>11.5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46171</v>
      </c>
      <c r="E571" s="1" t="n">
        <v>46236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58749-2024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45635</v>
      </c>
      <c r="E572" s="1" t="n">
        <v>46236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46236</v>
      </c>
      <c r="F573" t="inlineStr">
        <is>
          <t>GÄVLEBORGS LÄN</t>
        </is>
      </c>
      <c r="G573" t="inlineStr">
        <is>
          <t>NORDANSTIG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45089</v>
      </c>
      <c r="E574" s="1" t="n">
        <v>46236</v>
      </c>
      <c r="F574" t="inlineStr">
        <is>
          <t>GÄVLEBORGS LÄN</t>
        </is>
      </c>
      <c r="G574" t="inlineStr">
        <is>
          <t>NORDANSTIG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46236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60869-2024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46236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30899-2026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46213</v>
      </c>
      <c r="E577" s="1" t="n">
        <v>46236</v>
      </c>
      <c r="F577" t="inlineStr">
        <is>
          <t>GÄVLEBORGS LÄN</t>
        </is>
      </c>
      <c r="G577" t="inlineStr">
        <is>
          <t>NORDANSTIG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46236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51541-2025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45950</v>
      </c>
      <c r="E579" s="1" t="n">
        <v>46236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64835-2021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44512</v>
      </c>
      <c r="E580" s="1" t="n">
        <v>46236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46236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51842-2024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45607</v>
      </c>
      <c r="E582" s="1" t="n">
        <v>46236</v>
      </c>
      <c r="F582" t="inlineStr">
        <is>
          <t>GÄVLEBORGS LÄN</t>
        </is>
      </c>
      <c r="G582" t="inlineStr">
        <is>
          <t>NORDANSTIG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46236</v>
      </c>
      <c r="F583" t="inlineStr">
        <is>
          <t>GÄVLEBORGS LÄN</t>
        </is>
      </c>
      <c r="G583" t="inlineStr">
        <is>
          <t>NORDANSTIG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46236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46236</v>
      </c>
      <c r="F585" t="inlineStr">
        <is>
          <t>GÄVLEBORGS LÄN</t>
        </is>
      </c>
      <c r="G585" t="inlineStr">
        <is>
          <t>NORDANSTIG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14866-2024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45397</v>
      </c>
      <c r="E586" s="1" t="n">
        <v>46236</v>
      </c>
      <c r="F586" t="inlineStr">
        <is>
          <t>GÄVLEBORGS LÄN</t>
        </is>
      </c>
      <c r="G586" t="inlineStr">
        <is>
          <t>NORDANSTIG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46236</v>
      </c>
      <c r="F587" t="inlineStr">
        <is>
          <t>GÄVLEBORGS LÄN</t>
        </is>
      </c>
      <c r="G587" t="inlineStr">
        <is>
          <t>NORDANSTIG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46236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65039-2023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45287</v>
      </c>
      <c r="E589" s="1" t="n">
        <v>46236</v>
      </c>
      <c r="F589" t="inlineStr">
        <is>
          <t>GÄVLEBORGS LÄN</t>
        </is>
      </c>
      <c r="G589" t="inlineStr">
        <is>
          <t>NORDANSTIG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46021</v>
      </c>
      <c r="E590" s="1" t="n">
        <v>46236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46236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46024</v>
      </c>
      <c r="E592" s="1" t="n">
        <v>46236</v>
      </c>
      <c r="F592" t="inlineStr">
        <is>
          <t>GÄVLEBORGS LÄN</t>
        </is>
      </c>
      <c r="G592" t="inlineStr">
        <is>
          <t>NORDANSTIG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44952</v>
      </c>
      <c r="E593" s="1" t="n">
        <v>46236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46026</v>
      </c>
      <c r="E594" s="1" t="n">
        <v>46236</v>
      </c>
      <c r="F594" t="inlineStr">
        <is>
          <t>GÄVLEBORGS LÄN</t>
        </is>
      </c>
      <c r="G594" t="inlineStr">
        <is>
          <t>NORDANSTIG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46236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46236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45455</v>
      </c>
      <c r="E597" s="1" t="n">
        <v>46236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46236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46175</v>
      </c>
      <c r="E599" s="1" t="n">
        <v>46236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46236</v>
      </c>
      <c r="F600" t="inlineStr">
        <is>
          <t>GÄVLEBORGS LÄN</t>
        </is>
      </c>
      <c r="G600" t="inlineStr">
        <is>
          <t>NORDANSTIG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46236</v>
      </c>
      <c r="F601" t="inlineStr">
        <is>
          <t>GÄVLEBORGS LÄN</t>
        </is>
      </c>
      <c r="G601" t="inlineStr">
        <is>
          <t>NORDANSTIG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45079</v>
      </c>
      <c r="E602" s="1" t="n">
        <v>46236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45271</v>
      </c>
      <c r="E603" s="1" t="n">
        <v>46236</v>
      </c>
      <c r="F603" t="inlineStr">
        <is>
          <t>GÄVLEBORGS LÄN</t>
        </is>
      </c>
      <c r="G603" t="inlineStr">
        <is>
          <t>NORDANSTIG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46236</v>
      </c>
      <c r="F604" t="inlineStr">
        <is>
          <t>GÄVLEBORGS LÄN</t>
        </is>
      </c>
      <c r="G604" t="inlineStr">
        <is>
          <t>NORDANSTIG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46236</v>
      </c>
      <c r="F605" t="inlineStr">
        <is>
          <t>GÄVLEBORGS LÄN</t>
        </is>
      </c>
      <c r="G605" t="inlineStr">
        <is>
          <t>NORDANSTIG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46031</v>
      </c>
      <c r="E606" s="1" t="n">
        <v>46236</v>
      </c>
      <c r="F606" t="inlineStr">
        <is>
          <t>GÄVLEBORGS LÄN</t>
        </is>
      </c>
      <c r="G606" t="inlineStr">
        <is>
          <t>NORDANSTIG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46236</v>
      </c>
      <c r="F607" t="inlineStr">
        <is>
          <t>GÄVLEBORGS LÄN</t>
        </is>
      </c>
      <c r="G607" t="inlineStr">
        <is>
          <t>NORDANSTIG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46213</v>
      </c>
      <c r="E608" s="1" t="n">
        <v>46236</v>
      </c>
      <c r="F608" t="inlineStr">
        <is>
          <t>GÄVLEBORGS LÄN</t>
        </is>
      </c>
      <c r="G608" t="inlineStr">
        <is>
          <t>NORDANSTIG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46236</v>
      </c>
      <c r="F609" t="inlineStr">
        <is>
          <t>GÄVLEBORGS LÄN</t>
        </is>
      </c>
      <c r="G609" t="inlineStr">
        <is>
          <t>NORDANSTIG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65208-2023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45289</v>
      </c>
      <c r="E610" s="1" t="n">
        <v>46236</v>
      </c>
      <c r="F610" t="inlineStr">
        <is>
          <t>GÄVLEBORGS LÄN</t>
        </is>
      </c>
      <c r="G610" t="inlineStr">
        <is>
          <t>NORDANSTIG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46236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46035</v>
      </c>
      <c r="E612" s="1" t="n">
        <v>46236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46236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46236</v>
      </c>
      <c r="F614" t="inlineStr">
        <is>
          <t>GÄVLEBORGS LÄN</t>
        </is>
      </c>
      <c r="G614" t="inlineStr">
        <is>
          <t>NORDANSTIG</t>
        </is>
      </c>
      <c r="I614" t="n">
        <v>21.1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46037</v>
      </c>
      <c r="E615" s="1" t="n">
        <v>46236</v>
      </c>
      <c r="F615" t="inlineStr">
        <is>
          <t>GÄVLEBORGS LÄN</t>
        </is>
      </c>
      <c r="G615" t="inlineStr">
        <is>
          <t>NORDANSTIG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46236</v>
      </c>
      <c r="F616" t="inlineStr">
        <is>
          <t>GÄVLEBORGS LÄN</t>
        </is>
      </c>
      <c r="G616" t="inlineStr">
        <is>
          <t>NORDANSTIG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46037</v>
      </c>
      <c r="E617" s="1" t="n">
        <v>46236</v>
      </c>
      <c r="F617" t="inlineStr">
        <is>
          <t>GÄVLEBORGS LÄN</t>
        </is>
      </c>
      <c r="G617" t="inlineStr">
        <is>
          <t>NORDANSTIG</t>
        </is>
      </c>
      <c r="I617" t="n">
        <v>9.300000000000001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45232</v>
      </c>
      <c r="E618" s="1" t="n">
        <v>46236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46220</v>
      </c>
      <c r="E619" s="1" t="n">
        <v>46236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31423-2026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46220</v>
      </c>
      <c r="E620" s="1" t="n">
        <v>46236</v>
      </c>
      <c r="F620" t="inlineStr">
        <is>
          <t>GÄVLEBORGS LÄN</t>
        </is>
      </c>
      <c r="G620" t="inlineStr">
        <is>
          <t>NORDANSTIG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62089-2021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44502</v>
      </c>
      <c r="E621" s="1" t="n">
        <v>46236</v>
      </c>
      <c r="F621" t="inlineStr">
        <is>
          <t>GÄVLEBORGS LÄN</t>
        </is>
      </c>
      <c r="G621" t="inlineStr">
        <is>
          <t>NORDANSTIG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20747-2023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45058</v>
      </c>
      <c r="E622" s="1" t="n">
        <v>46236</v>
      </c>
      <c r="F622" t="inlineStr">
        <is>
          <t>GÄVLEBORGS LÄN</t>
        </is>
      </c>
      <c r="G622" t="inlineStr">
        <is>
          <t>NORDANSTIG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46236</v>
      </c>
      <c r="F623" t="inlineStr">
        <is>
          <t>GÄVLEBORGS LÄN</t>
        </is>
      </c>
      <c r="G623" t="inlineStr">
        <is>
          <t>NORDANSTIG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46236</v>
      </c>
      <c r="F624" t="inlineStr">
        <is>
          <t>GÄVLEBORGS LÄN</t>
        </is>
      </c>
      <c r="G624" t="inlineStr">
        <is>
          <t>NORDANSTIG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46236</v>
      </c>
      <c r="F625" t="inlineStr">
        <is>
          <t>GÄVLEBORGS LÄN</t>
        </is>
      </c>
      <c r="G625" t="inlineStr">
        <is>
          <t>NORDANSTIG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46220</v>
      </c>
      <c r="E626" s="1" t="n">
        <v>46236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45719</v>
      </c>
      <c r="E627" s="1" t="n">
        <v>46236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18288-2023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45041</v>
      </c>
      <c r="E628" s="1" t="n">
        <v>46236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46236</v>
      </c>
      <c r="F629" t="inlineStr">
        <is>
          <t>GÄVLEBORGS LÄN</t>
        </is>
      </c>
      <c r="G629" t="inlineStr">
        <is>
          <t>NORDANSTIG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46236</v>
      </c>
      <c r="F630" t="inlineStr">
        <is>
          <t>GÄVLEBORGS LÄN</t>
        </is>
      </c>
      <c r="G630" t="inlineStr">
        <is>
          <t>NORDANSTIG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44628</v>
      </c>
      <c r="E631" s="1" t="n">
        <v>46236</v>
      </c>
      <c r="F631" t="inlineStr">
        <is>
          <t>GÄVLEBORGS LÄN</t>
        </is>
      </c>
      <c r="G631" t="inlineStr">
        <is>
          <t>NORDANSTIG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46236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46213</v>
      </c>
      <c r="E633" s="1" t="n">
        <v>46236</v>
      </c>
      <c r="F633" t="inlineStr">
        <is>
          <t>GÄVLEBORGS LÄN</t>
        </is>
      </c>
      <c r="G633" t="inlineStr">
        <is>
          <t>NORDANSTIG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46220</v>
      </c>
      <c r="E634" s="1" t="n">
        <v>46236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46042</v>
      </c>
      <c r="E635" s="1" t="n">
        <v>46236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46039</v>
      </c>
      <c r="E636" s="1" t="n">
        <v>46236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40241-2023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45169</v>
      </c>
      <c r="E637" s="1" t="n">
        <v>46236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50657-2024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45601</v>
      </c>
      <c r="E638" s="1" t="n">
        <v>46236</v>
      </c>
      <c r="F638" t="inlineStr">
        <is>
          <t>GÄVLEBORGS LÄN</t>
        </is>
      </c>
      <c r="G638" t="inlineStr">
        <is>
          <t>NORDANSTIG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46236</v>
      </c>
      <c r="F639" t="inlineStr">
        <is>
          <t>GÄVLEBORGS LÄN</t>
        </is>
      </c>
      <c r="G639" t="inlineStr">
        <is>
          <t>NORDANSTIG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46236</v>
      </c>
      <c r="F640" t="inlineStr">
        <is>
          <t>GÄVLEBORGS LÄN</t>
        </is>
      </c>
      <c r="G640" t="inlineStr">
        <is>
          <t>NORDANSTIG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46236</v>
      </c>
      <c r="F641" t="inlineStr">
        <is>
          <t>GÄVLEBORGS LÄN</t>
        </is>
      </c>
      <c r="G641" t="inlineStr">
        <is>
          <t>NORDANSTIG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46236</v>
      </c>
      <c r="F642" t="inlineStr">
        <is>
          <t>GÄVLEBORGS LÄN</t>
        </is>
      </c>
      <c r="G642" t="inlineStr">
        <is>
          <t>NORDANSTIG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25633-2026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46236</v>
      </c>
      <c r="F643" t="inlineStr">
        <is>
          <t>GÄVLEBORGS LÄN</t>
        </is>
      </c>
      <c r="G643" t="inlineStr">
        <is>
          <t>NORDANSTIG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45306</v>
      </c>
      <c r="E644" s="1" t="n">
        <v>46236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45754</v>
      </c>
      <c r="E645" s="1" t="n">
        <v>46236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34842-2023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45141</v>
      </c>
      <c r="E646" s="1" t="n">
        <v>46236</v>
      </c>
      <c r="F646" t="inlineStr">
        <is>
          <t>GÄVLEBORGS LÄN</t>
        </is>
      </c>
      <c r="G646" t="inlineStr">
        <is>
          <t>NORDANSTIG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46223</v>
      </c>
      <c r="E647" s="1" t="n">
        <v>46236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46236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46236</v>
      </c>
      <c r="F649" t="inlineStr">
        <is>
          <t>GÄVLEBORGS LÄN</t>
        </is>
      </c>
      <c r="G649" t="inlineStr">
        <is>
          <t>NORDANSTIG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45343</v>
      </c>
      <c r="E650" s="1" t="n">
        <v>46236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46236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46066</v>
      </c>
      <c r="E652" s="1" t="n">
        <v>46236</v>
      </c>
      <c r="F652" t="inlineStr">
        <is>
          <t>GÄVLEBORGS LÄN</t>
        </is>
      </c>
      <c r="G652" t="inlineStr">
        <is>
          <t>NORDANSTIG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6583-2022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44601</v>
      </c>
      <c r="E653" s="1" t="n">
        <v>46236</v>
      </c>
      <c r="F653" t="inlineStr">
        <is>
          <t>GÄVLEBORGS LÄN</t>
        </is>
      </c>
      <c r="G653" t="inlineStr">
        <is>
          <t>NORDANSTIG</t>
        </is>
      </c>
      <c r="I653" t="n">
        <v>8.800000000000001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46236</v>
      </c>
      <c r="F654" t="inlineStr">
        <is>
          <t>GÄVLEBORGS LÄN</t>
        </is>
      </c>
      <c r="G654" t="inlineStr">
        <is>
          <t>NORDANSTIG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46236</v>
      </c>
      <c r="F655" t="inlineStr">
        <is>
          <t>GÄVLEBORGS LÄN</t>
        </is>
      </c>
      <c r="G655" t="inlineStr">
        <is>
          <t>NORDANSTIG</t>
        </is>
      </c>
      <c r="I655" t="n">
        <v>24.7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46236</v>
      </c>
      <c r="F656" t="inlineStr">
        <is>
          <t>GÄVLEBORGS LÄN</t>
        </is>
      </c>
      <c r="G656" t="inlineStr">
        <is>
          <t>NORDANSTIG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46236</v>
      </c>
      <c r="F657" t="inlineStr">
        <is>
          <t>GÄVLEBORGS LÄN</t>
        </is>
      </c>
      <c r="G657" t="inlineStr">
        <is>
          <t>NORDANSTIG</t>
        </is>
      </c>
      <c r="I657" t="n">
        <v>11.3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46236</v>
      </c>
      <c r="F658" t="inlineStr">
        <is>
          <t>GÄVLEBORGS LÄN</t>
        </is>
      </c>
      <c r="G658" t="inlineStr">
        <is>
          <t>NORDANSTIG</t>
        </is>
      </c>
      <c r="I658" t="n">
        <v>15.3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46236</v>
      </c>
      <c r="F659" t="inlineStr">
        <is>
          <t>GÄVLEBORGS LÄN</t>
        </is>
      </c>
      <c r="G659" t="inlineStr">
        <is>
          <t>NORDANSTIG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46236</v>
      </c>
      <c r="F660" t="inlineStr">
        <is>
          <t>GÄVLEBORGS LÄN</t>
        </is>
      </c>
      <c r="G660" t="inlineStr">
        <is>
          <t>NORDANSTIG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46236</v>
      </c>
      <c r="F661" t="inlineStr">
        <is>
          <t>GÄVLEBORGS LÄN</t>
        </is>
      </c>
      <c r="G661" t="inlineStr">
        <is>
          <t>NORDANSTIG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46236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46236</v>
      </c>
      <c r="F663" t="inlineStr">
        <is>
          <t>GÄVLEBORGS LÄN</t>
        </is>
      </c>
      <c r="G663" t="inlineStr">
        <is>
          <t>NORDANSTIG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46236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46236</v>
      </c>
      <c r="F665" t="inlineStr">
        <is>
          <t>GÄVLEBORGS LÄN</t>
        </is>
      </c>
      <c r="G665" t="inlineStr">
        <is>
          <t>NORDANSTIG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46236</v>
      </c>
      <c r="F666" t="inlineStr">
        <is>
          <t>GÄVLEBORGS LÄN</t>
        </is>
      </c>
      <c r="G666" t="inlineStr">
        <is>
          <t>NORDANSTIG</t>
        </is>
      </c>
      <c r="I666" t="n">
        <v>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46236</v>
      </c>
      <c r="F667" t="inlineStr">
        <is>
          <t>GÄVLEBORGS LÄN</t>
        </is>
      </c>
      <c r="G667" t="inlineStr">
        <is>
          <t>NORDANSTIG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46236</v>
      </c>
      <c r="F668" t="inlineStr">
        <is>
          <t>GÄVLEBORGS LÄN</t>
        </is>
      </c>
      <c r="G668" t="inlineStr">
        <is>
          <t>NORDANSTIG</t>
        </is>
      </c>
      <c r="I668" t="n">
        <v>15.3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46236</v>
      </c>
      <c r="F669" t="inlineStr">
        <is>
          <t>GÄVLEBORGS LÄN</t>
        </is>
      </c>
      <c r="G669" t="inlineStr">
        <is>
          <t>NORDANSTIG</t>
        </is>
      </c>
      <c r="I669" t="n">
        <v>8.199999999999999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46236</v>
      </c>
      <c r="F670" t="inlineStr">
        <is>
          <t>GÄVLEBORGS LÄN</t>
        </is>
      </c>
      <c r="G670" t="inlineStr">
        <is>
          <t>NORDANSTIG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32471-2023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45120</v>
      </c>
      <c r="E671" s="1" t="n">
        <v>46236</v>
      </c>
      <c r="F671" t="inlineStr">
        <is>
          <t>GÄVLEBORGS LÄN</t>
        </is>
      </c>
      <c r="G671" t="inlineStr">
        <is>
          <t>NORDANSTIG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46236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25402-2024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45463</v>
      </c>
      <c r="E673" s="1" t="n">
        <v>46236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46236</v>
      </c>
      <c r="F674" t="inlineStr">
        <is>
          <t>GÄVLEBORGS LÄN</t>
        </is>
      </c>
      <c r="G674" t="inlineStr">
        <is>
          <t>NORDANSTIG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46236</v>
      </c>
      <c r="F675" t="inlineStr">
        <is>
          <t>GÄVLEBORGS LÄN</t>
        </is>
      </c>
      <c r="G675" t="inlineStr">
        <is>
          <t>NORDANSTIG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34370-2024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45525</v>
      </c>
      <c r="E676" s="1" t="n">
        <v>46236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8968-2026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46069</v>
      </c>
      <c r="E677" s="1" t="n">
        <v>46236</v>
      </c>
      <c r="F677" t="inlineStr">
        <is>
          <t>GÄVLEBORGS LÄN</t>
        </is>
      </c>
      <c r="G677" t="inlineStr">
        <is>
          <t>NORDANSTIG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46045</v>
      </c>
      <c r="E678" s="1" t="n">
        <v>46236</v>
      </c>
      <c r="F678" t="inlineStr">
        <is>
          <t>GÄVLEBORGS LÄN</t>
        </is>
      </c>
      <c r="G678" t="inlineStr">
        <is>
          <t>NORDANSTIG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46236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46050</v>
      </c>
      <c r="E680" s="1" t="n">
        <v>46236</v>
      </c>
      <c r="F680" t="inlineStr">
        <is>
          <t>GÄVLEBORGS LÄN</t>
        </is>
      </c>
      <c r="G680" t="inlineStr">
        <is>
          <t>NORDANSTIG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46050</v>
      </c>
      <c r="E681" s="1" t="n">
        <v>46236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45726</v>
      </c>
      <c r="E682" s="1" t="n">
        <v>46236</v>
      </c>
      <c r="F682" t="inlineStr">
        <is>
          <t>GÄVLEBORGS LÄN</t>
        </is>
      </c>
      <c r="G682" t="inlineStr">
        <is>
          <t>NORDANSTIG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46236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42796-2024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45566</v>
      </c>
      <c r="E684" s="1" t="n">
        <v>46236</v>
      </c>
      <c r="F684" t="inlineStr">
        <is>
          <t>GÄVLEBORGS LÄN</t>
        </is>
      </c>
      <c r="G684" t="inlineStr">
        <is>
          <t>NORDANSTIG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55523-2024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46236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46051</v>
      </c>
      <c r="E686" s="1" t="n">
        <v>46236</v>
      </c>
      <c r="F686" t="inlineStr">
        <is>
          <t>GÄVLEBORGS LÄN</t>
        </is>
      </c>
      <c r="G686" t="inlineStr">
        <is>
          <t>NORDANSTIG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49455-2024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45596</v>
      </c>
      <c r="E687" s="1" t="n">
        <v>46236</v>
      </c>
      <c r="F687" t="inlineStr">
        <is>
          <t>GÄVLEBORGS LÄN</t>
        </is>
      </c>
      <c r="G687" t="inlineStr">
        <is>
          <t>NORDANSTIG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46223</v>
      </c>
      <c r="E688" s="1" t="n">
        <v>46236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46236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6581-2022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44601</v>
      </c>
      <c r="E690" s="1" t="n">
        <v>46236</v>
      </c>
      <c r="F690" t="inlineStr">
        <is>
          <t>GÄVLEBORGS LÄN</t>
        </is>
      </c>
      <c r="G690" t="inlineStr">
        <is>
          <t>NORDANSTIG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46236</v>
      </c>
      <c r="F691" t="inlineStr">
        <is>
          <t>GÄVLEBORGS LÄN</t>
        </is>
      </c>
      <c r="G691" t="inlineStr">
        <is>
          <t>NORDANSTIG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46236</v>
      </c>
      <c r="F692" t="inlineStr">
        <is>
          <t>GÄVLEBORGS LÄN</t>
        </is>
      </c>
      <c r="G692" t="inlineStr">
        <is>
          <t>NORDANSTIG</t>
        </is>
      </c>
      <c r="I692" t="n">
        <v>10.2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45618</v>
      </c>
      <c r="E693" s="1" t="n">
        <v>46236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46236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46051</v>
      </c>
      <c r="E695" s="1" t="n">
        <v>46236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46236</v>
      </c>
      <c r="F696" t="inlineStr">
        <is>
          <t>GÄVLEBORGS LÄN</t>
        </is>
      </c>
      <c r="G696" t="inlineStr">
        <is>
          <t>NORDANSTIG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46236</v>
      </c>
      <c r="F697" t="inlineStr">
        <is>
          <t>GÄVLEBORGS LÄN</t>
        </is>
      </c>
      <c r="G697" t="inlineStr">
        <is>
          <t>NORDANSTIG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46179</v>
      </c>
      <c r="E698" s="1" t="n">
        <v>46236</v>
      </c>
      <c r="F698" t="inlineStr">
        <is>
          <t>GÄVLEBORGS LÄN</t>
        </is>
      </c>
      <c r="G698" t="inlineStr">
        <is>
          <t>NORDANSTIG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62646-2023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45271</v>
      </c>
      <c r="E699" s="1" t="n">
        <v>46236</v>
      </c>
      <c r="F699" t="inlineStr">
        <is>
          <t>GÄVLEBORGS LÄN</t>
        </is>
      </c>
      <c r="G699" t="inlineStr">
        <is>
          <t>NORDANSTIG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45642</v>
      </c>
      <c r="E700" s="1" t="n">
        <v>46236</v>
      </c>
      <c r="F700" t="inlineStr">
        <is>
          <t>GÄVLEBORGS LÄN</t>
        </is>
      </c>
      <c r="G700" t="inlineStr">
        <is>
          <t>NORDANSTIG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46178</v>
      </c>
      <c r="E701" s="1" t="n">
        <v>46236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45076</v>
      </c>
      <c r="E702" s="1" t="n">
        <v>46236</v>
      </c>
      <c r="F702" t="inlineStr">
        <is>
          <t>GÄVLEBORGS LÄN</t>
        </is>
      </c>
      <c r="G702" t="inlineStr">
        <is>
          <t>NORDANSTIG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7149-2022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44603</v>
      </c>
      <c r="E703" s="1" t="n">
        <v>46236</v>
      </c>
      <c r="F703" t="inlineStr">
        <is>
          <t>GÄVLEBORGS LÄN</t>
        </is>
      </c>
      <c r="G703" t="inlineStr">
        <is>
          <t>NORDANSTIG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46051</v>
      </c>
      <c r="E704" s="1" t="n">
        <v>46236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46236</v>
      </c>
      <c r="F705" t="inlineStr">
        <is>
          <t>GÄVLEBORGS LÄN</t>
        </is>
      </c>
      <c r="G705" t="inlineStr">
        <is>
          <t>NORDANSTIG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46236</v>
      </c>
      <c r="F706" t="inlineStr">
        <is>
          <t>GÄVLEBORGS LÄN</t>
        </is>
      </c>
      <c r="G706" t="inlineStr">
        <is>
          <t>NORDANSTIG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46236</v>
      </c>
      <c r="F707" t="inlineStr">
        <is>
          <t>GÄVLEBORGS LÄN</t>
        </is>
      </c>
      <c r="G707" t="inlineStr">
        <is>
          <t>NORDANSTIG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46053</v>
      </c>
      <c r="E708" s="1" t="n">
        <v>46236</v>
      </c>
      <c r="F708" t="inlineStr">
        <is>
          <t>GÄVLEBORGS LÄN</t>
        </is>
      </c>
      <c r="G708" t="inlineStr">
        <is>
          <t>NORDANSTIG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46053</v>
      </c>
      <c r="E709" s="1" t="n">
        <v>46236</v>
      </c>
      <c r="F709" t="inlineStr">
        <is>
          <t>GÄVLEBORGS LÄN</t>
        </is>
      </c>
      <c r="G709" t="inlineStr">
        <is>
          <t>NORDANSTIG</t>
        </is>
      </c>
      <c r="I709" t="n">
        <v>45.3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46056</v>
      </c>
      <c r="E710" s="1" t="n">
        <v>46236</v>
      </c>
      <c r="F710" t="inlineStr">
        <is>
          <t>GÄVLEBORGS LÄN</t>
        </is>
      </c>
      <c r="G710" t="inlineStr">
        <is>
          <t>NORDANSTIG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46226</v>
      </c>
      <c r="E711" s="1" t="n">
        <v>46236</v>
      </c>
      <c r="F711" t="inlineStr">
        <is>
          <t>GÄVLEBORGS LÄN</t>
        </is>
      </c>
      <c r="G711" t="inlineStr">
        <is>
          <t>NORDANSTIG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46236</v>
      </c>
      <c r="F712" t="inlineStr">
        <is>
          <t>GÄVLEBORGS LÄN</t>
        </is>
      </c>
      <c r="G712" t="inlineStr">
        <is>
          <t>NORDANSTIG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46236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46236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46236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46236</v>
      </c>
      <c r="F716" t="inlineStr">
        <is>
          <t>GÄVLEBORGS LÄN</t>
        </is>
      </c>
      <c r="G716" t="inlineStr">
        <is>
          <t>NORDANSTIG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6859-2026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46236</v>
      </c>
      <c r="F717" t="inlineStr">
        <is>
          <t>GÄVLEBORGS LÄN</t>
        </is>
      </c>
      <c r="G717" t="inlineStr">
        <is>
          <t>NORDANSTIG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32350-2022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44781</v>
      </c>
      <c r="E718" s="1" t="n">
        <v>46236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45170</v>
      </c>
      <c r="E719" s="1" t="n">
        <v>46236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62465-2021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44503</v>
      </c>
      <c r="E720" s="1" t="n">
        <v>46236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46236</v>
      </c>
      <c r="F721" t="inlineStr">
        <is>
          <t>GÄVLEBORGS LÄN</t>
        </is>
      </c>
      <c r="G721" t="inlineStr">
        <is>
          <t>NORDANSTIG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46236</v>
      </c>
      <c r="F722" t="inlineStr">
        <is>
          <t>GÄVLEBORGS LÄN</t>
        </is>
      </c>
      <c r="G722" t="inlineStr">
        <is>
          <t>NORDANSTIG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46236</v>
      </c>
      <c r="F723" t="inlineStr">
        <is>
          <t>GÄVLEBORGS LÄN</t>
        </is>
      </c>
      <c r="G723" t="inlineStr">
        <is>
          <t>NORDANSTIG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46236</v>
      </c>
      <c r="F724" t="inlineStr">
        <is>
          <t>GÄVLEBORGS LÄN</t>
        </is>
      </c>
      <c r="G724" t="inlineStr">
        <is>
          <t>NORDANSTIG</t>
        </is>
      </c>
      <c r="H724" t="inlineStr">
        <is>
          <t>SCA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21473-2023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45063</v>
      </c>
      <c r="E725" s="1" t="n">
        <v>46236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46062</v>
      </c>
      <c r="E726" s="1" t="n">
        <v>46236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45297</v>
      </c>
      <c r="E727" s="1" t="n">
        <v>46236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11113-2026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46079</v>
      </c>
      <c r="E728" s="1" t="n">
        <v>46236</v>
      </c>
      <c r="F728" t="inlineStr">
        <is>
          <t>GÄVLEBORGS LÄN</t>
        </is>
      </c>
      <c r="G728" t="inlineStr">
        <is>
          <t>NORDANSTIG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7685-2026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46062</v>
      </c>
      <c r="E729" s="1" t="n">
        <v>46236</v>
      </c>
      <c r="F729" t="inlineStr">
        <is>
          <t>GÄVLEBORGS LÄN</t>
        </is>
      </c>
      <c r="G729" t="inlineStr">
        <is>
          <t>NORDANSTIG</t>
        </is>
      </c>
      <c r="I729" t="n">
        <v>7.3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55948-2024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45623</v>
      </c>
      <c r="E730" s="1" t="n">
        <v>46236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54705-2024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45618</v>
      </c>
      <c r="E731" s="1" t="n">
        <v>46236</v>
      </c>
      <c r="F731" t="inlineStr">
        <is>
          <t>GÄVLEBORGS LÄN</t>
        </is>
      </c>
      <c r="G731" t="inlineStr">
        <is>
          <t>NORDANSTIG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46236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50.7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46062</v>
      </c>
      <c r="E733" s="1" t="n">
        <v>46236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35.4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46236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46062</v>
      </c>
      <c r="E735" s="1" t="n">
        <v>46236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7691-2026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46236</v>
      </c>
      <c r="F736" t="inlineStr">
        <is>
          <t>GÄVLEBORGS LÄN</t>
        </is>
      </c>
      <c r="G736" t="inlineStr">
        <is>
          <t>NORDANSTIG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45533</v>
      </c>
      <c r="E737" s="1" t="n">
        <v>46236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38332-2024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45545</v>
      </c>
      <c r="E738" s="1" t="n">
        <v>46236</v>
      </c>
      <c r="F738" t="inlineStr">
        <is>
          <t>GÄVLEBORGS LÄN</t>
        </is>
      </c>
      <c r="G738" t="inlineStr">
        <is>
          <t>NORDANSTIG</t>
        </is>
      </c>
      <c r="I738" t="n">
        <v>11.5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38346-2024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45545</v>
      </c>
      <c r="E739" s="1" t="n">
        <v>46236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18322-2024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45422</v>
      </c>
      <c r="E740" s="1" t="n">
        <v>46236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46236</v>
      </c>
      <c r="F741" t="inlineStr">
        <is>
          <t>GÄVLEBORGS LÄN</t>
        </is>
      </c>
      <c r="G741" t="inlineStr">
        <is>
          <t>NORDANSTIG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48636-2024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45593</v>
      </c>
      <c r="E742" s="1" t="n">
        <v>46236</v>
      </c>
      <c r="F742" t="inlineStr">
        <is>
          <t>GÄVLEBORGS LÄN</t>
        </is>
      </c>
      <c r="G742" t="inlineStr">
        <is>
          <t>NORDANSTIG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46236</v>
      </c>
      <c r="F743" t="inlineStr">
        <is>
          <t>GÄVLEBORGS LÄN</t>
        </is>
      </c>
      <c r="G743" t="inlineStr">
        <is>
          <t>NORDANSTIG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46064</v>
      </c>
      <c r="E744" s="1" t="n">
        <v>46236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7944-2026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46063</v>
      </c>
      <c r="E745" s="1" t="n">
        <v>46236</v>
      </c>
      <c r="F745" t="inlineStr">
        <is>
          <t>GÄVLEBORGS LÄN</t>
        </is>
      </c>
      <c r="G745" t="inlineStr">
        <is>
          <t>NORDANSTIG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8288-2026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46064</v>
      </c>
      <c r="E746" s="1" t="n">
        <v>46236</v>
      </c>
      <c r="F746" t="inlineStr">
        <is>
          <t>GÄVLEBORGS LÄN</t>
        </is>
      </c>
      <c r="G746" t="inlineStr">
        <is>
          <t>NORDANSTIG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46236</v>
      </c>
      <c r="F747" t="inlineStr">
        <is>
          <t>GÄVLEBORGS LÄN</t>
        </is>
      </c>
      <c r="G747" t="inlineStr">
        <is>
          <t>NORDANSTIG</t>
        </is>
      </c>
      <c r="I747" t="n">
        <v>10.5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46236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8281-2026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46064</v>
      </c>
      <c r="E749" s="1" t="n">
        <v>46236</v>
      </c>
      <c r="F749" t="inlineStr">
        <is>
          <t>GÄVLEBORGS LÄN</t>
        </is>
      </c>
      <c r="G749" t="inlineStr">
        <is>
          <t>NORDANSTIG</t>
        </is>
      </c>
      <c r="I749" t="n">
        <v>38.1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46064</v>
      </c>
      <c r="E750" s="1" t="n">
        <v>46236</v>
      </c>
      <c r="F750" t="inlineStr">
        <is>
          <t>GÄVLEBORGS LÄN</t>
        </is>
      </c>
      <c r="G750" t="inlineStr">
        <is>
          <t>NORDANSTIG</t>
        </is>
      </c>
      <c r="I750" t="n">
        <v>19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7928-2026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46236</v>
      </c>
      <c r="F751" t="inlineStr">
        <is>
          <t>GÄVLEBORGS LÄN</t>
        </is>
      </c>
      <c r="G751" t="inlineStr">
        <is>
          <t>NORDANSTIG</t>
        </is>
      </c>
      <c r="I751" t="n">
        <v>13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46236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46066</v>
      </c>
      <c r="E753" s="1" t="n">
        <v>46236</v>
      </c>
      <c r="F753" t="inlineStr">
        <is>
          <t>GÄVLEBORGS LÄN</t>
        </is>
      </c>
      <c r="G753" t="inlineStr">
        <is>
          <t>NORDANSTIG</t>
        </is>
      </c>
      <c r="H753" t="inlineStr">
        <is>
          <t>Naturvårdsverket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8711-2026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46236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8407-2026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46065</v>
      </c>
      <c r="E755" s="1" t="n">
        <v>46236</v>
      </c>
      <c r="F755" t="inlineStr">
        <is>
          <t>GÄVLEBORGS LÄN</t>
        </is>
      </c>
      <c r="G755" t="inlineStr">
        <is>
          <t>NORDANSTIG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32827-2023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45124</v>
      </c>
      <c r="E756" s="1" t="n">
        <v>46236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45539</v>
      </c>
      <c r="E757" s="1" t="n">
        <v>46236</v>
      </c>
      <c r="F757" t="inlineStr">
        <is>
          <t>GÄVLEBORGS LÄN</t>
        </is>
      </c>
      <c r="G757" t="inlineStr">
        <is>
          <t>NORDANSTIG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26700-2026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46236</v>
      </c>
      <c r="F758" t="inlineStr">
        <is>
          <t>GÄVLEBORGS LÄN</t>
        </is>
      </c>
      <c r="G758" t="inlineStr">
        <is>
          <t>NORDANSTIG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46227</v>
      </c>
      <c r="E759" s="1" t="n">
        <v>46236</v>
      </c>
      <c r="F759" t="inlineStr">
        <is>
          <t>GÄVLEBORGS LÄN</t>
        </is>
      </c>
      <c r="G759" t="inlineStr">
        <is>
          <t>NORDANSTIG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28697-2023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46236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46236</v>
      </c>
      <c r="F761" t="inlineStr">
        <is>
          <t>GÄVLEBORGS LÄN</t>
        </is>
      </c>
      <c r="G761" t="inlineStr">
        <is>
          <t>NORDANSTIG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44500-2024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46236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54685-2024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46236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46236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8541-2026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46065</v>
      </c>
      <c r="E765" s="1" t="n">
        <v>46236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46236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44009-2023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45188</v>
      </c>
      <c r="E767" s="1" t="n">
        <v>46236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45902</v>
      </c>
      <c r="E768" s="1" t="n">
        <v>46236</v>
      </c>
      <c r="F768" t="inlineStr">
        <is>
          <t>GÄVLEBORGS LÄN</t>
        </is>
      </c>
      <c r="G768" t="inlineStr">
        <is>
          <t>NORDANSTIG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46069</v>
      </c>
      <c r="E769" s="1" t="n">
        <v>46236</v>
      </c>
      <c r="F769" t="inlineStr">
        <is>
          <t>GÄVLEBORGS LÄN</t>
        </is>
      </c>
      <c r="G769" t="inlineStr">
        <is>
          <t>NORDANSTIG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45902</v>
      </c>
      <c r="E770" s="1" t="n">
        <v>46236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9122-2026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46236</v>
      </c>
      <c r="F771" t="inlineStr">
        <is>
          <t>GÄVLEBORGS LÄN</t>
        </is>
      </c>
      <c r="G771" t="inlineStr">
        <is>
          <t>NORDANSTIG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46236</v>
      </c>
      <c r="F772" t="inlineStr">
        <is>
          <t>GÄVLEBORGS LÄN</t>
        </is>
      </c>
      <c r="G772" t="inlineStr">
        <is>
          <t>NORDANSTIG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27149-2026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46236</v>
      </c>
      <c r="F773" t="inlineStr">
        <is>
          <t>GÄVLEBORGS LÄN</t>
        </is>
      </c>
      <c r="G773" t="inlineStr">
        <is>
          <t>NORDANSTIG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46236</v>
      </c>
      <c r="F774" t="inlineStr">
        <is>
          <t>GÄVLEBORGS LÄN</t>
        </is>
      </c>
      <c r="G774" t="inlineStr">
        <is>
          <t>NORDANSTIG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46236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73389-2021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44551</v>
      </c>
      <c r="E776" s="1" t="n">
        <v>46236</v>
      </c>
      <c r="F776" t="inlineStr">
        <is>
          <t>GÄVLEBORGS LÄN</t>
        </is>
      </c>
      <c r="G776" t="inlineStr">
        <is>
          <t>NORDANSTIG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45733</v>
      </c>
      <c r="E777" s="1" t="n">
        <v>46236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46070</v>
      </c>
      <c r="E778" s="1" t="n">
        <v>46236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8998-2026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46236</v>
      </c>
      <c r="F779" t="inlineStr">
        <is>
          <t>GÄVLEBORGS LÄN</t>
        </is>
      </c>
      <c r="G779" t="inlineStr">
        <is>
          <t>NORDANSTIG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44596</v>
      </c>
      <c r="E780" s="1" t="n">
        <v>46236</v>
      </c>
      <c r="F780" t="inlineStr">
        <is>
          <t>GÄVLEBORGS LÄN</t>
        </is>
      </c>
      <c r="G780" t="inlineStr">
        <is>
          <t>NORDANSTIG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46236</v>
      </c>
      <c r="F781" t="inlineStr">
        <is>
          <t>GÄVLEBORGS LÄN</t>
        </is>
      </c>
      <c r="G781" t="inlineStr">
        <is>
          <t>NORDANSTIG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46236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46236</v>
      </c>
      <c r="F783" t="inlineStr">
        <is>
          <t>GÄVLEBORGS LÄN</t>
        </is>
      </c>
      <c r="G783" t="inlineStr">
        <is>
          <t>NORDANSTIG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46236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46236</v>
      </c>
      <c r="F785" t="inlineStr">
        <is>
          <t>GÄVLEBORGS LÄN</t>
        </is>
      </c>
      <c r="G785" t="inlineStr">
        <is>
          <t>NORDANSTIG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10042-2025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45719</v>
      </c>
      <c r="E786" s="1" t="n">
        <v>46236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46236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57863-2024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45631</v>
      </c>
      <c r="E788" s="1" t="n">
        <v>46236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45631</v>
      </c>
      <c r="E789" s="1" t="n">
        <v>46236</v>
      </c>
      <c r="F789" t="inlineStr">
        <is>
          <t>GÄVLEBORGS LÄN</t>
        </is>
      </c>
      <c r="G789" t="inlineStr">
        <is>
          <t>NORDANSTIG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41616-2023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46236</v>
      </c>
      <c r="F790" t="inlineStr">
        <is>
          <t>GÄVLEBORGS LÄN</t>
        </is>
      </c>
      <c r="G790" t="inlineStr">
        <is>
          <t>NORDANSTIG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45173</v>
      </c>
      <c r="E791" s="1" t="n">
        <v>46236</v>
      </c>
      <c r="F791" t="inlineStr">
        <is>
          <t>GÄVLEBORGS LÄN</t>
        </is>
      </c>
      <c r="G791" t="inlineStr">
        <is>
          <t>NORDANSTIG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45170</v>
      </c>
      <c r="E792" s="1" t="n">
        <v>46236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46236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56733-2024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45628</v>
      </c>
      <c r="E794" s="1" t="n">
        <v>46236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13270-2022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44644</v>
      </c>
      <c r="E795" s="1" t="n">
        <v>46236</v>
      </c>
      <c r="F795" t="inlineStr">
        <is>
          <t>GÄVLEBORGS LÄN</t>
        </is>
      </c>
      <c r="G795" t="inlineStr">
        <is>
          <t>NORDANSTIG</t>
        </is>
      </c>
      <c r="I795" t="n">
        <v>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57977-2024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45631</v>
      </c>
      <c r="E796" s="1" t="n">
        <v>46236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31894-2026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46231</v>
      </c>
      <c r="E797" s="1" t="n">
        <v>46236</v>
      </c>
      <c r="F797" t="inlineStr">
        <is>
          <t>GÄVLEBORGS LÄN</t>
        </is>
      </c>
      <c r="G797" t="inlineStr">
        <is>
          <t>NORDANSTIG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44938</v>
      </c>
      <c r="E798" s="1" t="n">
        <v>46236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40261-2023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45169</v>
      </c>
      <c r="E799" s="1" t="n">
        <v>46236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45309</v>
      </c>
      <c r="E800" s="1" t="n">
        <v>46236</v>
      </c>
      <c r="F800" t="inlineStr">
        <is>
          <t>GÄVLEBORGS LÄN</t>
        </is>
      </c>
      <c r="G800" t="inlineStr">
        <is>
          <t>NORDANSTIG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45642</v>
      </c>
      <c r="E801" s="1" t="n">
        <v>46236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45701</v>
      </c>
      <c r="E802" s="1" t="n">
        <v>46236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6.9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46236</v>
      </c>
      <c r="F803" t="inlineStr">
        <is>
          <t>GÄVLEBORGS LÄN</t>
        </is>
      </c>
      <c r="G803" t="inlineStr">
        <is>
          <t>NORDANSTIG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46236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55477-2024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45622</v>
      </c>
      <c r="E805" s="1" t="n">
        <v>46236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45686</v>
      </c>
      <c r="E806" s="1" t="n">
        <v>46236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9425-2026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46071</v>
      </c>
      <c r="E807" s="1" t="n">
        <v>46236</v>
      </c>
      <c r="F807" t="inlineStr">
        <is>
          <t>GÄVLEBORGS LÄN</t>
        </is>
      </c>
      <c r="G807" t="inlineStr">
        <is>
          <t>NORDANSTIG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9650-2026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46072</v>
      </c>
      <c r="E808" s="1" t="n">
        <v>46236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46236</v>
      </c>
      <c r="F809" t="inlineStr">
        <is>
          <t>GÄVLEBORGS LÄN</t>
        </is>
      </c>
      <c r="G809" t="inlineStr">
        <is>
          <t>NORDANSTIG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45499</v>
      </c>
      <c r="E810" s="1" t="n">
        <v>46236</v>
      </c>
      <c r="F810" t="inlineStr">
        <is>
          <t>GÄVLEBORGS LÄN</t>
        </is>
      </c>
      <c r="G810" t="inlineStr">
        <is>
          <t>NORDANSTIG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60675-2024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46236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46236</v>
      </c>
      <c r="F812" t="inlineStr">
        <is>
          <t>GÄVLEBORGS LÄN</t>
        </is>
      </c>
      <c r="G812" t="inlineStr">
        <is>
          <t>NORDANSTIG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9969-2026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46236</v>
      </c>
      <c r="F813" t="inlineStr">
        <is>
          <t>GÄVLEBORGS LÄN</t>
        </is>
      </c>
      <c r="G813" t="inlineStr">
        <is>
          <t>NORDANSTIG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55498-2024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45622</v>
      </c>
      <c r="E814" s="1" t="n">
        <v>46236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46236</v>
      </c>
      <c r="F815" t="inlineStr">
        <is>
          <t>GÄVLEBORGS LÄN</t>
        </is>
      </c>
      <c r="G815" t="inlineStr">
        <is>
          <t>NORDANSTIG</t>
        </is>
      </c>
      <c r="I815" t="n">
        <v>7.8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9971-2026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46073</v>
      </c>
      <c r="E816" s="1" t="n">
        <v>46236</v>
      </c>
      <c r="F816" t="inlineStr">
        <is>
          <t>GÄVLEBORGS LÄN</t>
        </is>
      </c>
      <c r="G816" t="inlineStr">
        <is>
          <t>NORDANSTIG</t>
        </is>
      </c>
      <c r="I816" t="n">
        <v>7.5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7503-2022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44607</v>
      </c>
      <c r="E817" s="1" t="n">
        <v>46236</v>
      </c>
      <c r="F817" t="inlineStr">
        <is>
          <t>GÄVLEBORGS LÄN</t>
        </is>
      </c>
      <c r="G817" t="inlineStr">
        <is>
          <t>NORDANSTIG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46234</v>
      </c>
      <c r="E818" s="1" t="n">
        <v>46236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46236</v>
      </c>
      <c r="F819" t="inlineStr">
        <is>
          <t>GÄVLEBORGS LÄN</t>
        </is>
      </c>
      <c r="G819" t="inlineStr">
        <is>
          <t>NORDANSTIG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46236</v>
      </c>
      <c r="F820" t="inlineStr">
        <is>
          <t>GÄVLEBORGS LÄN</t>
        </is>
      </c>
      <c r="G820" t="inlineStr">
        <is>
          <t>NORDANSTIG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46236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46073</v>
      </c>
      <c r="E822" s="1" t="n">
        <v>46236</v>
      </c>
      <c r="F822" t="inlineStr">
        <is>
          <t>GÄVLEBORGS LÄN</t>
        </is>
      </c>
      <c r="G822" t="inlineStr">
        <is>
          <t>NORDANSTIG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10984-2026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46079</v>
      </c>
      <c r="E823" s="1" t="n">
        <v>46236</v>
      </c>
      <c r="F823" t="inlineStr">
        <is>
          <t>GÄVLEBORGS LÄN</t>
        </is>
      </c>
      <c r="G823" t="inlineStr">
        <is>
          <t>NORDANSTIG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47876-2023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45204</v>
      </c>
      <c r="E824" s="1" t="n">
        <v>46236</v>
      </c>
      <c r="F824" t="inlineStr">
        <is>
          <t>GÄVLEBORGS LÄN</t>
        </is>
      </c>
      <c r="G824" t="inlineStr">
        <is>
          <t>NORDANSTIG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38298-2024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45545</v>
      </c>
      <c r="E825" s="1" t="n">
        <v>46236</v>
      </c>
      <c r="F825" t="inlineStr">
        <is>
          <t>GÄVLEBORGS LÄN</t>
        </is>
      </c>
      <c r="G825" t="inlineStr">
        <is>
          <t>NORDANSTIG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51091-2024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45603</v>
      </c>
      <c r="E826" s="1" t="n">
        <v>46236</v>
      </c>
      <c r="F826" t="inlineStr">
        <is>
          <t>GÄVLEBORGS LÄN</t>
        </is>
      </c>
      <c r="G826" t="inlineStr">
        <is>
          <t>NORDANSTIG</t>
        </is>
      </c>
      <c r="H826" t="inlineStr">
        <is>
          <t>SCA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33478-2023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45131</v>
      </c>
      <c r="E827" s="1" t="n">
        <v>46236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46236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46080</v>
      </c>
      <c r="E829" s="1" t="n">
        <v>46236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53691-2024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45615</v>
      </c>
      <c r="E830" s="1" t="n">
        <v>46236</v>
      </c>
      <c r="F830" t="inlineStr">
        <is>
          <t>GÄVLEBORGS LÄN</t>
        </is>
      </c>
      <c r="G830" t="inlineStr">
        <is>
          <t>NORDANSTIG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48832-2022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44859</v>
      </c>
      <c r="E831" s="1" t="n">
        <v>46236</v>
      </c>
      <c r="F831" t="inlineStr">
        <is>
          <t>GÄVLEBORGS LÄN</t>
        </is>
      </c>
      <c r="G831" t="inlineStr">
        <is>
          <t>NORDANSTIG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59799-2022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44908</v>
      </c>
      <c r="E832" s="1" t="n">
        <v>46236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11614-2026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46236</v>
      </c>
      <c r="F833" t="inlineStr">
        <is>
          <t>GÄVLEBORGS LÄN</t>
        </is>
      </c>
      <c r="G833" t="inlineStr">
        <is>
          <t>NORDANSTIG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45671</v>
      </c>
      <c r="E834" s="1" t="n">
        <v>46236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11578-2026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46084</v>
      </c>
      <c r="E835" s="1" t="n">
        <v>46236</v>
      </c>
      <c r="F835" t="inlineStr">
        <is>
          <t>GÄVLEBORGS LÄN</t>
        </is>
      </c>
      <c r="G835" t="inlineStr">
        <is>
          <t>NORDANSTIG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11592-2026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46084</v>
      </c>
      <c r="E836" s="1" t="n">
        <v>46236</v>
      </c>
      <c r="F836" t="inlineStr">
        <is>
          <t>GÄVLEBORGS LÄN</t>
        </is>
      </c>
      <c r="G836" t="inlineStr">
        <is>
          <t>NORDANSTIG</t>
        </is>
      </c>
      <c r="I836" t="n">
        <v>8.6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46084</v>
      </c>
      <c r="E837" s="1" t="n">
        <v>46236</v>
      </c>
      <c r="F837" t="inlineStr">
        <is>
          <t>GÄVLEBORGS LÄN</t>
        </is>
      </c>
      <c r="G837" t="inlineStr">
        <is>
          <t>NORDANSTIG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5963-2025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45695</v>
      </c>
      <c r="E838" s="1" t="n">
        <v>46236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45537</v>
      </c>
      <c r="E839" s="1" t="n">
        <v>46236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59422-2022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44907</v>
      </c>
      <c r="E840" s="1" t="n">
        <v>46236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11581-2026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46236</v>
      </c>
      <c r="F841" t="inlineStr">
        <is>
          <t>GÄVLEBORGS LÄN</t>
        </is>
      </c>
      <c r="G841" t="inlineStr">
        <is>
          <t>NORDANSTIG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11586-2026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46084</v>
      </c>
      <c r="E842" s="1" t="n">
        <v>46236</v>
      </c>
      <c r="F842" t="inlineStr">
        <is>
          <t>GÄVLEBORGS LÄN</t>
        </is>
      </c>
      <c r="G842" t="inlineStr">
        <is>
          <t>NORDANSTIG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12334-2026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46087</v>
      </c>
      <c r="E843" s="1" t="n">
        <v>46236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12328-2026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46087</v>
      </c>
      <c r="E844" s="1" t="n">
        <v>46236</v>
      </c>
      <c r="F844" t="inlineStr">
        <is>
          <t>GÄVLEBORGS LÄN</t>
        </is>
      </c>
      <c r="G844" t="inlineStr">
        <is>
          <t>NORDANSTIG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46043</v>
      </c>
      <c r="E845" s="1" t="n">
        <v>46236</v>
      </c>
      <c r="F845" t="inlineStr">
        <is>
          <t>GÄVLEBORGS LÄN</t>
        </is>
      </c>
      <c r="G845" t="inlineStr">
        <is>
          <t>NORDANSTIG</t>
        </is>
      </c>
      <c r="I845" t="n">
        <v>14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46043</v>
      </c>
      <c r="E846" s="1" t="n">
        <v>46236</v>
      </c>
      <c r="F846" t="inlineStr">
        <is>
          <t>GÄVLEBORGS LÄN</t>
        </is>
      </c>
      <c r="G846" t="inlineStr">
        <is>
          <t>NORDANSTIG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12085-2026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46236</v>
      </c>
      <c r="F847" t="inlineStr">
        <is>
          <t>GÄVLEBORGS LÄN</t>
        </is>
      </c>
      <c r="G847" t="inlineStr">
        <is>
          <t>NORDANSTIG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58891-2024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46236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46299-2023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45197</v>
      </c>
      <c r="E849" s="1" t="n">
        <v>46236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72820-2021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44547</v>
      </c>
      <c r="E850" s="1" t="n">
        <v>46236</v>
      </c>
      <c r="F850" t="inlineStr">
        <is>
          <t>GÄVLEBORGS LÄN</t>
        </is>
      </c>
      <c r="G850" t="inlineStr">
        <is>
          <t>NORDANSTIG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46031</v>
      </c>
      <c r="E851" s="1" t="n">
        <v>46236</v>
      </c>
      <c r="F851" t="inlineStr">
        <is>
          <t>GÄVLEBORGS LÄN</t>
        </is>
      </c>
      <c r="G851" t="inlineStr">
        <is>
          <t>NORDANSTIG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12552-2026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46090</v>
      </c>
      <c r="E852" s="1" t="n">
        <v>46236</v>
      </c>
      <c r="F852" t="inlineStr">
        <is>
          <t>GÄVLEBORGS LÄN</t>
        </is>
      </c>
      <c r="G852" t="inlineStr">
        <is>
          <t>NORDANSTIG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38241-2024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45545</v>
      </c>
      <c r="E853" s="1" t="n">
        <v>46236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45639</v>
      </c>
      <c r="E854" s="1" t="n">
        <v>46236</v>
      </c>
      <c r="F854" t="inlineStr">
        <is>
          <t>GÄVLEBORGS LÄN</t>
        </is>
      </c>
      <c r="G854" t="inlineStr">
        <is>
          <t>NORDANSTIG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45691</v>
      </c>
      <c r="E855" s="1" t="n">
        <v>46236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46236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46236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12956-2026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46236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51740-2023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45222</v>
      </c>
      <c r="E859" s="1" t="n">
        <v>46236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51438-2023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45219</v>
      </c>
      <c r="E860" s="1" t="n">
        <v>46236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22547-2022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44713</v>
      </c>
      <c r="E861" s="1" t="n">
        <v>46236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38451-2024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46236</v>
      </c>
      <c r="F862" t="inlineStr">
        <is>
          <t>GÄVLEBORGS LÄN</t>
        </is>
      </c>
      <c r="G862" t="inlineStr">
        <is>
          <t>NORDANSTIG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55494-2024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45622</v>
      </c>
      <c r="E863" s="1" t="n">
        <v>46236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55531-2024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46236</v>
      </c>
      <c r="F864" t="inlineStr">
        <is>
          <t>GÄVLEBORGS LÄN</t>
        </is>
      </c>
      <c r="G864" t="inlineStr">
        <is>
          <t>NORDANSTIG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13218-2026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46236</v>
      </c>
      <c r="F865" t="inlineStr">
        <is>
          <t>GÄVLEBORGS LÄN</t>
        </is>
      </c>
      <c r="G865" t="inlineStr">
        <is>
          <t>NORDANSTIG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45551-2024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45579</v>
      </c>
      <c r="E866" s="1" t="n">
        <v>46236</v>
      </c>
      <c r="F866" t="inlineStr">
        <is>
          <t>GÄVLEBORGS LÄN</t>
        </is>
      </c>
      <c r="G866" t="inlineStr">
        <is>
          <t>NORDANSTIG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13647-2026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46097</v>
      </c>
      <c r="E867" s="1" t="n">
        <v>46236</v>
      </c>
      <c r="F867" t="inlineStr">
        <is>
          <t>GÄVLEBORGS LÄN</t>
        </is>
      </c>
      <c r="G867" t="inlineStr">
        <is>
          <t>NORDANSTIG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20512-2022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44699</v>
      </c>
      <c r="E868" s="1" t="n">
        <v>46236</v>
      </c>
      <c r="F868" t="inlineStr">
        <is>
          <t>GÄVLEBORGS LÄN</t>
        </is>
      </c>
      <c r="G868" t="inlineStr">
        <is>
          <t>NORDANSTIG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14244-2026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46099</v>
      </c>
      <c r="E869" s="1" t="n">
        <v>46236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17482-2022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44679</v>
      </c>
      <c r="E870" s="1" t="n">
        <v>46236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58162-2024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45632</v>
      </c>
      <c r="E871" s="1" t="n">
        <v>46236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Kyrkan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46098</v>
      </c>
      <c r="E872" s="1" t="n">
        <v>46236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17271-2022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44678</v>
      </c>
      <c r="E873" s="1" t="n">
        <v>46236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36025-2023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45149</v>
      </c>
      <c r="E874" s="1" t="n">
        <v>46236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46098</v>
      </c>
      <c r="E875" s="1" t="n">
        <v>46236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14267-2026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46099</v>
      </c>
      <c r="E876" s="1" t="n">
        <v>46236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46236</v>
      </c>
      <c r="F877" t="inlineStr">
        <is>
          <t>GÄVLEBORGS LÄN</t>
        </is>
      </c>
      <c r="G877" t="inlineStr">
        <is>
          <t>NORDANSTIG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46236</v>
      </c>
      <c r="F878" t="inlineStr">
        <is>
          <t>GÄVLEBORGS LÄN</t>
        </is>
      </c>
      <c r="G878" t="inlineStr">
        <is>
          <t>NORDANSTIG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50413-2023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45216</v>
      </c>
      <c r="E879" s="1" t="n">
        <v>46236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18529-2022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44686</v>
      </c>
      <c r="E880" s="1" t="n">
        <v>46236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46125</v>
      </c>
      <c r="E881" s="1" t="n">
        <v>46236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15009-2026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46104</v>
      </c>
      <c r="E882" s="1" t="n">
        <v>46236</v>
      </c>
      <c r="F882" t="inlineStr">
        <is>
          <t>GÄVLEBORGS LÄN</t>
        </is>
      </c>
      <c r="G882" t="inlineStr">
        <is>
          <t>NORDANSTIG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15010-2026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46236</v>
      </c>
      <c r="F883" t="inlineStr">
        <is>
          <t>GÄVLEBORGS LÄN</t>
        </is>
      </c>
      <c r="G883" t="inlineStr">
        <is>
          <t>NORDANSTIG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59930-2024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45642</v>
      </c>
      <c r="E884" s="1" t="n">
        <v>46236</v>
      </c>
      <c r="F884" t="inlineStr">
        <is>
          <t>GÄVLEBORGS LÄN</t>
        </is>
      </c>
      <c r="G884" t="inlineStr">
        <is>
          <t>NORDANSTIG</t>
        </is>
      </c>
      <c r="I884" t="n">
        <v>0.1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15746-2026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46107</v>
      </c>
      <c r="E885" s="1" t="n">
        <v>46236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6.5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58876-2024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45636</v>
      </c>
      <c r="E886" s="1" t="n">
        <v>46236</v>
      </c>
      <c r="F886" t="inlineStr">
        <is>
          <t>GÄVLEBORGS LÄN</t>
        </is>
      </c>
      <c r="G886" t="inlineStr">
        <is>
          <t>NORDANSTIG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32149-2024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45511</v>
      </c>
      <c r="E887" s="1" t="n">
        <v>46236</v>
      </c>
      <c r="F887" t="inlineStr">
        <is>
          <t>GÄVLEBORGS LÄN</t>
        </is>
      </c>
      <c r="G887" t="inlineStr">
        <is>
          <t>NORDANSTIG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16184-2026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46111</v>
      </c>
      <c r="E888" s="1" t="n">
        <v>46236</v>
      </c>
      <c r="F888" t="inlineStr">
        <is>
          <t>GÄVLEBORGS LÄN</t>
        </is>
      </c>
      <c r="G888" t="inlineStr">
        <is>
          <t>NORDANSTIG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30630-2022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44763</v>
      </c>
      <c r="E889" s="1" t="n">
        <v>46236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16291-2026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46111</v>
      </c>
      <c r="E890" s="1" t="n">
        <v>46236</v>
      </c>
      <c r="F890" t="inlineStr">
        <is>
          <t>GÄVLEBORGS LÄN</t>
        </is>
      </c>
      <c r="G890" t="inlineStr">
        <is>
          <t>NORDANSTIG</t>
        </is>
      </c>
      <c r="H890" t="inlineStr">
        <is>
          <t>Kommuner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28711-2022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44748</v>
      </c>
      <c r="E891" s="1" t="n">
        <v>46236</v>
      </c>
      <c r="F891" t="inlineStr">
        <is>
          <t>GÄVLEBORGS LÄN</t>
        </is>
      </c>
      <c r="G891" t="inlineStr">
        <is>
          <t>NORDANSTIG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14402-2025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45741</v>
      </c>
      <c r="E892" s="1" t="n">
        <v>46236</v>
      </c>
      <c r="F892" t="inlineStr">
        <is>
          <t>GÄVLEBORGS LÄN</t>
        </is>
      </c>
      <c r="G892" t="inlineStr">
        <is>
          <t>NORDANSTIG</t>
        </is>
      </c>
      <c r="I892" t="n">
        <v>17.1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16294-2026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46236</v>
      </c>
      <c r="F893" t="inlineStr">
        <is>
          <t>GÄVLEBORGS LÄN</t>
        </is>
      </c>
      <c r="G893" t="inlineStr">
        <is>
          <t>NORDANSTIG</t>
        </is>
      </c>
      <c r="H893" t="inlineStr">
        <is>
          <t>Kommuner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16293-2026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46111</v>
      </c>
      <c r="E894" s="1" t="n">
        <v>46236</v>
      </c>
      <c r="F894" t="inlineStr">
        <is>
          <t>GÄVLEBORGS LÄN</t>
        </is>
      </c>
      <c r="G894" t="inlineStr">
        <is>
          <t>NORDANSTIG</t>
        </is>
      </c>
      <c r="H894" t="inlineStr">
        <is>
          <t>Kommuner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16310-2026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46236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Kommuner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46236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42.1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16449-2026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46112</v>
      </c>
      <c r="E897" s="1" t="n">
        <v>46236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16528-2026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46236</v>
      </c>
      <c r="F898" t="inlineStr">
        <is>
          <t>GÄVLEBORGS LÄN</t>
        </is>
      </c>
      <c r="G898" t="inlineStr">
        <is>
          <t>NORDANSTIG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46236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16756-2026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46236</v>
      </c>
      <c r="F900" t="inlineStr">
        <is>
          <t>GÄVLEBORGS LÄN</t>
        </is>
      </c>
      <c r="G900" t="inlineStr">
        <is>
          <t>NORDANSTIG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36960-2023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45154</v>
      </c>
      <c r="E901" s="1" t="n">
        <v>46236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46236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16687-2026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46236</v>
      </c>
      <c r="F903" t="inlineStr">
        <is>
          <t>GÄVLEBORGS LÄN</t>
        </is>
      </c>
      <c r="G903" t="inlineStr">
        <is>
          <t>NORDANSTIG</t>
        </is>
      </c>
      <c r="I903" t="n">
        <v>6.3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30940-2022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44768</v>
      </c>
      <c r="E904" s="1" t="n">
        <v>46236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55002-2023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45236</v>
      </c>
      <c r="E905" s="1" t="n">
        <v>46236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SCA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17303-2026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46236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46118</v>
      </c>
      <c r="E907" s="1" t="n">
        <v>46236</v>
      </c>
      <c r="F907" t="inlineStr">
        <is>
          <t>GÄVLEBORGS LÄN</t>
        </is>
      </c>
      <c r="G907" t="inlineStr">
        <is>
          <t>NORDANSTIG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17286-2026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46236</v>
      </c>
      <c r="F908" t="inlineStr">
        <is>
          <t>GÄVLEBORGS LÄN</t>
        </is>
      </c>
      <c r="G908" t="inlineStr">
        <is>
          <t>NORDANSTIG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60398-2023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45259</v>
      </c>
      <c r="E909" s="1" t="n">
        <v>46236</v>
      </c>
      <c r="F909" t="inlineStr">
        <is>
          <t>GÄVLEBORGS LÄN</t>
        </is>
      </c>
      <c r="G909" t="inlineStr">
        <is>
          <t>NORDANSTIG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17281-2026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46236</v>
      </c>
      <c r="F910" t="inlineStr">
        <is>
          <t>GÄVLEBORGS LÄN</t>
        </is>
      </c>
      <c r="G910" t="inlineStr">
        <is>
          <t>NORDANSTIG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20876-2025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45777</v>
      </c>
      <c r="E911" s="1" t="n">
        <v>46236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46120</v>
      </c>
      <c r="E912" s="1" t="n">
        <v>46236</v>
      </c>
      <c r="F912" t="inlineStr">
        <is>
          <t>GÄVLEBORGS LÄN</t>
        </is>
      </c>
      <c r="G912" t="inlineStr">
        <is>
          <t>NORDANSTIG</t>
        </is>
      </c>
      <c r="I912" t="n">
        <v>16.3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17500-2026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46120</v>
      </c>
      <c r="E913" s="1" t="n">
        <v>46236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17492-2026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46120</v>
      </c>
      <c r="E914" s="1" t="n">
        <v>46236</v>
      </c>
      <c r="F914" t="inlineStr">
        <is>
          <t>GÄVLEBORGS LÄN</t>
        </is>
      </c>
      <c r="G914" t="inlineStr">
        <is>
          <t>NORDANSTIG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17498-2026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46120</v>
      </c>
      <c r="E915" s="1" t="n">
        <v>46236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17487-2026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46120</v>
      </c>
      <c r="E916" s="1" t="n">
        <v>46236</v>
      </c>
      <c r="F916" t="inlineStr">
        <is>
          <t>GÄVLEBORGS LÄN</t>
        </is>
      </c>
      <c r="G916" t="inlineStr">
        <is>
          <t>NORDANSTIG</t>
        </is>
      </c>
      <c r="I916" t="n">
        <v>9.800000000000001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17490-2026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46120</v>
      </c>
      <c r="E917" s="1" t="n">
        <v>46236</v>
      </c>
      <c r="F917" t="inlineStr">
        <is>
          <t>GÄVLEBORGS LÄN</t>
        </is>
      </c>
      <c r="G917" t="inlineStr">
        <is>
          <t>NORDANSTIG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17489-2026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46120</v>
      </c>
      <c r="E918" s="1" t="n">
        <v>46236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17872-2026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46122</v>
      </c>
      <c r="E919" s="1" t="n">
        <v>46236</v>
      </c>
      <c r="F919" t="inlineStr">
        <is>
          <t>GÄVLEBORGS LÄN</t>
        </is>
      </c>
      <c r="G919" t="inlineStr">
        <is>
          <t>NORDANSTIG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18030-2026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46125</v>
      </c>
      <c r="E920" s="1" t="n">
        <v>46236</v>
      </c>
      <c r="F920" t="inlineStr">
        <is>
          <t>GÄVLEBORGS LÄN</t>
        </is>
      </c>
      <c r="G920" t="inlineStr">
        <is>
          <t>NORDANSTIG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7916-2022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44608</v>
      </c>
      <c r="E921" s="1" t="n">
        <v>46236</v>
      </c>
      <c r="F921" t="inlineStr">
        <is>
          <t>GÄVLEBORGS LÄN</t>
        </is>
      </c>
      <c r="G921" t="inlineStr">
        <is>
          <t>NORDANSTIG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18153-2026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46236</v>
      </c>
      <c r="F922" t="inlineStr">
        <is>
          <t>GÄVLEBORGS LÄN</t>
        </is>
      </c>
      <c r="G922" t="inlineStr">
        <is>
          <t>NORDANSTIG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23369-2022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44720</v>
      </c>
      <c r="E923" s="1" t="n">
        <v>46236</v>
      </c>
      <c r="F923" t="inlineStr">
        <is>
          <t>GÄVLEBORGS LÄN</t>
        </is>
      </c>
      <c r="G923" t="inlineStr">
        <is>
          <t>NORDANSTIG</t>
        </is>
      </c>
      <c r="I923" t="n">
        <v>5.3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40269-2023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45169</v>
      </c>
      <c r="E924" s="1" t="n">
        <v>46236</v>
      </c>
      <c r="F924" t="inlineStr">
        <is>
          <t>GÄVLEBORGS LÄN</t>
        </is>
      </c>
      <c r="G924" t="inlineStr">
        <is>
          <t>NORDANSTIG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12216-2025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45729</v>
      </c>
      <c r="E925" s="1" t="n">
        <v>46236</v>
      </c>
      <c r="F925" t="inlineStr">
        <is>
          <t>GÄVLEBORGS LÄN</t>
        </is>
      </c>
      <c r="G925" t="inlineStr">
        <is>
          <t>NORDANSTIG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21725-2025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45783</v>
      </c>
      <c r="E926" s="1" t="n">
        <v>46236</v>
      </c>
      <c r="F926" t="inlineStr">
        <is>
          <t>GÄVLEBORGS LÄN</t>
        </is>
      </c>
      <c r="G926" t="inlineStr">
        <is>
          <t>NORDANSTIG</t>
        </is>
      </c>
      <c r="I926" t="n">
        <v>6.4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18716-2025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45763</v>
      </c>
      <c r="E927" s="1" t="n">
        <v>46236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7796-2026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46062</v>
      </c>
      <c r="E928" s="1" t="n">
        <v>46236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18236-2026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46126</v>
      </c>
      <c r="E929" s="1" t="n">
        <v>46236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18385-2026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46126</v>
      </c>
      <c r="E930" s="1" t="n">
        <v>46236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18707-2025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45763</v>
      </c>
      <c r="E931" s="1" t="n">
        <v>46236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12389-2023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44999</v>
      </c>
      <c r="E932" s="1" t="n">
        <v>46236</v>
      </c>
      <c r="F932" t="inlineStr">
        <is>
          <t>GÄVLEBORGS LÄN</t>
        </is>
      </c>
      <c r="G932" t="inlineStr">
        <is>
          <t>NORDANSTIG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21928-2025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45784</v>
      </c>
      <c r="E933" s="1" t="n">
        <v>46236</v>
      </c>
      <c r="F933" t="inlineStr">
        <is>
          <t>GÄVLEBORGS LÄN</t>
        </is>
      </c>
      <c r="G933" t="inlineStr">
        <is>
          <t>NORDANSTIG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47762-2021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44448</v>
      </c>
      <c r="E934" s="1" t="n">
        <v>46236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18282-2026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46126</v>
      </c>
      <c r="E935" s="1" t="n">
        <v>46236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43.6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46236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41620-2023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45175</v>
      </c>
      <c r="E937" s="1" t="n">
        <v>46236</v>
      </c>
      <c r="F937" t="inlineStr">
        <is>
          <t>GÄVLEBORGS LÄN</t>
        </is>
      </c>
      <c r="G937" t="inlineStr">
        <is>
          <t>NORDANSTIG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20577-2025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45775</v>
      </c>
      <c r="E938" s="1" t="n">
        <v>46236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30879-2024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45498</v>
      </c>
      <c r="E939" s="1" t="n">
        <v>46236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25200-2022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44729</v>
      </c>
      <c r="E940" s="1" t="n">
        <v>46236</v>
      </c>
      <c r="F940" t="inlineStr">
        <is>
          <t>GÄVLEBORGS LÄN</t>
        </is>
      </c>
      <c r="G940" t="inlineStr">
        <is>
          <t>NORDANSTIG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18445-2025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45762</v>
      </c>
      <c r="E941" s="1" t="n">
        <v>46236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18531-2026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46127</v>
      </c>
      <c r="E942" s="1" t="n">
        <v>46236</v>
      </c>
      <c r="F942" t="inlineStr">
        <is>
          <t>GÄVLEBORGS LÄN</t>
        </is>
      </c>
      <c r="G942" t="inlineStr">
        <is>
          <t>NORDANSTIG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44446-2023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45189</v>
      </c>
      <c r="E943" s="1" t="n">
        <v>46236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19682-2026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46236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19679-2026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46134</v>
      </c>
      <c r="E945" s="1" t="n">
        <v>46236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19367-2026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46236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32470-2023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45120</v>
      </c>
      <c r="E947" s="1" t="n">
        <v>46236</v>
      </c>
      <c r="F947" t="inlineStr">
        <is>
          <t>GÄVLEBORGS LÄN</t>
        </is>
      </c>
      <c r="G947" t="inlineStr">
        <is>
          <t>NORDANSTIG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31899-2022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44777</v>
      </c>
      <c r="E948" s="1" t="n">
        <v>46236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37295-2022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44808</v>
      </c>
      <c r="E949" s="1" t="n">
        <v>46236</v>
      </c>
      <c r="F949" t="inlineStr">
        <is>
          <t>GÄVLEBORGS LÄN</t>
        </is>
      </c>
      <c r="G949" t="inlineStr">
        <is>
          <t>NORDANSTIG</t>
        </is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45313</v>
      </c>
      <c r="E950" s="1" t="n">
        <v>46236</v>
      </c>
      <c r="F950" t="inlineStr">
        <is>
          <t>GÄVLEBORGS LÄN</t>
        </is>
      </c>
      <c r="G950" t="inlineStr">
        <is>
          <t>NORDANSTIG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44595</v>
      </c>
      <c r="E951" s="1" t="n">
        <v>46236</v>
      </c>
      <c r="F951" t="inlineStr">
        <is>
          <t>GÄVLEBORGS LÄN</t>
        </is>
      </c>
      <c r="G951" t="inlineStr">
        <is>
          <t>NORDANSTIG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19896-2025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45771</v>
      </c>
      <c r="E952" s="1" t="n">
        <v>46236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37972-2022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46236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37986-2022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44811</v>
      </c>
      <c r="E954" s="1" t="n">
        <v>46236</v>
      </c>
      <c r="F954" t="inlineStr">
        <is>
          <t>GÄVLEBORGS LÄN</t>
        </is>
      </c>
      <c r="G954" t="inlineStr">
        <is>
          <t>NORDANSTIG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20019-2026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46136</v>
      </c>
      <c r="E955" s="1" t="n">
        <v>46236</v>
      </c>
      <c r="F955" t="inlineStr">
        <is>
          <t>GÄVLEBORGS LÄN</t>
        </is>
      </c>
      <c r="G955" t="inlineStr">
        <is>
          <t>NORDANSTIG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22310-2025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45786</v>
      </c>
      <c r="E956" s="1" t="n">
        <v>46236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27.9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35070-2022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44797</v>
      </c>
      <c r="E957" s="1" t="n">
        <v>46236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19898-2026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46135</v>
      </c>
      <c r="E958" s="1" t="n">
        <v>46236</v>
      </c>
      <c r="F958" t="inlineStr">
        <is>
          <t>GÄVLEBORGS LÄN</t>
        </is>
      </c>
      <c r="G958" t="inlineStr">
        <is>
          <t>NORDANSTIG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46111-2023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45196</v>
      </c>
      <c r="E959" s="1" t="n">
        <v>46236</v>
      </c>
      <c r="F959" t="inlineStr">
        <is>
          <t>GÄVLEBORGS LÄN</t>
        </is>
      </c>
      <c r="G959" t="inlineStr">
        <is>
          <t>NORDANSTIG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19970-2026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46236</v>
      </c>
      <c r="F960" t="inlineStr">
        <is>
          <t>GÄVLEBORGS LÄN</t>
        </is>
      </c>
      <c r="G960" t="inlineStr">
        <is>
          <t>NORDANSTIG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55026-2022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44886</v>
      </c>
      <c r="E961" s="1" t="n">
        <v>46236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55120-2022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44886</v>
      </c>
      <c r="E962" s="1" t="n">
        <v>46236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8.4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67879-2021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44525</v>
      </c>
      <c r="E963" s="1" t="n">
        <v>46236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16659-2026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46112</v>
      </c>
      <c r="E964" s="1" t="n">
        <v>46236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6820-2023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44967</v>
      </c>
      <c r="E965" s="1" t="n">
        <v>46236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16616-2025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45754</v>
      </c>
      <c r="E966" s="1" t="n">
        <v>46236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32622-2022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44783</v>
      </c>
      <c r="E967" s="1" t="n">
        <v>46236</v>
      </c>
      <c r="F967" t="inlineStr">
        <is>
          <t>GÄVLEBORGS LÄN</t>
        </is>
      </c>
      <c r="G967" t="inlineStr">
        <is>
          <t>NORDANSTIG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20532-2026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46236</v>
      </c>
      <c r="F968" t="inlineStr">
        <is>
          <t>GÄVLEBORGS LÄN</t>
        </is>
      </c>
      <c r="G968" t="inlineStr">
        <is>
          <t>NORDANSTIG</t>
        </is>
      </c>
      <c r="I968" t="n">
        <v>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46236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15226-2023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45019</v>
      </c>
      <c r="E970" s="1" t="n">
        <v>46236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22319-2025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45786</v>
      </c>
      <c r="E971" s="1" t="n">
        <v>46236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46236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7436-2024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45345</v>
      </c>
      <c r="E973" s="1" t="n">
        <v>46236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62.5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7460-2024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45345</v>
      </c>
      <c r="E974" s="1" t="n">
        <v>46236</v>
      </c>
      <c r="F974" t="inlineStr">
        <is>
          <t>GÄVLEBORGS LÄN</t>
        </is>
      </c>
      <c r="G974" t="inlineStr">
        <is>
          <t>NORDANSTIG</t>
        </is>
      </c>
      <c r="I974" t="n">
        <v>10.8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56586-2023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45243</v>
      </c>
      <c r="E975" s="1" t="n">
        <v>46236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23122-2025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45791</v>
      </c>
      <c r="E976" s="1" t="n">
        <v>46236</v>
      </c>
      <c r="F976" t="inlineStr">
        <is>
          <t>GÄVLEBORGS LÄN</t>
        </is>
      </c>
      <c r="G976" t="inlineStr">
        <is>
          <t>NORDANSTIG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17678-2025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45758</v>
      </c>
      <c r="E977" s="1" t="n">
        <v>46236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51250-2022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44868</v>
      </c>
      <c r="E978" s="1" t="n">
        <v>46236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23623-2025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46236</v>
      </c>
      <c r="F979" t="inlineStr">
        <is>
          <t>GÄVLEBORGS LÄN</t>
        </is>
      </c>
      <c r="G979" t="inlineStr">
        <is>
          <t>NORDANSTIG</t>
        </is>
      </c>
      <c r="I979" t="n">
        <v>12.9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15088-2024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45399</v>
      </c>
      <c r="E980" s="1" t="n">
        <v>46236</v>
      </c>
      <c r="F980" t="inlineStr">
        <is>
          <t>GÄVLEBORGS LÄN</t>
        </is>
      </c>
      <c r="G980" t="inlineStr">
        <is>
          <t>NORDANSTIG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23154-2025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45791</v>
      </c>
      <c r="E981" s="1" t="n">
        <v>46236</v>
      </c>
      <c r="F981" t="inlineStr">
        <is>
          <t>GÄVLEBORGS LÄN</t>
        </is>
      </c>
      <c r="G981" t="inlineStr">
        <is>
          <t>NORDANSTIG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20137-2023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45055</v>
      </c>
      <c r="E982" s="1" t="n">
        <v>46236</v>
      </c>
      <c r="F982" t="inlineStr">
        <is>
          <t>GÄVLEBORGS LÄN</t>
        </is>
      </c>
      <c r="G982" t="inlineStr">
        <is>
          <t>NORDANSTIG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54803-2023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45236</v>
      </c>
      <c r="E983" s="1" t="n">
        <v>46236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33414-2022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44788</v>
      </c>
      <c r="E984" s="1" t="n">
        <v>46236</v>
      </c>
      <c r="F984" t="inlineStr">
        <is>
          <t>GÄVLEBORGS LÄN</t>
        </is>
      </c>
      <c r="G984" t="inlineStr">
        <is>
          <t>NORDANSTIG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46236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45429</v>
      </c>
      <c r="E986" s="1" t="n">
        <v>46236</v>
      </c>
      <c r="F986" t="inlineStr">
        <is>
          <t>GÄVLEBORGS LÄN</t>
        </is>
      </c>
      <c r="G986" t="inlineStr">
        <is>
          <t>NORDANSTIG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35765-2024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45532</v>
      </c>
      <c r="E987" s="1" t="n">
        <v>46236</v>
      </c>
      <c r="F987" t="inlineStr">
        <is>
          <t>GÄVLEBORGS LÄN</t>
        </is>
      </c>
      <c r="G987" t="inlineStr">
        <is>
          <t>NORDANSTIG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46236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23993-2025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46236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41.3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45793</v>
      </c>
      <c r="E990" s="1" t="n">
        <v>46236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43523-2024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45569</v>
      </c>
      <c r="E991" s="1" t="n">
        <v>46236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45312-2023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45191</v>
      </c>
      <c r="E992" s="1" t="n">
        <v>46236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18479-2024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45425</v>
      </c>
      <c r="E993" s="1" t="n">
        <v>46236</v>
      </c>
      <c r="F993" t="inlineStr">
        <is>
          <t>GÄVLEBORGS LÄN</t>
        </is>
      </c>
      <c r="G993" t="inlineStr">
        <is>
          <t>NORDANSTIG</t>
        </is>
      </c>
      <c r="I993" t="n">
        <v>7.6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23788-2025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46236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59912-2024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45641</v>
      </c>
      <c r="E995" s="1" t="n">
        <v>46236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46236</v>
      </c>
      <c r="F996" t="inlineStr">
        <is>
          <t>GÄVLEBORGS LÄN</t>
        </is>
      </c>
      <c r="G996" t="inlineStr">
        <is>
          <t>NORDANSTIG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25723-2024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45463</v>
      </c>
      <c r="E997" s="1" t="n">
        <v>46236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44965</v>
      </c>
      <c r="E998" s="1" t="n">
        <v>46236</v>
      </c>
      <c r="F998" t="inlineStr">
        <is>
          <t>GÄVLEBORGS LÄN</t>
        </is>
      </c>
      <c r="G998" t="inlineStr">
        <is>
          <t>NORDANSTIG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35741-2024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46236</v>
      </c>
      <c r="F999" t="inlineStr">
        <is>
          <t>GÄVLEBORGS LÄN</t>
        </is>
      </c>
      <c r="G999" t="inlineStr">
        <is>
          <t>NORDANSTIG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37294-2024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46236</v>
      </c>
      <c r="F1000" t="inlineStr">
        <is>
          <t>GÄVLEBORGS LÄN</t>
        </is>
      </c>
      <c r="G1000" t="inlineStr">
        <is>
          <t>NORDANSTIG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14961-2025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45743</v>
      </c>
      <c r="E1001" s="1" t="n">
        <v>46236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47238-2024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45586</v>
      </c>
      <c r="E1002" s="1" t="n">
        <v>46236</v>
      </c>
      <c r="F1002" t="inlineStr">
        <is>
          <t>GÄVLEBORGS LÄN</t>
        </is>
      </c>
      <c r="G1002" t="inlineStr">
        <is>
          <t>NORDANSTIG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46236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24938-2025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45799</v>
      </c>
      <c r="E1004" s="1" t="n">
        <v>46236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30.1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25080-2025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45799</v>
      </c>
      <c r="E1005" s="1" t="n">
        <v>46236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25468-2025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45802</v>
      </c>
      <c r="E1006" s="1" t="n">
        <v>46236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25467-2025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45802</v>
      </c>
      <c r="E1007" s="1" t="n">
        <v>46236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46236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6.4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44953</v>
      </c>
      <c r="E1009" s="1" t="n">
        <v>46236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1526-2024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45306</v>
      </c>
      <c r="E1010" s="1" t="n">
        <v>46236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52120-2022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44873</v>
      </c>
      <c r="E1011" s="1" t="n">
        <v>46236</v>
      </c>
      <c r="F1011" t="inlineStr">
        <is>
          <t>GÄVLEBORGS LÄN</t>
        </is>
      </c>
      <c r="G1011" t="inlineStr">
        <is>
          <t>NORDANSTIG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5475-2023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46236</v>
      </c>
      <c r="F1012" t="inlineStr">
        <is>
          <t>GÄVLEBORGS LÄN</t>
        </is>
      </c>
      <c r="G1012" t="inlineStr">
        <is>
          <t>NORDANSTIG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46236</v>
      </c>
      <c r="F1013" t="inlineStr">
        <is>
          <t>GÄVLEBORGS LÄN</t>
        </is>
      </c>
      <c r="G1013" t="inlineStr">
        <is>
          <t>NORDANSTIG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46236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14051-2025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46236</v>
      </c>
      <c r="F1015" t="inlineStr">
        <is>
          <t>GÄVLEBORGS LÄN</t>
        </is>
      </c>
      <c r="G1015" t="inlineStr">
        <is>
          <t>NORDANSTIG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46236</v>
      </c>
      <c r="F1016" t="inlineStr">
        <is>
          <t>GÄVLEBORGS LÄN</t>
        </is>
      </c>
      <c r="G1016" t="inlineStr">
        <is>
          <t>NORDANSTIG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27203-2025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45812</v>
      </c>
      <c r="E1017" s="1" t="n">
        <v>46236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61418-2024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45646</v>
      </c>
      <c r="E1018" s="1" t="n">
        <v>46236</v>
      </c>
      <c r="F1018" t="inlineStr">
        <is>
          <t>GÄVLEBORGS LÄN</t>
        </is>
      </c>
      <c r="G1018" t="inlineStr">
        <is>
          <t>NORDANSTIG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71442-2021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44540</v>
      </c>
      <c r="E1019" s="1" t="n">
        <v>46236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27447-2025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45813</v>
      </c>
      <c r="E1020" s="1" t="n">
        <v>46236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411-2025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45663</v>
      </c>
      <c r="E1021" s="1" t="n">
        <v>46236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46236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27841-2025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46236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46236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29275-2025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45824</v>
      </c>
      <c r="E1025" s="1" t="n">
        <v>46236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29878-2025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45826</v>
      </c>
      <c r="E1026" s="1" t="n">
        <v>46236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30022-2025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45826</v>
      </c>
      <c r="E1027" s="1" t="n">
        <v>46236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29741-2025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46236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30291-2025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45827</v>
      </c>
      <c r="E1029" s="1" t="n">
        <v>46236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46236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46236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45832</v>
      </c>
      <c r="E1032" s="1" t="n">
        <v>46236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32092-2025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46236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32105-2025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46236</v>
      </c>
      <c r="F1034" t="inlineStr">
        <is>
          <t>GÄVLEBORGS LÄN</t>
        </is>
      </c>
      <c r="G1034" t="inlineStr">
        <is>
          <t>NORDANSTIG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32082-2025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45835</v>
      </c>
      <c r="E1035" s="1" t="n">
        <v>46236</v>
      </c>
      <c r="F1035" t="inlineStr">
        <is>
          <t>GÄVLEBORGS LÄN</t>
        </is>
      </c>
      <c r="G1035" t="inlineStr">
        <is>
          <t>NORDANSTIG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46236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40104-2024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45554</v>
      </c>
      <c r="E1037" s="1" t="n">
        <v>46236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32736-2025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45839</v>
      </c>
      <c r="E1038" s="1" t="n">
        <v>46236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33355-2025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45841</v>
      </c>
      <c r="E1039" s="1" t="n">
        <v>46236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33339-2025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46236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33532-2025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45841</v>
      </c>
      <c r="E1041" s="1" t="n">
        <v>46236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34311-2025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46236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34342-2025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45846</v>
      </c>
      <c r="E1043" s="1" t="n">
        <v>46236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34728-2025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46236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45848</v>
      </c>
      <c r="E1045" s="1" t="n">
        <v>46236</v>
      </c>
      <c r="F1045" t="inlineStr">
        <is>
          <t>GÄVLEBORGS LÄN</t>
        </is>
      </c>
      <c r="G1045" t="inlineStr">
        <is>
          <t>NORDANSTIG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34694-2025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45848</v>
      </c>
      <c r="E1046" s="1" t="n">
        <v>46236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45695</v>
      </c>
      <c r="E1047" s="1" t="n">
        <v>46236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45860</v>
      </c>
      <c r="E1048" s="1" t="n">
        <v>46236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35652-2025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45859</v>
      </c>
      <c r="E1049" s="1" t="n">
        <v>46236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45860</v>
      </c>
      <c r="E1050" s="1" t="n">
        <v>46236</v>
      </c>
      <c r="F1050" t="inlineStr">
        <is>
          <t>GÄVLEBORGS LÄN</t>
        </is>
      </c>
      <c r="G1050" t="inlineStr">
        <is>
          <t>NORDANSTIG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37728-2025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45880</v>
      </c>
      <c r="E1051" s="1" t="n">
        <v>46236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37848-2025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45881</v>
      </c>
      <c r="E1052" s="1" t="n">
        <v>46236</v>
      </c>
      <c r="F1052" t="inlineStr">
        <is>
          <t>GÄVLEBORGS LÄN</t>
        </is>
      </c>
      <c r="G1052" t="inlineStr">
        <is>
          <t>NORDANSTIG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38091-2025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45882</v>
      </c>
      <c r="E1053" s="1" t="n">
        <v>46236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46236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46236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46236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46236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2026-08-02T01:52:46Z</dcterms:created>
  <dcterms:modified xmlns:dcterms="http://purl.org/dc/terms/" xmlns:xsi="http://www.w3.org/2001/XMLSchema-instance" xsi:type="dcterms:W3CDTF">2026-08-02T01:52:47Z</dcterms:modified>
</cp:coreProperties>
</file>