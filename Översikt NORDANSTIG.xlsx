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45973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45973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45973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45973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45973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45973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45973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13026-2022</t>
        </is>
      </c>
      <c r="B13" s="1" t="n">
        <v>44643</v>
      </c>
      <c r="C13" s="1" t="n">
        <v>45973</v>
      </c>
      <c r="D13" t="inlineStr">
        <is>
          <t>GÄVLEBORGS LÄN</t>
        </is>
      </c>
      <c r="E13" t="inlineStr">
        <is>
          <t>NORDANSTIG</t>
        </is>
      </c>
      <c r="G13" t="n">
        <v>17.3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Talltita</t>
        </is>
      </c>
      <c r="S13">
        <f>HYPERLINK("https://klasma.github.io/Logging_2132/artfynd/A 13026-2022 artfynd.xlsx", "A 13026-2022")</f>
        <v/>
      </c>
      <c r="T13">
        <f>HYPERLINK("https://klasma.github.io/Logging_2132/kartor/A 13026-2022 karta.png", "A 13026-2022")</f>
        <v/>
      </c>
      <c r="V13">
        <f>HYPERLINK("https://klasma.github.io/Logging_2132/klagomål/A 13026-2022 FSC-klagomål.docx", "A 13026-2022")</f>
        <v/>
      </c>
      <c r="W13">
        <f>HYPERLINK("https://klasma.github.io/Logging_2132/klagomålsmail/A 13026-2022 FSC-klagomål mail.docx", "A 13026-2022")</f>
        <v/>
      </c>
      <c r="X13">
        <f>HYPERLINK("https://klasma.github.io/Logging_2132/tillsyn/A 13026-2022 tillsynsbegäran.docx", "A 13026-2022")</f>
        <v/>
      </c>
      <c r="Y13">
        <f>HYPERLINK("https://klasma.github.io/Logging_2132/tillsynsmail/A 13026-2022 tillsynsbegäran mail.docx", "A 13026-2022")</f>
        <v/>
      </c>
      <c r="Z13">
        <f>HYPERLINK("https://klasma.github.io/Logging_2132/fåglar/A 13026-2022 prioriterade fågelarter.docx", "A 13026-2022")</f>
        <v/>
      </c>
    </row>
    <row r="14" ht="15" customHeight="1">
      <c r="A14" t="inlineStr">
        <is>
          <t>A 31053-2024</t>
        </is>
      </c>
      <c r="B14" s="1" t="n">
        <v>45502.36028935185</v>
      </c>
      <c r="C14" s="1" t="n">
        <v>45973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Fläcknycklar</t>
        </is>
      </c>
      <c r="S14">
        <f>HYPERLINK("https://klasma.github.io/Logging_2132/artfynd/A 31053-2024 artfynd.xlsx", "A 31053-2024")</f>
        <v/>
      </c>
      <c r="T14">
        <f>HYPERLINK("https://klasma.github.io/Logging_2132/kartor/A 31053-2024 karta.png", "A 31053-2024")</f>
        <v/>
      </c>
      <c r="V14">
        <f>HYPERLINK("https://klasma.github.io/Logging_2132/klagomål/A 31053-2024 FSC-klagomål.docx", "A 31053-2024")</f>
        <v/>
      </c>
      <c r="W14">
        <f>HYPERLINK("https://klasma.github.io/Logging_2132/klagomålsmail/A 31053-2024 FSC-klagomål mail.docx", "A 31053-2024")</f>
        <v/>
      </c>
      <c r="X14">
        <f>HYPERLINK("https://klasma.github.io/Logging_2132/tillsyn/A 31053-2024 tillsynsbegäran.docx", "A 31053-2024")</f>
        <v/>
      </c>
      <c r="Y14">
        <f>HYPERLINK("https://klasma.github.io/Logging_2132/tillsynsmail/A 31053-2024 tillsynsbegäran mail.docx", "A 31053-2024")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45973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45973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45973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45973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45973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45973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45973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28822-2024</t>
        </is>
      </c>
      <c r="B22" s="1" t="n">
        <v>45478</v>
      </c>
      <c r="C22" s="1" t="n">
        <v>45973</v>
      </c>
      <c r="D22" t="inlineStr">
        <is>
          <t>GÄVLEBORGS LÄN</t>
        </is>
      </c>
      <c r="E22" t="inlineStr">
        <is>
          <t>NORDANSTIG</t>
        </is>
      </c>
      <c r="G22" t="n">
        <v>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Aspgelélav</t>
        </is>
      </c>
      <c r="S22">
        <f>HYPERLINK("https://klasma.github.io/Logging_2132/artfynd/A 28822-2024 artfynd.xlsx", "A 28822-2024")</f>
        <v/>
      </c>
      <c r="T22">
        <f>HYPERLINK("https://klasma.github.io/Logging_2132/kartor/A 28822-2024 karta.png", "A 28822-2024")</f>
        <v/>
      </c>
      <c r="V22">
        <f>HYPERLINK("https://klasma.github.io/Logging_2132/klagomål/A 28822-2024 FSC-klagomål.docx", "A 28822-2024")</f>
        <v/>
      </c>
      <c r="W22">
        <f>HYPERLINK("https://klasma.github.io/Logging_2132/klagomålsmail/A 28822-2024 FSC-klagomål mail.docx", "A 28822-2024")</f>
        <v/>
      </c>
      <c r="X22">
        <f>HYPERLINK("https://klasma.github.io/Logging_2132/tillsyn/A 28822-2024 tillsynsbegäran.docx", "A 28822-2024")</f>
        <v/>
      </c>
      <c r="Y22">
        <f>HYPERLINK("https://klasma.github.io/Logging_2132/tillsynsmail/A 28822-2024 tillsynsbegäran mail.docx", "A 28822-2024")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45973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45973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45973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45973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45973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45973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45973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45973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45973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45973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45973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45973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45973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45973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45973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45973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45973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45973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45973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45973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45973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45973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45973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45973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45973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45973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45973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45973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45973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45973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45973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30817-2022</t>
        </is>
      </c>
      <c r="B54" s="1" t="n">
        <v>44765.52855324074</v>
      </c>
      <c r="C54" s="1" t="n">
        <v>45973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45973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7183-2022</t>
        </is>
      </c>
      <c r="B56" s="1" t="n">
        <v>44605</v>
      </c>
      <c r="C56" s="1" t="n">
        <v>45973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45973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45973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45973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45973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45973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45973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45973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45973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45973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45973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48080-2022</t>
        </is>
      </c>
      <c r="B67" s="1" t="n">
        <v>44855</v>
      </c>
      <c r="C67" s="1" t="n">
        <v>45973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45973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45973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45973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45973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45973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45973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45973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45973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45973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45973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45973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45973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59213-2020</t>
        </is>
      </c>
      <c r="B80" s="1" t="n">
        <v>44147</v>
      </c>
      <c r="C80" s="1" t="n">
        <v>45973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45973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45973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45973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45973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45973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45973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69086-2020</t>
        </is>
      </c>
      <c r="B87" s="1" t="n">
        <v>44188.50596064814</v>
      </c>
      <c r="C87" s="1" t="n">
        <v>45973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45973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45973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45973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45973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45973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45973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45973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45973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45973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45973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45973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45973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67931-2021</t>
        </is>
      </c>
      <c r="B100" s="1" t="n">
        <v>44525.61733796296</v>
      </c>
      <c r="C100" s="1" t="n">
        <v>45973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45973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7804-2021</t>
        </is>
      </c>
      <c r="B102" s="1" t="n">
        <v>44242</v>
      </c>
      <c r="C102" s="1" t="n">
        <v>45973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62065-2021</t>
        </is>
      </c>
      <c r="B103" s="1" t="n">
        <v>44502.59028935185</v>
      </c>
      <c r="C103" s="1" t="n">
        <v>45973</v>
      </c>
      <c r="D103" t="inlineStr">
        <is>
          <t>GÄVLEBORGS LÄN</t>
        </is>
      </c>
      <c r="E103" t="inlineStr">
        <is>
          <t>NORDANSTIG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28878-2021</t>
        </is>
      </c>
      <c r="B104" s="1" t="n">
        <v>44357</v>
      </c>
      <c r="C104" s="1" t="n">
        <v>45973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45973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26869-2021</t>
        </is>
      </c>
      <c r="B106" s="1" t="n">
        <v>44349</v>
      </c>
      <c r="C106" s="1" t="n">
        <v>45973</v>
      </c>
      <c r="D106" t="inlineStr">
        <is>
          <t>GÄVLEBORGS LÄN</t>
        </is>
      </c>
      <c r="E106" t="inlineStr">
        <is>
          <t>NORDANSTIG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960-2022</t>
        </is>
      </c>
      <c r="B107" s="1" t="n">
        <v>44571.56971064815</v>
      </c>
      <c r="C107" s="1" t="n">
        <v>45973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34542-2021</t>
        </is>
      </c>
      <c r="B108" s="1" t="n">
        <v>44382.43252314815</v>
      </c>
      <c r="C108" s="1" t="n">
        <v>45973</v>
      </c>
      <c r="D108" t="inlineStr">
        <is>
          <t>GÄVLEBORGS LÄN</t>
        </is>
      </c>
      <c r="E108" t="inlineStr">
        <is>
          <t>NORDANSTIG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25001-2022</t>
        </is>
      </c>
      <c r="B109" s="1" t="n">
        <v>44728</v>
      </c>
      <c r="C109" s="1" t="n">
        <v>45973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35129-2022</t>
        </is>
      </c>
      <c r="B110" s="1" t="n">
        <v>44797.47615740741</v>
      </c>
      <c r="C110" s="1" t="n">
        <v>45973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45973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45973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45973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42129-2022</t>
        </is>
      </c>
      <c r="B114" s="1" t="n">
        <v>44830.575</v>
      </c>
      <c r="C114" s="1" t="n">
        <v>45973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1569-2021</t>
        </is>
      </c>
      <c r="B115" s="1" t="n">
        <v>44208</v>
      </c>
      <c r="C115" s="1" t="n">
        <v>45973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45973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15304-2021</t>
        </is>
      </c>
      <c r="B117" s="1" t="n">
        <v>44284</v>
      </c>
      <c r="C117" s="1" t="n">
        <v>45973</v>
      </c>
      <c r="D117" t="inlineStr">
        <is>
          <t>GÄVLEBORGS LÄN</t>
        </is>
      </c>
      <c r="E117" t="inlineStr">
        <is>
          <t>NORDANSTIG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9899-2022</t>
        </is>
      </c>
      <c r="B118" s="1" t="n">
        <v>44620.64556712963</v>
      </c>
      <c r="C118" s="1" t="n">
        <v>45973</v>
      </c>
      <c r="D118" t="inlineStr">
        <is>
          <t>GÄVLEBORGS LÄN</t>
        </is>
      </c>
      <c r="E118" t="inlineStr">
        <is>
          <t>NORDANSTIG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5294-2022</t>
        </is>
      </c>
      <c r="B119" s="1" t="n">
        <v>44594.62877314815</v>
      </c>
      <c r="C119" s="1" t="n">
        <v>45973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47589-2022</t>
        </is>
      </c>
      <c r="B120" s="1" t="n">
        <v>44853.97255787037</v>
      </c>
      <c r="C120" s="1" t="n">
        <v>45973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45973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17983-2021</t>
        </is>
      </c>
      <c r="B122" s="1" t="n">
        <v>44301.67956018518</v>
      </c>
      <c r="C122" s="1" t="n">
        <v>45973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40110-2022</t>
        </is>
      </c>
      <c r="B123" s="1" t="n">
        <v>44820.49546296296</v>
      </c>
      <c r="C123" s="1" t="n">
        <v>45973</v>
      </c>
      <c r="D123" t="inlineStr">
        <is>
          <t>GÄVLEBORGS LÄN</t>
        </is>
      </c>
      <c r="E123" t="inlineStr">
        <is>
          <t>NORDANSTIG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45973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3632-2022</t>
        </is>
      </c>
      <c r="B125" s="1" t="n">
        <v>44586</v>
      </c>
      <c r="C125" s="1" t="n">
        <v>45973</v>
      </c>
      <c r="D125" t="inlineStr">
        <is>
          <t>GÄVLEBORGS LÄN</t>
        </is>
      </c>
      <c r="E125" t="inlineStr">
        <is>
          <t>NORDANSTIG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45973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45973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51543-2021</t>
        </is>
      </c>
      <c r="B128" s="1" t="n">
        <v>44461</v>
      </c>
      <c r="C128" s="1" t="n">
        <v>45973</v>
      </c>
      <c r="D128" t="inlineStr">
        <is>
          <t>GÄVLEBORGS LÄN</t>
        </is>
      </c>
      <c r="E128" t="inlineStr">
        <is>
          <t>NORDANSTIG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21871-2022</t>
        </is>
      </c>
      <c r="B129" s="1" t="n">
        <v>44711.39554398148</v>
      </c>
      <c r="C129" s="1" t="n">
        <v>45973</v>
      </c>
      <c r="D129" t="inlineStr">
        <is>
          <t>GÄVLEBORGS LÄN</t>
        </is>
      </c>
      <c r="E129" t="inlineStr">
        <is>
          <t>NORDANSTIG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18306-2022</t>
        </is>
      </c>
      <c r="B130" s="1" t="n">
        <v>44685</v>
      </c>
      <c r="C130" s="1" t="n">
        <v>45973</v>
      </c>
      <c r="D130" t="inlineStr">
        <is>
          <t>GÄVLEBORGS LÄN</t>
        </is>
      </c>
      <c r="E130" t="inlineStr">
        <is>
          <t>NORDANSTIG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3456-2021</t>
        </is>
      </c>
      <c r="B131" s="1" t="n">
        <v>44218.56082175926</v>
      </c>
      <c r="C131" s="1" t="n">
        <v>45973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25002-2022</t>
        </is>
      </c>
      <c r="B132" s="1" t="n">
        <v>44728</v>
      </c>
      <c r="C132" s="1" t="n">
        <v>45973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33109-2022</t>
        </is>
      </c>
      <c r="B133" s="1" t="n">
        <v>44785.50188657407</v>
      </c>
      <c r="C133" s="1" t="n">
        <v>45973</v>
      </c>
      <c r="D133" t="inlineStr">
        <is>
          <t>GÄVLEBORGS LÄN</t>
        </is>
      </c>
      <c r="E133" t="inlineStr">
        <is>
          <t>NORDANSTIG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59583-2021</t>
        </is>
      </c>
      <c r="B134" s="1" t="n">
        <v>44491.63751157407</v>
      </c>
      <c r="C134" s="1" t="n">
        <v>45973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52990-2021</t>
        </is>
      </c>
      <c r="B135" s="1" t="n">
        <v>44467.63489583333</v>
      </c>
      <c r="C135" s="1" t="n">
        <v>45973</v>
      </c>
      <c r="D135" t="inlineStr">
        <is>
          <t>GÄVLEBORGS LÄN</t>
        </is>
      </c>
      <c r="E135" t="inlineStr">
        <is>
          <t>NORDANSTIG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60085-2020</t>
        </is>
      </c>
      <c r="B136" s="1" t="n">
        <v>44152</v>
      </c>
      <c r="C136" s="1" t="n">
        <v>45973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25200-2022</t>
        </is>
      </c>
      <c r="B137" s="1" t="n">
        <v>44729.65466435185</v>
      </c>
      <c r="C137" s="1" t="n">
        <v>45973</v>
      </c>
      <c r="D137" t="inlineStr">
        <is>
          <t>GÄVLEBORGS LÄN</t>
        </is>
      </c>
      <c r="E137" t="inlineStr">
        <is>
          <t>NORDANSTIG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45973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69127-2021</t>
        </is>
      </c>
      <c r="B139" s="1" t="n">
        <v>44530.92103009259</v>
      </c>
      <c r="C139" s="1" t="n">
        <v>45973</v>
      </c>
      <c r="D139" t="inlineStr">
        <is>
          <t>GÄVLEBORGS LÄN</t>
        </is>
      </c>
      <c r="E139" t="inlineStr">
        <is>
          <t>NORDANSTIG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22027-2022</t>
        </is>
      </c>
      <c r="B140" s="1" t="n">
        <v>44711.6125462963</v>
      </c>
      <c r="C140" s="1" t="n">
        <v>45973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45973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73725-2021</t>
        </is>
      </c>
      <c r="B142" s="1" t="n">
        <v>44552.54694444445</v>
      </c>
      <c r="C142" s="1" t="n">
        <v>45973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575-2022</t>
        </is>
      </c>
      <c r="B143" s="1" t="n">
        <v>44566.92070601852</v>
      </c>
      <c r="C143" s="1" t="n">
        <v>45973</v>
      </c>
      <c r="D143" t="inlineStr">
        <is>
          <t>GÄVLEBORGS LÄN</t>
        </is>
      </c>
      <c r="E143" t="inlineStr">
        <is>
          <t>NORDANSTIG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33377-2022</t>
        </is>
      </c>
      <c r="B144" s="1" t="n">
        <v>44788.54135416666</v>
      </c>
      <c r="C144" s="1" t="n">
        <v>45973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72435-2021</t>
        </is>
      </c>
      <c r="B145" s="1" t="n">
        <v>44545</v>
      </c>
      <c r="C145" s="1" t="n">
        <v>45973</v>
      </c>
      <c r="D145" t="inlineStr">
        <is>
          <t>GÄVLEBORGS LÄN</t>
        </is>
      </c>
      <c r="E145" t="inlineStr">
        <is>
          <t>NORDANSTIG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23066-2021</t>
        </is>
      </c>
      <c r="B146" s="1" t="n">
        <v>44329</v>
      </c>
      <c r="C146" s="1" t="n">
        <v>45973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35859-2021</t>
        </is>
      </c>
      <c r="B147" s="1" t="n">
        <v>44386</v>
      </c>
      <c r="C147" s="1" t="n">
        <v>45973</v>
      </c>
      <c r="D147" t="inlineStr">
        <is>
          <t>GÄVLEBORGS LÄN</t>
        </is>
      </c>
      <c r="E147" t="inlineStr">
        <is>
          <t>NORDANSTIG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73748-2021</t>
        </is>
      </c>
      <c r="B148" s="1" t="n">
        <v>44552.57103009259</v>
      </c>
      <c r="C148" s="1" t="n">
        <v>45973</v>
      </c>
      <c r="D148" t="inlineStr">
        <is>
          <t>GÄVLEBORGS LÄN</t>
        </is>
      </c>
      <c r="E148" t="inlineStr">
        <is>
          <t>NORDANSTIG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11706-2022</t>
        </is>
      </c>
      <c r="B149" s="1" t="n">
        <v>44634.41484953704</v>
      </c>
      <c r="C149" s="1" t="n">
        <v>45973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24996-2022</t>
        </is>
      </c>
      <c r="B150" s="1" t="n">
        <v>44728.92789351852</v>
      </c>
      <c r="C150" s="1" t="n">
        <v>45973</v>
      </c>
      <c r="D150" t="inlineStr">
        <is>
          <t>GÄVLEBORGS LÄN</t>
        </is>
      </c>
      <c r="E150" t="inlineStr">
        <is>
          <t>NORDANSTIG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34339-2023</t>
        </is>
      </c>
      <c r="B151" s="1" t="n">
        <v>45139.35453703703</v>
      </c>
      <c r="C151" s="1" t="n">
        <v>45973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59270-2021</t>
        </is>
      </c>
      <c r="B152" s="1" t="n">
        <v>44490</v>
      </c>
      <c r="C152" s="1" t="n">
        <v>45973</v>
      </c>
      <c r="D152" t="inlineStr">
        <is>
          <t>GÄVLEBORGS LÄN</t>
        </is>
      </c>
      <c r="E152" t="inlineStr">
        <is>
          <t>NORDANSTIG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25460-2022</t>
        </is>
      </c>
      <c r="B153" s="1" t="n">
        <v>44732.51826388889</v>
      </c>
      <c r="C153" s="1" t="n">
        <v>45973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48179-2022</t>
        </is>
      </c>
      <c r="B154" s="1" t="n">
        <v>44858.39075231482</v>
      </c>
      <c r="C154" s="1" t="n">
        <v>45973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24374-2024</t>
        </is>
      </c>
      <c r="B155" s="1" t="n">
        <v>45457.61493055556</v>
      </c>
      <c r="C155" s="1" t="n">
        <v>45973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45973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45973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45973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45973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50657-2024</t>
        </is>
      </c>
      <c r="B160" s="1" t="n">
        <v>45601.718125</v>
      </c>
      <c r="C160" s="1" t="n">
        <v>45973</v>
      </c>
      <c r="D160" t="inlineStr">
        <is>
          <t>GÄVLEBORGS LÄN</t>
        </is>
      </c>
      <c r="E160" t="inlineStr">
        <is>
          <t>NORDANSTIG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1532-2024</t>
        </is>
      </c>
      <c r="B161" s="1" t="n">
        <v>45306</v>
      </c>
      <c r="C161" s="1" t="n">
        <v>45973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34842-2023</t>
        </is>
      </c>
      <c r="B162" s="1" t="n">
        <v>45141.92449074074</v>
      </c>
      <c r="C162" s="1" t="n">
        <v>45973</v>
      </c>
      <c r="D162" t="inlineStr">
        <is>
          <t>GÄVLEBORGS LÄN</t>
        </is>
      </c>
      <c r="E162" t="inlineStr">
        <is>
          <t>NORDANSTIG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19279-2022</t>
        </is>
      </c>
      <c r="B163" s="1" t="n">
        <v>44692</v>
      </c>
      <c r="C163" s="1" t="n">
        <v>45973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6923-2024</t>
        </is>
      </c>
      <c r="B164" s="1" t="n">
        <v>45343.34635416666</v>
      </c>
      <c r="C164" s="1" t="n">
        <v>45973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18167-2022</t>
        </is>
      </c>
      <c r="B165" s="1" t="n">
        <v>44684</v>
      </c>
      <c r="C165" s="1" t="n">
        <v>45973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6583-2022</t>
        </is>
      </c>
      <c r="B166" s="1" t="n">
        <v>44601</v>
      </c>
      <c r="C166" s="1" t="n">
        <v>45973</v>
      </c>
      <c r="D166" t="inlineStr">
        <is>
          <t>GÄVLEBORGS LÄN</t>
        </is>
      </c>
      <c r="E166" t="inlineStr">
        <is>
          <t>NORDANSTIG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49607-2022</t>
        </is>
      </c>
      <c r="B167" s="1" t="n">
        <v>44862.41356481481</v>
      </c>
      <c r="C167" s="1" t="n">
        <v>45973</v>
      </c>
      <c r="D167" t="inlineStr">
        <is>
          <t>GÄVLEBORGS LÄN</t>
        </is>
      </c>
      <c r="E167" t="inlineStr">
        <is>
          <t>NORDANSTIG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34560-2023</t>
        </is>
      </c>
      <c r="B168" s="1" t="n">
        <v>45140.51533564815</v>
      </c>
      <c r="C168" s="1" t="n">
        <v>45973</v>
      </c>
      <c r="D168" t="inlineStr">
        <is>
          <t>GÄVLEBORGS LÄN</t>
        </is>
      </c>
      <c r="E168" t="inlineStr">
        <is>
          <t>NORDANSTIG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26113-2022</t>
        </is>
      </c>
      <c r="B169" s="1" t="n">
        <v>44734</v>
      </c>
      <c r="C169" s="1" t="n">
        <v>45973</v>
      </c>
      <c r="D169" t="inlineStr">
        <is>
          <t>GÄVLEBORGS LÄN</t>
        </is>
      </c>
      <c r="E169" t="inlineStr">
        <is>
          <t>NORDANSTIG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25005-2022</t>
        </is>
      </c>
      <c r="B170" s="1" t="n">
        <v>44728.92844907408</v>
      </c>
      <c r="C170" s="1" t="n">
        <v>45973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36694-2024</t>
        </is>
      </c>
      <c r="B171" s="1" t="n">
        <v>45537.67020833334</v>
      </c>
      <c r="C171" s="1" t="n">
        <v>45973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32471-2023</t>
        </is>
      </c>
      <c r="B172" s="1" t="n">
        <v>45120.92688657407</v>
      </c>
      <c r="C172" s="1" t="n">
        <v>45973</v>
      </c>
      <c r="D172" t="inlineStr">
        <is>
          <t>GÄVLEBORGS LÄN</t>
        </is>
      </c>
      <c r="E172" t="inlineStr">
        <is>
          <t>NORDANSTIG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25402-2024</t>
        </is>
      </c>
      <c r="B173" s="1" t="n">
        <v>45463.33690972222</v>
      </c>
      <c r="C173" s="1" t="n">
        <v>45973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34370-2024</t>
        </is>
      </c>
      <c r="B174" s="1" t="n">
        <v>45525.38375</v>
      </c>
      <c r="C174" s="1" t="n">
        <v>45973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33974-2022</t>
        </is>
      </c>
      <c r="B175" s="1" t="n">
        <v>44790</v>
      </c>
      <c r="C175" s="1" t="n">
        <v>45973</v>
      </c>
      <c r="D175" t="inlineStr">
        <is>
          <t>GÄVLEBORGS LÄN</t>
        </is>
      </c>
      <c r="E175" t="inlineStr">
        <is>
          <t>NORDANSTIG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32602-2024</t>
        </is>
      </c>
      <c r="B176" s="1" t="n">
        <v>45513.62717592593</v>
      </c>
      <c r="C176" s="1" t="n">
        <v>45973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31270-2024</t>
        </is>
      </c>
      <c r="B177" s="1" t="n">
        <v>45504.36773148148</v>
      </c>
      <c r="C177" s="1" t="n">
        <v>45973</v>
      </c>
      <c r="D177" t="inlineStr">
        <is>
          <t>GÄVLEBORGS LÄN</t>
        </is>
      </c>
      <c r="E177" t="inlineStr">
        <is>
          <t>NORDANSTIG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10137-2024</t>
        </is>
      </c>
      <c r="B178" s="1" t="n">
        <v>45364.60462962963</v>
      </c>
      <c r="C178" s="1" t="n">
        <v>45973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42796-2024</t>
        </is>
      </c>
      <c r="B179" s="1" t="n">
        <v>45566.55170138889</v>
      </c>
      <c r="C179" s="1" t="n">
        <v>45973</v>
      </c>
      <c r="D179" t="inlineStr">
        <is>
          <t>GÄVLEBORGS LÄN</t>
        </is>
      </c>
      <c r="E179" t="inlineStr">
        <is>
          <t>NORDANSTIG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49455-2024</t>
        </is>
      </c>
      <c r="B180" s="1" t="n">
        <v>45596.27561342593</v>
      </c>
      <c r="C180" s="1" t="n">
        <v>45973</v>
      </c>
      <c r="D180" t="inlineStr">
        <is>
          <t>GÄVLEBORGS LÄN</t>
        </is>
      </c>
      <c r="E180" t="inlineStr">
        <is>
          <t>NORDANSTIG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50326-2023</t>
        </is>
      </c>
      <c r="B181" s="1" t="n">
        <v>45216.55601851852</v>
      </c>
      <c r="C181" s="1" t="n">
        <v>45973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8805-2025</t>
        </is>
      </c>
      <c r="B182" s="1" t="n">
        <v>45712.66641203704</v>
      </c>
      <c r="C182" s="1" t="n">
        <v>45973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6581-2022</t>
        </is>
      </c>
      <c r="B183" s="1" t="n">
        <v>44601.62753472223</v>
      </c>
      <c r="C183" s="1" t="n">
        <v>45973</v>
      </c>
      <c r="D183" t="inlineStr">
        <is>
          <t>GÄVLEBORGS LÄN</t>
        </is>
      </c>
      <c r="E183" t="inlineStr">
        <is>
          <t>NORDANSTIG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54713-2024</t>
        </is>
      </c>
      <c r="B184" s="1" t="n">
        <v>45618.42712962963</v>
      </c>
      <c r="C184" s="1" t="n">
        <v>45973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4255-2024</t>
        </is>
      </c>
      <c r="B185" s="1" t="n">
        <v>45324.48376157408</v>
      </c>
      <c r="C185" s="1" t="n">
        <v>45973</v>
      </c>
      <c r="D185" t="inlineStr">
        <is>
          <t>GÄVLEBORGS LÄN</t>
        </is>
      </c>
      <c r="E185" t="inlineStr">
        <is>
          <t>NORDANSTIG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62646-2023</t>
        </is>
      </c>
      <c r="B186" s="1" t="n">
        <v>45271.42679398148</v>
      </c>
      <c r="C186" s="1" t="n">
        <v>45973</v>
      </c>
      <c r="D186" t="inlineStr">
        <is>
          <t>GÄVLEBORGS LÄN</t>
        </is>
      </c>
      <c r="E186" t="inlineStr">
        <is>
          <t>NORDANSTIG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60193-2024</t>
        </is>
      </c>
      <c r="B187" s="1" t="n">
        <v>45642.65353009259</v>
      </c>
      <c r="C187" s="1" t="n">
        <v>45973</v>
      </c>
      <c r="D187" t="inlineStr">
        <is>
          <t>GÄVLEBORGS LÄN</t>
        </is>
      </c>
      <c r="E187" t="inlineStr">
        <is>
          <t>NORDANSTIG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33559-2022</t>
        </is>
      </c>
      <c r="B188" s="1" t="n">
        <v>44789</v>
      </c>
      <c r="C188" s="1" t="n">
        <v>45973</v>
      </c>
      <c r="D188" t="inlineStr">
        <is>
          <t>GÄVLEBORGS LÄN</t>
        </is>
      </c>
      <c r="E188" t="inlineStr">
        <is>
          <t>NORDANSTIG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30816-2022</t>
        </is>
      </c>
      <c r="B189" s="1" t="n">
        <v>44765.52364583333</v>
      </c>
      <c r="C189" s="1" t="n">
        <v>45973</v>
      </c>
      <c r="D189" t="inlineStr">
        <is>
          <t>GÄVLEBORGS LÄN</t>
        </is>
      </c>
      <c r="E189" t="inlineStr">
        <is>
          <t>NORDANSTIG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51222-2024</t>
        </is>
      </c>
      <c r="B190" s="1" t="n">
        <v>45603.65320601852</v>
      </c>
      <c r="C190" s="1" t="n">
        <v>45973</v>
      </c>
      <c r="D190" t="inlineStr">
        <is>
          <t>GÄVLEBORGS LÄN</t>
        </is>
      </c>
      <c r="E190" t="inlineStr">
        <is>
          <t>NORDANSTIG</t>
        </is>
      </c>
      <c r="G190" t="n">
        <v>15.1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51230-2024</t>
        </is>
      </c>
      <c r="B191" s="1" t="n">
        <v>45603.65864583333</v>
      </c>
      <c r="C191" s="1" t="n">
        <v>45973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18638-2023</t>
        </is>
      </c>
      <c r="B192" s="1" t="n">
        <v>45043.49929398148</v>
      </c>
      <c r="C192" s="1" t="n">
        <v>45973</v>
      </c>
      <c r="D192" t="inlineStr">
        <is>
          <t>GÄVLEBORGS LÄN</t>
        </is>
      </c>
      <c r="E192" t="inlineStr">
        <is>
          <t>NORDANSTIG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23417-2023</t>
        </is>
      </c>
      <c r="B193" s="1" t="n">
        <v>45076</v>
      </c>
      <c r="C193" s="1" t="n">
        <v>45973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2861-2023</t>
        </is>
      </c>
      <c r="B194" s="1" t="n">
        <v>44945.41037037037</v>
      </c>
      <c r="C194" s="1" t="n">
        <v>45973</v>
      </c>
      <c r="D194" t="inlineStr">
        <is>
          <t>GÄVLEBORGS LÄN</t>
        </is>
      </c>
      <c r="E194" t="inlineStr">
        <is>
          <t>NORDANSTIG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7149-2022</t>
        </is>
      </c>
      <c r="B195" s="1" t="n">
        <v>44603</v>
      </c>
      <c r="C195" s="1" t="n">
        <v>45973</v>
      </c>
      <c r="D195" t="inlineStr">
        <is>
          <t>GÄVLEBORGS LÄN</t>
        </is>
      </c>
      <c r="E195" t="inlineStr">
        <is>
          <t>NORDANSTIG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30969-2024</t>
        </is>
      </c>
      <c r="B196" s="1" t="n">
        <v>45499.45839120371</v>
      </c>
      <c r="C196" s="1" t="n">
        <v>45973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30978-2024</t>
        </is>
      </c>
      <c r="B197" s="1" t="n">
        <v>45499.48480324074</v>
      </c>
      <c r="C197" s="1" t="n">
        <v>45973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45973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9382-2022</t>
        </is>
      </c>
      <c r="B199" s="1" t="n">
        <v>44616.63564814815</v>
      </c>
      <c r="C199" s="1" t="n">
        <v>45973</v>
      </c>
      <c r="D199" t="inlineStr">
        <is>
          <t>GÄVLEBORGS LÄN</t>
        </is>
      </c>
      <c r="E199" t="inlineStr">
        <is>
          <t>NORDANSTIG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41701-2023</t>
        </is>
      </c>
      <c r="B200" s="1" t="n">
        <v>45176.37850694444</v>
      </c>
      <c r="C200" s="1" t="n">
        <v>45973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43400-2023</t>
        </is>
      </c>
      <c r="B201" s="1" t="n">
        <v>45183.92178240741</v>
      </c>
      <c r="C201" s="1" t="n">
        <v>45973</v>
      </c>
      <c r="D201" t="inlineStr">
        <is>
          <t>GÄVLEBORGS LÄN</t>
        </is>
      </c>
      <c r="E201" t="inlineStr">
        <is>
          <t>NORDANSTIG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321-2024</t>
        </is>
      </c>
      <c r="B202" s="1" t="n">
        <v>45295</v>
      </c>
      <c r="C202" s="1" t="n">
        <v>45973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36186-2023</t>
        </is>
      </c>
      <c r="B203" s="1" t="n">
        <v>45149.70965277778</v>
      </c>
      <c r="C203" s="1" t="n">
        <v>45973</v>
      </c>
      <c r="D203" t="inlineStr">
        <is>
          <t>GÄVLEBORGS LÄN</t>
        </is>
      </c>
      <c r="E203" t="inlineStr">
        <is>
          <t>NORDANSTIG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2105-2023</t>
        </is>
      </c>
      <c r="B204" s="1" t="n">
        <v>44939.9237037037</v>
      </c>
      <c r="C204" s="1" t="n">
        <v>45973</v>
      </c>
      <c r="D204" t="inlineStr">
        <is>
          <t>GÄVLEBORGS LÄN</t>
        </is>
      </c>
      <c r="E204" t="inlineStr">
        <is>
          <t>NORDANSTIG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675-2023</t>
        </is>
      </c>
      <c r="B205" s="1" t="n">
        <v>44930.69663194445</v>
      </c>
      <c r="C205" s="1" t="n">
        <v>45973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37686-2024</t>
        </is>
      </c>
      <c r="B206" s="1" t="n">
        <v>45541.59466435185</v>
      </c>
      <c r="C206" s="1" t="n">
        <v>45973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40738-2023</t>
        </is>
      </c>
      <c r="B207" s="1" t="n">
        <v>45170</v>
      </c>
      <c r="C207" s="1" t="n">
        <v>45973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62465-2021</t>
        </is>
      </c>
      <c r="B208" s="1" t="n">
        <v>44503.53527777778</v>
      </c>
      <c r="C208" s="1" t="n">
        <v>45973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21473-2023</t>
        </is>
      </c>
      <c r="B209" s="1" t="n">
        <v>45063</v>
      </c>
      <c r="C209" s="1" t="n">
        <v>45973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55450-2024</t>
        </is>
      </c>
      <c r="B210" s="1" t="n">
        <v>45622</v>
      </c>
      <c r="C210" s="1" t="n">
        <v>45973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11762-2023</t>
        </is>
      </c>
      <c r="B211" s="1" t="n">
        <v>44994</v>
      </c>
      <c r="C211" s="1" t="n">
        <v>45973</v>
      </c>
      <c r="D211" t="inlineStr">
        <is>
          <t>GÄVLEBORGS LÄN</t>
        </is>
      </c>
      <c r="E211" t="inlineStr">
        <is>
          <t>NORDANSTIG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54896-2024</t>
        </is>
      </c>
      <c r="B212" s="1" t="n">
        <v>45618.63685185185</v>
      </c>
      <c r="C212" s="1" t="n">
        <v>45973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54705-2024</t>
        </is>
      </c>
      <c r="B213" s="1" t="n">
        <v>45618.41390046296</v>
      </c>
      <c r="C213" s="1" t="n">
        <v>45973</v>
      </c>
      <c r="D213" t="inlineStr">
        <is>
          <t>GÄVLEBORGS LÄN</t>
        </is>
      </c>
      <c r="E213" t="inlineStr">
        <is>
          <t>NORDANSTIG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12266-2025</t>
        </is>
      </c>
      <c r="B214" s="1" t="n">
        <v>45729.63112268518</v>
      </c>
      <c r="C214" s="1" t="n">
        <v>45973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32925-2023</t>
        </is>
      </c>
      <c r="B215" s="1" t="n">
        <v>45125</v>
      </c>
      <c r="C215" s="1" t="n">
        <v>45973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36028-2024</t>
        </is>
      </c>
      <c r="B216" s="1" t="n">
        <v>45533.57940972222</v>
      </c>
      <c r="C216" s="1" t="n">
        <v>45973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38332-2024</t>
        </is>
      </c>
      <c r="B217" s="1" t="n">
        <v>45545.68222222223</v>
      </c>
      <c r="C217" s="1" t="n">
        <v>45973</v>
      </c>
      <c r="D217" t="inlineStr">
        <is>
          <t>GÄVLEBORGS LÄN</t>
        </is>
      </c>
      <c r="E217" t="inlineStr">
        <is>
          <t>NORDANSTIG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38346-2024</t>
        </is>
      </c>
      <c r="B218" s="1" t="n">
        <v>45545.70670138889</v>
      </c>
      <c r="C218" s="1" t="n">
        <v>45973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74460-2021</t>
        </is>
      </c>
      <c r="B219" s="1" t="n">
        <v>44560.51326388889</v>
      </c>
      <c r="C219" s="1" t="n">
        <v>45973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18322-2024</t>
        </is>
      </c>
      <c r="B220" s="1" t="n">
        <v>45422.53849537037</v>
      </c>
      <c r="C220" s="1" t="n">
        <v>45973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48636-2024</t>
        </is>
      </c>
      <c r="B221" s="1" t="n">
        <v>45593.47171296296</v>
      </c>
      <c r="C221" s="1" t="n">
        <v>45973</v>
      </c>
      <c r="D221" t="inlineStr">
        <is>
          <t>GÄVLEBORGS LÄN</t>
        </is>
      </c>
      <c r="E221" t="inlineStr">
        <is>
          <t>NORDANSTIG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52001-2024</t>
        </is>
      </c>
      <c r="B222" s="1" t="n">
        <v>45607.75534722222</v>
      </c>
      <c r="C222" s="1" t="n">
        <v>45973</v>
      </c>
      <c r="D222" t="inlineStr">
        <is>
          <t>GÄVLEBORGS LÄN</t>
        </is>
      </c>
      <c r="E222" t="inlineStr">
        <is>
          <t>NORDANSTIG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38342-2024</t>
        </is>
      </c>
      <c r="B223" s="1" t="n">
        <v>45545.69261574074</v>
      </c>
      <c r="C223" s="1" t="n">
        <v>45973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8395-2024</t>
        </is>
      </c>
      <c r="B224" s="1" t="n">
        <v>45352.68155092592</v>
      </c>
      <c r="C224" s="1" t="n">
        <v>45973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37031-2024</t>
        </is>
      </c>
      <c r="B225" s="1" t="n">
        <v>45539.38991898148</v>
      </c>
      <c r="C225" s="1" t="n">
        <v>45973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18401-2023</t>
        </is>
      </c>
      <c r="B226" s="1" t="n">
        <v>45042.3791550926</v>
      </c>
      <c r="C226" s="1" t="n">
        <v>45973</v>
      </c>
      <c r="D226" t="inlineStr">
        <is>
          <t>GÄVLEBORGS LÄN</t>
        </is>
      </c>
      <c r="E226" t="inlineStr">
        <is>
          <t>NORDANSTIG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14415-2025</t>
        </is>
      </c>
      <c r="B227" s="1" t="n">
        <v>45741.47692129629</v>
      </c>
      <c r="C227" s="1" t="n">
        <v>45973</v>
      </c>
      <c r="D227" t="inlineStr">
        <is>
          <t>GÄVLEBORGS LÄN</t>
        </is>
      </c>
      <c r="E227" t="inlineStr">
        <is>
          <t>NORDANSTIG</t>
        </is>
      </c>
      <c r="G227" t="n">
        <v>16.7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10543-2025</t>
        </is>
      </c>
      <c r="B228" s="1" t="n">
        <v>45721.48769675926</v>
      </c>
      <c r="C228" s="1" t="n">
        <v>45973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44500-2024</t>
        </is>
      </c>
      <c r="B229" s="1" t="n">
        <v>45574.39741898148</v>
      </c>
      <c r="C229" s="1" t="n">
        <v>45973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36464-2024</t>
        </is>
      </c>
      <c r="B230" s="1" t="n">
        <v>45537.35846064815</v>
      </c>
      <c r="C230" s="1" t="n">
        <v>45973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54685-2024</t>
        </is>
      </c>
      <c r="B231" s="1" t="n">
        <v>45618.36010416667</v>
      </c>
      <c r="C231" s="1" t="n">
        <v>45973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13025-2025</t>
        </is>
      </c>
      <c r="B232" s="1" t="n">
        <v>45734.55638888889</v>
      </c>
      <c r="C232" s="1" t="n">
        <v>45973</v>
      </c>
      <c r="D232" t="inlineStr">
        <is>
          <t>GÄVLEBORGS LÄN</t>
        </is>
      </c>
      <c r="E232" t="inlineStr">
        <is>
          <t>NORDANSTIG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46588-2022</t>
        </is>
      </c>
      <c r="B233" s="1" t="n">
        <v>44848.69696759259</v>
      </c>
      <c r="C233" s="1" t="n">
        <v>45973</v>
      </c>
      <c r="D233" t="inlineStr">
        <is>
          <t>GÄVLEBORGS LÄN</t>
        </is>
      </c>
      <c r="E233" t="inlineStr">
        <is>
          <t>NORDANSTIG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55526-2024</t>
        </is>
      </c>
      <c r="B234" s="1" t="n">
        <v>45622</v>
      </c>
      <c r="C234" s="1" t="n">
        <v>45973</v>
      </c>
      <c r="D234" t="inlineStr">
        <is>
          <t>GÄVLEBORGS LÄN</t>
        </is>
      </c>
      <c r="E234" t="inlineStr">
        <is>
          <t>NORDANSTIG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42858-2024</t>
        </is>
      </c>
      <c r="B235" s="1" t="n">
        <v>45566.65224537037</v>
      </c>
      <c r="C235" s="1" t="n">
        <v>45973</v>
      </c>
      <c r="D235" t="inlineStr">
        <is>
          <t>GÄVLEBORGS LÄN</t>
        </is>
      </c>
      <c r="E235" t="inlineStr">
        <is>
          <t>NORDANSTIG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6096-2022</t>
        </is>
      </c>
      <c r="B236" s="1" t="n">
        <v>44599</v>
      </c>
      <c r="C236" s="1" t="n">
        <v>45973</v>
      </c>
      <c r="D236" t="inlineStr">
        <is>
          <t>GÄVLEBORGS LÄN</t>
        </is>
      </c>
      <c r="E236" t="inlineStr">
        <is>
          <t>NORDANSTIG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4227-2025</t>
        </is>
      </c>
      <c r="B237" s="1" t="n">
        <v>45685.54583333333</v>
      </c>
      <c r="C237" s="1" t="n">
        <v>45973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17887-2024</t>
        </is>
      </c>
      <c r="B238" s="1" t="n">
        <v>45419.4737962963</v>
      </c>
      <c r="C238" s="1" t="n">
        <v>45973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61427-2024</t>
        </is>
      </c>
      <c r="B239" s="1" t="n">
        <v>45646.45481481482</v>
      </c>
      <c r="C239" s="1" t="n">
        <v>45973</v>
      </c>
      <c r="D239" t="inlineStr">
        <is>
          <t>GÄVLEBORGS LÄN</t>
        </is>
      </c>
      <c r="E239" t="inlineStr">
        <is>
          <t>NORDANSTIG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20434-2024</t>
        </is>
      </c>
      <c r="B240" s="1" t="n">
        <v>45435.61346064815</v>
      </c>
      <c r="C240" s="1" t="n">
        <v>45973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44009-2023</t>
        </is>
      </c>
      <c r="B241" s="1" t="n">
        <v>45188.33112268519</v>
      </c>
      <c r="C241" s="1" t="n">
        <v>45973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58876-2024</t>
        </is>
      </c>
      <c r="B242" s="1" t="n">
        <v>45636.44318287037</v>
      </c>
      <c r="C242" s="1" t="n">
        <v>45973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38658-2023</t>
        </is>
      </c>
      <c r="B243" s="1" t="n">
        <v>45162.8475925926</v>
      </c>
      <c r="C243" s="1" t="n">
        <v>45973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52655-2024</t>
        </is>
      </c>
      <c r="B244" s="1" t="n">
        <v>45610.35550925926</v>
      </c>
      <c r="C244" s="1" t="n">
        <v>45973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55206-2022</t>
        </is>
      </c>
      <c r="B245" s="1" t="n">
        <v>44886</v>
      </c>
      <c r="C245" s="1" t="n">
        <v>45973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73389-2021</t>
        </is>
      </c>
      <c r="B246" s="1" t="n">
        <v>44551</v>
      </c>
      <c r="C246" s="1" t="n">
        <v>45973</v>
      </c>
      <c r="D246" t="inlineStr">
        <is>
          <t>GÄVLEBORGS LÄN</t>
        </is>
      </c>
      <c r="E246" t="inlineStr">
        <is>
          <t>NORDANSTIG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12858-2025</t>
        </is>
      </c>
      <c r="B247" s="1" t="n">
        <v>45733.66342592592</v>
      </c>
      <c r="C247" s="1" t="n">
        <v>45973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45310-2022</t>
        </is>
      </c>
      <c r="B248" s="1" t="n">
        <v>44844.57421296297</v>
      </c>
      <c r="C248" s="1" t="n">
        <v>45973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5892-2022</t>
        </is>
      </c>
      <c r="B249" s="1" t="n">
        <v>44596</v>
      </c>
      <c r="C249" s="1" t="n">
        <v>45973</v>
      </c>
      <c r="D249" t="inlineStr">
        <is>
          <t>GÄVLEBORGS LÄN</t>
        </is>
      </c>
      <c r="E249" t="inlineStr">
        <is>
          <t>NORDANSTIG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50365-2023</t>
        </is>
      </c>
      <c r="B250" s="1" t="n">
        <v>45216.60457175926</v>
      </c>
      <c r="C250" s="1" t="n">
        <v>45973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13018-2025</t>
        </is>
      </c>
      <c r="B251" s="1" t="n">
        <v>45734.54376157407</v>
      </c>
      <c r="C251" s="1" t="n">
        <v>45973</v>
      </c>
      <c r="D251" t="inlineStr">
        <is>
          <t>GÄVLEBORGS LÄN</t>
        </is>
      </c>
      <c r="E251" t="inlineStr">
        <is>
          <t>NORDANSTIG</t>
        </is>
      </c>
      <c r="G251" t="n">
        <v>33.1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57806-2024</t>
        </is>
      </c>
      <c r="B252" s="1" t="n">
        <v>45631.35064814815</v>
      </c>
      <c r="C252" s="1" t="n">
        <v>45973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HYPERLINK("https://klasma.github.io/Logging_2132/knärot/A 57806-2024 karta knärot.png", "A 57806-2024")</f>
        <v/>
      </c>
      <c r="V252">
        <f>HYPERLINK("https://klasma.github.io/Logging_2132/klagomål/A 57806-2024 FSC-klagomål.docx", "A 57806-2024")</f>
        <v/>
      </c>
      <c r="W252">
        <f>HYPERLINK("https://klasma.github.io/Logging_2132/klagomålsmail/A 57806-2024 FSC-klagomål mail.docx", "A 57806-2024")</f>
        <v/>
      </c>
      <c r="X252">
        <f>HYPERLINK("https://klasma.github.io/Logging_2132/tillsyn/A 57806-2024 tillsynsbegäran.docx", "A 57806-2024")</f>
        <v/>
      </c>
      <c r="Y252">
        <f>HYPERLINK("https://klasma.github.io/Logging_2132/tillsynsmail/A 57806-2024 tillsynsbegäran mail.docx", "A 57806-2024")</f>
        <v/>
      </c>
    </row>
    <row r="253" ht="15" customHeight="1">
      <c r="A253" t="inlineStr">
        <is>
          <t>A 10042-2025</t>
        </is>
      </c>
      <c r="B253" s="1" t="n">
        <v>45719.50333333333</v>
      </c>
      <c r="C253" s="1" t="n">
        <v>45973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20876-2025</t>
        </is>
      </c>
      <c r="B254" s="1" t="n">
        <v>45777.35241898148</v>
      </c>
      <c r="C254" s="1" t="n">
        <v>45973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57253-2023</t>
        </is>
      </c>
      <c r="B255" s="1" t="n">
        <v>45245</v>
      </c>
      <c r="C255" s="1" t="n">
        <v>45973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57863-2024</t>
        </is>
      </c>
      <c r="B256" s="1" t="n">
        <v>45631.43291666666</v>
      </c>
      <c r="C256" s="1" t="n">
        <v>45973</v>
      </c>
      <c r="D256" t="inlineStr">
        <is>
          <t>GÄVLEBORGS LÄN</t>
        </is>
      </c>
      <c r="E256" t="inlineStr">
        <is>
          <t>NORDANSTIG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57866-2024</t>
        </is>
      </c>
      <c r="B257" s="1" t="n">
        <v>45631.43737268518</v>
      </c>
      <c r="C257" s="1" t="n">
        <v>45973</v>
      </c>
      <c r="D257" t="inlineStr">
        <is>
          <t>GÄVLEBORGS LÄN</t>
        </is>
      </c>
      <c r="E257" t="inlineStr">
        <is>
          <t>NORDANSTIG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9131-2024</t>
        </is>
      </c>
      <c r="B258" s="1" t="n">
        <v>45358.34773148148</v>
      </c>
      <c r="C258" s="1" t="n">
        <v>45973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41616-2023</t>
        </is>
      </c>
      <c r="B259" s="1" t="n">
        <v>45175.67030092593</v>
      </c>
      <c r="C259" s="1" t="n">
        <v>45973</v>
      </c>
      <c r="D259" t="inlineStr">
        <is>
          <t>GÄVLEBORGS LÄN</t>
        </is>
      </c>
      <c r="E259" t="inlineStr">
        <is>
          <t>NORDANSTIG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60944-2024</t>
        </is>
      </c>
      <c r="B260" s="1" t="n">
        <v>45645.37596064815</v>
      </c>
      <c r="C260" s="1" t="n">
        <v>45973</v>
      </c>
      <c r="D260" t="inlineStr">
        <is>
          <t>GÄVLEBORGS LÄN</t>
        </is>
      </c>
      <c r="E260" t="inlineStr">
        <is>
          <t>NORDANSTIG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21287-2025</t>
        </is>
      </c>
      <c r="B261" s="1" t="n">
        <v>45779.70166666667</v>
      </c>
      <c r="C261" s="1" t="n">
        <v>45973</v>
      </c>
      <c r="D261" t="inlineStr">
        <is>
          <t>GÄVLEBORGS LÄN</t>
        </is>
      </c>
      <c r="E261" t="inlineStr">
        <is>
          <t>NORDANSTIG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41074-2023</t>
        </is>
      </c>
      <c r="B262" s="1" t="n">
        <v>45173</v>
      </c>
      <c r="C262" s="1" t="n">
        <v>45973</v>
      </c>
      <c r="D262" t="inlineStr">
        <is>
          <t>GÄVLEBORGS LÄN</t>
        </is>
      </c>
      <c r="E262" t="inlineStr">
        <is>
          <t>NORDANSTIG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21921-2025</t>
        </is>
      </c>
      <c r="B263" s="1" t="n">
        <v>45784.52148148148</v>
      </c>
      <c r="C263" s="1" t="n">
        <v>45973</v>
      </c>
      <c r="D263" t="inlineStr">
        <is>
          <t>GÄVLEBORGS LÄN</t>
        </is>
      </c>
      <c r="E263" t="inlineStr">
        <is>
          <t>NORDANSTIG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21725-2025</t>
        </is>
      </c>
      <c r="B264" s="1" t="n">
        <v>45783.56886574074</v>
      </c>
      <c r="C264" s="1" t="n">
        <v>45973</v>
      </c>
      <c r="D264" t="inlineStr">
        <is>
          <t>GÄVLEBORGS LÄN</t>
        </is>
      </c>
      <c r="E264" t="inlineStr">
        <is>
          <t>NORDANSTIG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61407-2024</t>
        </is>
      </c>
      <c r="B265" s="1" t="n">
        <v>45646.43694444445</v>
      </c>
      <c r="C265" s="1" t="n">
        <v>45973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18681-2025</t>
        </is>
      </c>
      <c r="B266" s="1" t="n">
        <v>45763.60788194444</v>
      </c>
      <c r="C266" s="1" t="n">
        <v>45973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40613-2023</t>
        </is>
      </c>
      <c r="B267" s="1" t="n">
        <v>45170.51297453704</v>
      </c>
      <c r="C267" s="1" t="n">
        <v>45973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18716-2025</t>
        </is>
      </c>
      <c r="B268" s="1" t="n">
        <v>45763.64425925926</v>
      </c>
      <c r="C268" s="1" t="n">
        <v>45973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56733-2024</t>
        </is>
      </c>
      <c r="B269" s="1" t="n">
        <v>45628.36013888889</v>
      </c>
      <c r="C269" s="1" t="n">
        <v>45973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61430-2024</t>
        </is>
      </c>
      <c r="B270" s="1" t="n">
        <v>45646.45672453703</v>
      </c>
      <c r="C270" s="1" t="n">
        <v>45973</v>
      </c>
      <c r="D270" t="inlineStr">
        <is>
          <t>GÄVLEBORGS LÄN</t>
        </is>
      </c>
      <c r="E270" t="inlineStr">
        <is>
          <t>NORDANSTIG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13270-2022</t>
        </is>
      </c>
      <c r="B271" s="1" t="n">
        <v>44644.71585648148</v>
      </c>
      <c r="C271" s="1" t="n">
        <v>45973</v>
      </c>
      <c r="D271" t="inlineStr">
        <is>
          <t>GÄVLEBORGS LÄN</t>
        </is>
      </c>
      <c r="E271" t="inlineStr">
        <is>
          <t>NORDANSTIG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57977-2024</t>
        </is>
      </c>
      <c r="B272" s="1" t="n">
        <v>45631.60908564815</v>
      </c>
      <c r="C272" s="1" t="n">
        <v>45973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18707-2025</t>
        </is>
      </c>
      <c r="B273" s="1" t="n">
        <v>45763.63564814815</v>
      </c>
      <c r="C273" s="1" t="n">
        <v>45973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12389-2023</t>
        </is>
      </c>
      <c r="B274" s="1" t="n">
        <v>44999.47921296296</v>
      </c>
      <c r="C274" s="1" t="n">
        <v>45973</v>
      </c>
      <c r="D274" t="inlineStr">
        <is>
          <t>GÄVLEBORGS LÄN</t>
        </is>
      </c>
      <c r="E274" t="inlineStr">
        <is>
          <t>NORDANSTIG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21928-2025</t>
        </is>
      </c>
      <c r="B275" s="1" t="n">
        <v>45784.54953703703</v>
      </c>
      <c r="C275" s="1" t="n">
        <v>45973</v>
      </c>
      <c r="D275" t="inlineStr">
        <is>
          <t>GÄVLEBORGS LÄN</t>
        </is>
      </c>
      <c r="E275" t="inlineStr">
        <is>
          <t>NORDANSTIG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40261-2023</t>
        </is>
      </c>
      <c r="B276" s="1" t="n">
        <v>45169.5165625</v>
      </c>
      <c r="C276" s="1" t="n">
        <v>45973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57976-2022</t>
        </is>
      </c>
      <c r="B277" s="1" t="n">
        <v>44900.4591087963</v>
      </c>
      <c r="C277" s="1" t="n">
        <v>45973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57983-2022</t>
        </is>
      </c>
      <c r="B278" s="1" t="n">
        <v>44900</v>
      </c>
      <c r="C278" s="1" t="n">
        <v>45973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18761-2024</t>
        </is>
      </c>
      <c r="B279" s="1" t="n">
        <v>45426.54793981482</v>
      </c>
      <c r="C279" s="1" t="n">
        <v>45973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2141-2024</t>
        </is>
      </c>
      <c r="B280" s="1" t="n">
        <v>45309.55506944445</v>
      </c>
      <c r="C280" s="1" t="n">
        <v>45973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60285-2024</t>
        </is>
      </c>
      <c r="B281" s="1" t="n">
        <v>45642.92408564815</v>
      </c>
      <c r="C281" s="1" t="n">
        <v>45973</v>
      </c>
      <c r="D281" t="inlineStr">
        <is>
          <t>GÄVLEBORGS LÄN</t>
        </is>
      </c>
      <c r="E281" t="inlineStr">
        <is>
          <t>NORDANSTIG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7012-2025</t>
        </is>
      </c>
      <c r="B282" s="1" t="n">
        <v>45701.60899305555</v>
      </c>
      <c r="C282" s="1" t="n">
        <v>45973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55477-2024</t>
        </is>
      </c>
      <c r="B283" s="1" t="n">
        <v>45622</v>
      </c>
      <c r="C283" s="1" t="n">
        <v>45973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4445-2025</t>
        </is>
      </c>
      <c r="B284" s="1" t="n">
        <v>45686.56731481481</v>
      </c>
      <c r="C284" s="1" t="n">
        <v>45973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42253-2024</t>
        </is>
      </c>
      <c r="B285" s="1" t="n">
        <v>45562.58115740741</v>
      </c>
      <c r="C285" s="1" t="n">
        <v>45973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30879-2024</t>
        </is>
      </c>
      <c r="B286" s="1" t="n">
        <v>45498.35340277778</v>
      </c>
      <c r="C286" s="1" t="n">
        <v>45973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853-2024</t>
        </is>
      </c>
      <c r="B287" s="1" t="n">
        <v>45300</v>
      </c>
      <c r="C287" s="1" t="n">
        <v>45973</v>
      </c>
      <c r="D287" t="inlineStr">
        <is>
          <t>GÄVLEBORGS LÄN</t>
        </is>
      </c>
      <c r="E287" t="inlineStr">
        <is>
          <t>NORDANSTIG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31002-2024</t>
        </is>
      </c>
      <c r="B288" s="1" t="n">
        <v>45499.62605324074</v>
      </c>
      <c r="C288" s="1" t="n">
        <v>45973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884-2024</t>
        </is>
      </c>
      <c r="B289" s="1" t="n">
        <v>45301.39141203704</v>
      </c>
      <c r="C289" s="1" t="n">
        <v>45973</v>
      </c>
      <c r="D289" t="inlineStr">
        <is>
          <t>GÄVLEBORGS LÄN</t>
        </is>
      </c>
      <c r="E289" t="inlineStr">
        <is>
          <t>NORDANSTIG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60675-2024</t>
        </is>
      </c>
      <c r="B290" s="1" t="n">
        <v>45644.45839120371</v>
      </c>
      <c r="C290" s="1" t="n">
        <v>45973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43539-2023</t>
        </is>
      </c>
      <c r="B291" s="1" t="n">
        <v>45184.54789351852</v>
      </c>
      <c r="C291" s="1" t="n">
        <v>45973</v>
      </c>
      <c r="D291" t="inlineStr">
        <is>
          <t>GÄVLEBORGS LÄN</t>
        </is>
      </c>
      <c r="E291" t="inlineStr">
        <is>
          <t>NORDANSTIG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55498-2024</t>
        </is>
      </c>
      <c r="B292" s="1" t="n">
        <v>45622</v>
      </c>
      <c r="C292" s="1" t="n">
        <v>45973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13174-2024</t>
        </is>
      </c>
      <c r="B293" s="1" t="n">
        <v>45386.41466435185</v>
      </c>
      <c r="C293" s="1" t="n">
        <v>45973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13179-2024</t>
        </is>
      </c>
      <c r="B294" s="1" t="n">
        <v>45386.42899305555</v>
      </c>
      <c r="C294" s="1" t="n">
        <v>45973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50286-2023</t>
        </is>
      </c>
      <c r="B295" s="1" t="n">
        <v>45216</v>
      </c>
      <c r="C295" s="1" t="n">
        <v>45973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7503-2022</t>
        </is>
      </c>
      <c r="B296" s="1" t="n">
        <v>44607.46671296296</v>
      </c>
      <c r="C296" s="1" t="n">
        <v>45973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15973-2022</t>
        </is>
      </c>
      <c r="B297" s="1" t="n">
        <v>44664.94773148148</v>
      </c>
      <c r="C297" s="1" t="n">
        <v>45973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42717-2024</t>
        </is>
      </c>
      <c r="B298" s="1" t="n">
        <v>45566.45481481482</v>
      </c>
      <c r="C298" s="1" t="n">
        <v>45973</v>
      </c>
      <c r="D298" t="inlineStr">
        <is>
          <t>GÄVLEBORGS LÄN</t>
        </is>
      </c>
      <c r="E298" t="inlineStr">
        <is>
          <t>NORDANSTIG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43589-2021</t>
        </is>
      </c>
      <c r="B299" s="1" t="n">
        <v>44433</v>
      </c>
      <c r="C299" s="1" t="n">
        <v>45973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60839-2023</t>
        </is>
      </c>
      <c r="B300" s="1" t="n">
        <v>45260.92565972222</v>
      </c>
      <c r="C300" s="1" t="n">
        <v>45973</v>
      </c>
      <c r="D300" t="inlineStr">
        <is>
          <t>GÄVLEBORGS LÄN</t>
        </is>
      </c>
      <c r="E300" t="inlineStr">
        <is>
          <t>NORDANSTIG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38241-2024</t>
        </is>
      </c>
      <c r="B301" s="1" t="n">
        <v>45545.57097222222</v>
      </c>
      <c r="C301" s="1" t="n">
        <v>45973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47876-2023</t>
        </is>
      </c>
      <c r="B302" s="1" t="n">
        <v>45204</v>
      </c>
      <c r="C302" s="1" t="n">
        <v>45973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38298-2024</t>
        </is>
      </c>
      <c r="B303" s="1" t="n">
        <v>45545</v>
      </c>
      <c r="C303" s="1" t="n">
        <v>45973</v>
      </c>
      <c r="D303" t="inlineStr">
        <is>
          <t>GÄVLEBORGS LÄN</t>
        </is>
      </c>
      <c r="E303" t="inlineStr">
        <is>
          <t>NORDANSTIG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51091-2024</t>
        </is>
      </c>
      <c r="B304" s="1" t="n">
        <v>45603.46905092592</v>
      </c>
      <c r="C304" s="1" t="n">
        <v>45973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33478-2023</t>
        </is>
      </c>
      <c r="B305" s="1" t="n">
        <v>45131.4106712963</v>
      </c>
      <c r="C305" s="1" t="n">
        <v>45973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18525-2025</t>
        </is>
      </c>
      <c r="B306" s="1" t="n">
        <v>45763.40003472222</v>
      </c>
      <c r="C306" s="1" t="n">
        <v>45973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25273-2024</t>
        </is>
      </c>
      <c r="B307" s="1" t="n">
        <v>45462</v>
      </c>
      <c r="C307" s="1" t="n">
        <v>45973</v>
      </c>
      <c r="D307" t="inlineStr">
        <is>
          <t>GÄVLEBORGS LÄN</t>
        </is>
      </c>
      <c r="E307" t="inlineStr">
        <is>
          <t>NORDANSTIG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53691-2024</t>
        </is>
      </c>
      <c r="B308" s="1" t="n">
        <v>45615.37226851852</v>
      </c>
      <c r="C308" s="1" t="n">
        <v>45973</v>
      </c>
      <c r="D308" t="inlineStr">
        <is>
          <t>GÄVLEBORGS LÄN</t>
        </is>
      </c>
      <c r="E308" t="inlineStr">
        <is>
          <t>NORDANSTIG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2986-2023</t>
        </is>
      </c>
      <c r="B309" s="1" t="n">
        <v>44945</v>
      </c>
      <c r="C309" s="1" t="n">
        <v>45973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48832-2022</t>
        </is>
      </c>
      <c r="B310" s="1" t="n">
        <v>44859.65696759259</v>
      </c>
      <c r="C310" s="1" t="n">
        <v>45973</v>
      </c>
      <c r="D310" t="inlineStr">
        <is>
          <t>GÄVLEBORGS LÄN</t>
        </is>
      </c>
      <c r="E310" t="inlineStr">
        <is>
          <t>NORDANSTIG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15622-2025</t>
        </is>
      </c>
      <c r="B311" s="1" t="n">
        <v>45748.35768518518</v>
      </c>
      <c r="C311" s="1" t="n">
        <v>45973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45550-2024</t>
        </is>
      </c>
      <c r="B312" s="1" t="n">
        <v>45579</v>
      </c>
      <c r="C312" s="1" t="n">
        <v>45973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1860-2025</t>
        </is>
      </c>
      <c r="B313" s="1" t="n">
        <v>45671.60770833334</v>
      </c>
      <c r="C313" s="1" t="n">
        <v>45973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1873-2025</t>
        </is>
      </c>
      <c r="B314" s="1" t="n">
        <v>45671.61848379629</v>
      </c>
      <c r="C314" s="1" t="n">
        <v>45973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5963-2025</t>
        </is>
      </c>
      <c r="B315" s="1" t="n">
        <v>45695.48805555556</v>
      </c>
      <c r="C315" s="1" t="n">
        <v>45973</v>
      </c>
      <c r="D315" t="inlineStr">
        <is>
          <t>GÄVLEBORGS LÄN</t>
        </is>
      </c>
      <c r="E315" t="inlineStr">
        <is>
          <t>NORDANSTIG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56295-2024</t>
        </is>
      </c>
      <c r="B316" s="1" t="n">
        <v>45624.6821875</v>
      </c>
      <c r="C316" s="1" t="n">
        <v>45973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4556-2025</t>
        </is>
      </c>
      <c r="B317" s="1" t="n">
        <v>45687.44737268519</v>
      </c>
      <c r="C317" s="1" t="n">
        <v>45973</v>
      </c>
      <c r="D317" t="inlineStr">
        <is>
          <t>GÄVLEBORGS LÄN</t>
        </is>
      </c>
      <c r="E317" t="inlineStr">
        <is>
          <t>NORDANSTIG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42780-2022</t>
        </is>
      </c>
      <c r="B318" s="1" t="n">
        <v>44832.5190625</v>
      </c>
      <c r="C318" s="1" t="n">
        <v>45973</v>
      </c>
      <c r="D318" t="inlineStr">
        <is>
          <t>GÄVLEBORGS LÄN</t>
        </is>
      </c>
      <c r="E318" t="inlineStr">
        <is>
          <t>NORDANSTIG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1373-2021</t>
        </is>
      </c>
      <c r="B319" s="1" t="n">
        <v>44208</v>
      </c>
      <c r="C319" s="1" t="n">
        <v>45973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42947-2022</t>
        </is>
      </c>
      <c r="B320" s="1" t="n">
        <v>44833.38618055556</v>
      </c>
      <c r="C320" s="1" t="n">
        <v>45973</v>
      </c>
      <c r="D320" t="inlineStr">
        <is>
          <t>GÄVLEBORGS LÄN</t>
        </is>
      </c>
      <c r="E320" t="inlineStr">
        <is>
          <t>NORDANSTIG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32722-2023</t>
        </is>
      </c>
      <c r="B321" s="1" t="n">
        <v>45121.92335648148</v>
      </c>
      <c r="C321" s="1" t="n">
        <v>45973</v>
      </c>
      <c r="D321" t="inlineStr">
        <is>
          <t>GÄVLEBORGS LÄN</t>
        </is>
      </c>
      <c r="E321" t="inlineStr">
        <is>
          <t>NORDANSTIG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58891-2024</t>
        </is>
      </c>
      <c r="B322" s="1" t="n">
        <v>45636.46212962963</v>
      </c>
      <c r="C322" s="1" t="n">
        <v>45973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41608-2024</t>
        </is>
      </c>
      <c r="B323" s="1" t="n">
        <v>45560</v>
      </c>
      <c r="C323" s="1" t="n">
        <v>45973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16515-2023</t>
        </is>
      </c>
      <c r="B324" s="1" t="n">
        <v>45029.65342592593</v>
      </c>
      <c r="C324" s="1" t="n">
        <v>45973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46299-2023</t>
        </is>
      </c>
      <c r="B325" s="1" t="n">
        <v>45197.33954861111</v>
      </c>
      <c r="C325" s="1" t="n">
        <v>45973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15312-2022</t>
        </is>
      </c>
      <c r="B326" s="1" t="n">
        <v>44659.47033564815</v>
      </c>
      <c r="C326" s="1" t="n">
        <v>45973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72820-2021</t>
        </is>
      </c>
      <c r="B327" s="1" t="n">
        <v>44547</v>
      </c>
      <c r="C327" s="1" t="n">
        <v>45973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31571-2024</t>
        </is>
      </c>
      <c r="B328" s="1" t="n">
        <v>45506.3241087963</v>
      </c>
      <c r="C328" s="1" t="n">
        <v>45973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25724-2024</t>
        </is>
      </c>
      <c r="B329" s="1" t="n">
        <v>45463.95799768518</v>
      </c>
      <c r="C329" s="1" t="n">
        <v>45973</v>
      </c>
      <c r="D329" t="inlineStr">
        <is>
          <t>GÄVLEBORGS LÄN</t>
        </is>
      </c>
      <c r="E329" t="inlineStr">
        <is>
          <t>NORDANSTIG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59128-2024</t>
        </is>
      </c>
      <c r="B330" s="1" t="n">
        <v>45637</v>
      </c>
      <c r="C330" s="1" t="n">
        <v>45973</v>
      </c>
      <c r="D330" t="inlineStr">
        <is>
          <t>GÄVLEBORGS LÄN</t>
        </is>
      </c>
      <c r="E330" t="inlineStr">
        <is>
          <t>NORDANSTIG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30150-2024</t>
        </is>
      </c>
      <c r="B331" s="1" t="n">
        <v>45489.60886574074</v>
      </c>
      <c r="C331" s="1" t="n">
        <v>45973</v>
      </c>
      <c r="D331" t="inlineStr">
        <is>
          <t>GÄVLEBORGS LÄN</t>
        </is>
      </c>
      <c r="E331" t="inlineStr">
        <is>
          <t>NORDANSTIG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19364-2022</t>
        </is>
      </c>
      <c r="B332" s="1" t="n">
        <v>44692</v>
      </c>
      <c r="C332" s="1" t="n">
        <v>45973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44377-2024</t>
        </is>
      </c>
      <c r="B333" s="1" t="n">
        <v>45573.66002314815</v>
      </c>
      <c r="C333" s="1" t="n">
        <v>45973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59851-2024</t>
        </is>
      </c>
      <c r="B334" s="1" t="n">
        <v>45639</v>
      </c>
      <c r="C334" s="1" t="n">
        <v>45973</v>
      </c>
      <c r="D334" t="inlineStr">
        <is>
          <t>GÄVLEBORGS LÄN</t>
        </is>
      </c>
      <c r="E334" t="inlineStr">
        <is>
          <t>NORDANSTIG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38514-2025</t>
        </is>
      </c>
      <c r="B335" s="1" t="n">
        <v>45884.3940162037</v>
      </c>
      <c r="C335" s="1" t="n">
        <v>45973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5143-2025</t>
        </is>
      </c>
      <c r="B336" s="1" t="n">
        <v>45691.58659722222</v>
      </c>
      <c r="C336" s="1" t="n">
        <v>45973</v>
      </c>
      <c r="D336" t="inlineStr">
        <is>
          <t>GÄVLEBORGS LÄN</t>
        </is>
      </c>
      <c r="E336" t="inlineStr">
        <is>
          <t>NORDANSTIG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1236-2021</t>
        </is>
      </c>
      <c r="B337" s="1" t="n">
        <v>44208</v>
      </c>
      <c r="C337" s="1" t="n">
        <v>45973</v>
      </c>
      <c r="D337" t="inlineStr">
        <is>
          <t>GÄVLEBORGS LÄN</t>
        </is>
      </c>
      <c r="E337" t="inlineStr">
        <is>
          <t>NORDANSTIG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3692-2022</t>
        </is>
      </c>
      <c r="B338" s="1" t="n">
        <v>44586</v>
      </c>
      <c r="C338" s="1" t="n">
        <v>45973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38589-2025</t>
        </is>
      </c>
      <c r="B339" s="1" t="n">
        <v>45884.47407407407</v>
      </c>
      <c r="C339" s="1" t="n">
        <v>45973</v>
      </c>
      <c r="D339" t="inlineStr">
        <is>
          <t>GÄVLEBORGS LÄN</t>
        </is>
      </c>
      <c r="E339" t="inlineStr">
        <is>
          <t>NORDANSTIG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4409-2025</t>
        </is>
      </c>
      <c r="B340" s="1" t="n">
        <v>45686.44449074074</v>
      </c>
      <c r="C340" s="1" t="n">
        <v>45973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32470-2023</t>
        </is>
      </c>
      <c r="B341" s="1" t="n">
        <v>45120.92684027777</v>
      </c>
      <c r="C341" s="1" t="n">
        <v>45973</v>
      </c>
      <c r="D341" t="inlineStr">
        <is>
          <t>GÄVLEBORGS LÄN</t>
        </is>
      </c>
      <c r="E341" t="inlineStr">
        <is>
          <t>NORDANSTIG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31723-2024</t>
        </is>
      </c>
      <c r="B342" s="1" t="n">
        <v>45509.32942129629</v>
      </c>
      <c r="C342" s="1" t="n">
        <v>45973</v>
      </c>
      <c r="D342" t="inlineStr">
        <is>
          <t>GÄVLEBORGS LÄN</t>
        </is>
      </c>
      <c r="E342" t="inlineStr">
        <is>
          <t>NORDANSTIG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4559-2025</t>
        </is>
      </c>
      <c r="B343" s="1" t="n">
        <v>45687.45087962963</v>
      </c>
      <c r="C343" s="1" t="n">
        <v>45973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56263-2024</t>
        </is>
      </c>
      <c r="B344" s="1" t="n">
        <v>45624.65340277777</v>
      </c>
      <c r="C344" s="1" t="n">
        <v>45973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51740-2023</t>
        </is>
      </c>
      <c r="B345" s="1" t="n">
        <v>45222.66674768519</v>
      </c>
      <c r="C345" s="1" t="n">
        <v>45973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51438-2023</t>
        </is>
      </c>
      <c r="B346" s="1" t="n">
        <v>45219</v>
      </c>
      <c r="C346" s="1" t="n">
        <v>45973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55494-2024</t>
        </is>
      </c>
      <c r="B347" s="1" t="n">
        <v>45622</v>
      </c>
      <c r="C347" s="1" t="n">
        <v>45973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7013-2023</t>
        </is>
      </c>
      <c r="B348" s="1" t="n">
        <v>44967.96155092592</v>
      </c>
      <c r="C348" s="1" t="n">
        <v>45973</v>
      </c>
      <c r="D348" t="inlineStr">
        <is>
          <t>GÄVLEBORGS LÄN</t>
        </is>
      </c>
      <c r="E348" t="inlineStr">
        <is>
          <t>NORDANSTIG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7014-2023</t>
        </is>
      </c>
      <c r="B349" s="1" t="n">
        <v>44967.968125</v>
      </c>
      <c r="C349" s="1" t="n">
        <v>45973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55531-2024</t>
        </is>
      </c>
      <c r="B350" s="1" t="n">
        <v>45622.48667824074</v>
      </c>
      <c r="C350" s="1" t="n">
        <v>45973</v>
      </c>
      <c r="D350" t="inlineStr">
        <is>
          <t>GÄVLEBORGS LÄN</t>
        </is>
      </c>
      <c r="E350" t="inlineStr">
        <is>
          <t>NORDANSTIG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19567-2024</t>
        </is>
      </c>
      <c r="B351" s="1" t="n">
        <v>45429.92321759259</v>
      </c>
      <c r="C351" s="1" t="n">
        <v>45973</v>
      </c>
      <c r="D351" t="inlineStr">
        <is>
          <t>GÄVLEBORGS LÄN</t>
        </is>
      </c>
      <c r="E351" t="inlineStr">
        <is>
          <t>NORDANSTIG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2592-2023</t>
        </is>
      </c>
      <c r="B352" s="1" t="n">
        <v>44943.92533564815</v>
      </c>
      <c r="C352" s="1" t="n">
        <v>45973</v>
      </c>
      <c r="D352" t="inlineStr">
        <is>
          <t>GÄVLEBORGS LÄN</t>
        </is>
      </c>
      <c r="E352" t="inlineStr">
        <is>
          <t>NORDANSTIG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61141-2022</t>
        </is>
      </c>
      <c r="B353" s="1" t="n">
        <v>44915.45592592593</v>
      </c>
      <c r="C353" s="1" t="n">
        <v>45973</v>
      </c>
      <c r="D353" t="inlineStr">
        <is>
          <t>GÄVLEBORGS LÄN</t>
        </is>
      </c>
      <c r="E353" t="inlineStr">
        <is>
          <t>NORDANSTIG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38246-2025</t>
        </is>
      </c>
      <c r="B354" s="1" t="n">
        <v>45883.36712962963</v>
      </c>
      <c r="C354" s="1" t="n">
        <v>45973</v>
      </c>
      <c r="D354" t="inlineStr">
        <is>
          <t>GÄVLEBORGS LÄN</t>
        </is>
      </c>
      <c r="E354" t="inlineStr">
        <is>
          <t>NORDANSTIG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20512-2022</t>
        </is>
      </c>
      <c r="B355" s="1" t="n">
        <v>44699</v>
      </c>
      <c r="C355" s="1" t="n">
        <v>45973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34869-2024</t>
        </is>
      </c>
      <c r="B356" s="1" t="n">
        <v>45527.34570601852</v>
      </c>
      <c r="C356" s="1" t="n">
        <v>45973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17482-2022</t>
        </is>
      </c>
      <c r="B357" s="1" t="n">
        <v>44679.44565972222</v>
      </c>
      <c r="C357" s="1" t="n">
        <v>45973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11434-2024</t>
        </is>
      </c>
      <c r="B358" s="1" t="n">
        <v>45372.51966435185</v>
      </c>
      <c r="C358" s="1" t="n">
        <v>45973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16640-2025</t>
        </is>
      </c>
      <c r="B359" s="1" t="n">
        <v>45754.36946759259</v>
      </c>
      <c r="C359" s="1" t="n">
        <v>45973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17271-2022</t>
        </is>
      </c>
      <c r="B360" s="1" t="n">
        <v>44678</v>
      </c>
      <c r="C360" s="1" t="n">
        <v>45973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36025-2023</t>
        </is>
      </c>
      <c r="B361" s="1" t="n">
        <v>45149.37282407407</v>
      </c>
      <c r="C361" s="1" t="n">
        <v>45973</v>
      </c>
      <c r="D361" t="inlineStr">
        <is>
          <t>GÄVLEBORGS LÄN</t>
        </is>
      </c>
      <c r="E361" t="inlineStr">
        <is>
          <t>NORDANSTIG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59409-2023</t>
        </is>
      </c>
      <c r="B362" s="1" t="n">
        <v>45253</v>
      </c>
      <c r="C362" s="1" t="n">
        <v>45973</v>
      </c>
      <c r="D362" t="inlineStr">
        <is>
          <t>GÄVLEBORGS LÄN</t>
        </is>
      </c>
      <c r="E362" t="inlineStr">
        <is>
          <t>NORDANSTIG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4414-2022</t>
        </is>
      </c>
      <c r="B363" s="1" t="n">
        <v>44589</v>
      </c>
      <c r="C363" s="1" t="n">
        <v>45973</v>
      </c>
      <c r="D363" t="inlineStr">
        <is>
          <t>GÄVLEBORGS LÄN</t>
        </is>
      </c>
      <c r="E363" t="inlineStr">
        <is>
          <t>NORDANSTIG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59425-2022</t>
        </is>
      </c>
      <c r="B364" s="1" t="n">
        <v>44907</v>
      </c>
      <c r="C364" s="1" t="n">
        <v>45973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17505-2025</t>
        </is>
      </c>
      <c r="B365" s="1" t="n">
        <v>45757.55423611111</v>
      </c>
      <c r="C365" s="1" t="n">
        <v>45973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50413-2023</t>
        </is>
      </c>
      <c r="B366" s="1" t="n">
        <v>45216.66340277778</v>
      </c>
      <c r="C366" s="1" t="n">
        <v>45973</v>
      </c>
      <c r="D366" t="inlineStr">
        <is>
          <t>GÄVLEBORGS LÄN</t>
        </is>
      </c>
      <c r="E366" t="inlineStr">
        <is>
          <t>NORDANSTIG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37563-2025</t>
        </is>
      </c>
      <c r="B367" s="1" t="n">
        <v>45880</v>
      </c>
      <c r="C367" s="1" t="n">
        <v>45973</v>
      </c>
      <c r="D367" t="inlineStr">
        <is>
          <t>GÄVLEBORGS LÄN</t>
        </is>
      </c>
      <c r="E367" t="inlineStr">
        <is>
          <t>NORDANSTIG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18529-2022</t>
        </is>
      </c>
      <c r="B368" s="1" t="n">
        <v>44686.7058912037</v>
      </c>
      <c r="C368" s="1" t="n">
        <v>45973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22310-2025</t>
        </is>
      </c>
      <c r="B369" s="1" t="n">
        <v>45786.36578703704</v>
      </c>
      <c r="C369" s="1" t="n">
        <v>45973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22689-2025</t>
        </is>
      </c>
      <c r="B370" s="1" t="n">
        <v>45789.52925925926</v>
      </c>
      <c r="C370" s="1" t="n">
        <v>45973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38610-2025</t>
        </is>
      </c>
      <c r="B371" s="1" t="n">
        <v>45884.53892361111</v>
      </c>
      <c r="C371" s="1" t="n">
        <v>45973</v>
      </c>
      <c r="D371" t="inlineStr">
        <is>
          <t>GÄVLEBORGS LÄN</t>
        </is>
      </c>
      <c r="E371" t="inlineStr">
        <is>
          <t>NORDANSTIG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41729-2023</t>
        </is>
      </c>
      <c r="B372" s="1" t="n">
        <v>45176</v>
      </c>
      <c r="C372" s="1" t="n">
        <v>45973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38369-2025</t>
        </is>
      </c>
      <c r="B373" s="1" t="n">
        <v>45883.55640046296</v>
      </c>
      <c r="C373" s="1" t="n">
        <v>45973</v>
      </c>
      <c r="D373" t="inlineStr">
        <is>
          <t>GÄVLEBORGS LÄN</t>
        </is>
      </c>
      <c r="E373" t="inlineStr">
        <is>
          <t>NORDANSTIG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44826-2024</t>
        </is>
      </c>
      <c r="B374" s="1" t="n">
        <v>45574.67715277777</v>
      </c>
      <c r="C374" s="1" t="n">
        <v>45973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59930-2024</t>
        </is>
      </c>
      <c r="B375" s="1" t="n">
        <v>45642</v>
      </c>
      <c r="C375" s="1" t="n">
        <v>45973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44525.53486111111</v>
      </c>
      <c r="C376" s="1" t="n">
        <v>45973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38295-2025</t>
        </is>
      </c>
      <c r="B377" s="1" t="n">
        <v>45883.45166666667</v>
      </c>
      <c r="C377" s="1" t="n">
        <v>45973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13470-2025</t>
        </is>
      </c>
      <c r="B378" s="1" t="n">
        <v>45736.40509259259</v>
      </c>
      <c r="C378" s="1" t="n">
        <v>45973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16616-2025</t>
        </is>
      </c>
      <c r="B379" s="1" t="n">
        <v>45754</v>
      </c>
      <c r="C379" s="1" t="n">
        <v>45973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51998-2023</t>
        </is>
      </c>
      <c r="B380" s="1" t="n">
        <v>45223</v>
      </c>
      <c r="C380" s="1" t="n">
        <v>45973</v>
      </c>
      <c r="D380" t="inlineStr">
        <is>
          <t>GÄVLEBORGS LÄN</t>
        </is>
      </c>
      <c r="E380" t="inlineStr">
        <is>
          <t>NORDANSTIG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22319-2025</t>
        </is>
      </c>
      <c r="B381" s="1" t="n">
        <v>45786.39515046297</v>
      </c>
      <c r="C381" s="1" t="n">
        <v>45973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22784-2025</t>
        </is>
      </c>
      <c r="B382" s="1" t="n">
        <v>45789.63913194444</v>
      </c>
      <c r="C382" s="1" t="n">
        <v>45973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55.6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24999-2022</t>
        </is>
      </c>
      <c r="B383" s="1" t="n">
        <v>44728</v>
      </c>
      <c r="C383" s="1" t="n">
        <v>45973</v>
      </c>
      <c r="D383" t="inlineStr">
        <is>
          <t>GÄVLEBORGS LÄN</t>
        </is>
      </c>
      <c r="E383" t="inlineStr">
        <is>
          <t>NORDANSTIG</t>
        </is>
      </c>
      <c r="G383" t="n">
        <v>18.5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4084-2025</t>
        </is>
      </c>
      <c r="B384" s="1" t="n">
        <v>45684.66099537037</v>
      </c>
      <c r="C384" s="1" t="n">
        <v>45973</v>
      </c>
      <c r="D384" t="inlineStr">
        <is>
          <t>GÄVLEBORGS LÄN</t>
        </is>
      </c>
      <c r="E384" t="inlineStr">
        <is>
          <t>NORDANSTIG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51806-2024</t>
        </is>
      </c>
      <c r="B385" s="1" t="n">
        <v>45607.47730324074</v>
      </c>
      <c r="C385" s="1" t="n">
        <v>45973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51821-2024</t>
        </is>
      </c>
      <c r="B386" s="1" t="n">
        <v>45607.49569444444</v>
      </c>
      <c r="C386" s="1" t="n">
        <v>45973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48212-2024</t>
        </is>
      </c>
      <c r="B387" s="1" t="n">
        <v>45590.34556712963</v>
      </c>
      <c r="C387" s="1" t="n">
        <v>45973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32149-2024</t>
        </is>
      </c>
      <c r="B388" s="1" t="n">
        <v>45511</v>
      </c>
      <c r="C388" s="1" t="n">
        <v>45973</v>
      </c>
      <c r="D388" t="inlineStr">
        <is>
          <t>GÄVLEBORGS LÄN</t>
        </is>
      </c>
      <c r="E388" t="inlineStr">
        <is>
          <t>NORDANSTIG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23122-2025</t>
        </is>
      </c>
      <c r="B389" s="1" t="n">
        <v>45791</v>
      </c>
      <c r="C389" s="1" t="n">
        <v>45973</v>
      </c>
      <c r="D389" t="inlineStr">
        <is>
          <t>GÄVLEBORGS LÄN</t>
        </is>
      </c>
      <c r="E389" t="inlineStr">
        <is>
          <t>NORDANSTIG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17678-2025</t>
        </is>
      </c>
      <c r="B390" s="1" t="n">
        <v>45758.37297453704</v>
      </c>
      <c r="C390" s="1" t="n">
        <v>45973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23467-2025</t>
        </is>
      </c>
      <c r="B391" s="1" t="n">
        <v>45792.43704861111</v>
      </c>
      <c r="C391" s="1" t="n">
        <v>45973</v>
      </c>
      <c r="D391" t="inlineStr">
        <is>
          <t>GÄVLEBORGS LÄN</t>
        </is>
      </c>
      <c r="E391" t="inlineStr">
        <is>
          <t>NORDANSTIG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30630-2022</t>
        </is>
      </c>
      <c r="B392" s="1" t="n">
        <v>44763.44563657408</v>
      </c>
      <c r="C392" s="1" t="n">
        <v>45973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23623-2025</t>
        </is>
      </c>
      <c r="B393" s="1" t="n">
        <v>45792</v>
      </c>
      <c r="C393" s="1" t="n">
        <v>45973</v>
      </c>
      <c r="D393" t="inlineStr">
        <is>
          <t>GÄVLEBORGS LÄN</t>
        </is>
      </c>
      <c r="E393" t="inlineStr">
        <is>
          <t>NORDANSTIG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23154-2025</t>
        </is>
      </c>
      <c r="B394" s="1" t="n">
        <v>45791</v>
      </c>
      <c r="C394" s="1" t="n">
        <v>45973</v>
      </c>
      <c r="D394" t="inlineStr">
        <is>
          <t>GÄVLEBORGS LÄN</t>
        </is>
      </c>
      <c r="E394" t="inlineStr">
        <is>
          <t>NORDANSTIG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20137-2023</t>
        </is>
      </c>
      <c r="B395" s="1" t="n">
        <v>45055</v>
      </c>
      <c r="C395" s="1" t="n">
        <v>45973</v>
      </c>
      <c r="D395" t="inlineStr">
        <is>
          <t>GÄVLEBORGS LÄN</t>
        </is>
      </c>
      <c r="E395" t="inlineStr">
        <is>
          <t>NORDANSTIG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54803-2023</t>
        </is>
      </c>
      <c r="B396" s="1" t="n">
        <v>45236</v>
      </c>
      <c r="C396" s="1" t="n">
        <v>45973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22459-2023</t>
        </is>
      </c>
      <c r="B397" s="1" t="n">
        <v>45070</v>
      </c>
      <c r="C397" s="1" t="n">
        <v>45973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39036-2025</t>
        </is>
      </c>
      <c r="B398" s="1" t="n">
        <v>45888.42379629629</v>
      </c>
      <c r="C398" s="1" t="n">
        <v>45973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28711-2022</t>
        </is>
      </c>
      <c r="B399" s="1" t="n">
        <v>44748</v>
      </c>
      <c r="C399" s="1" t="n">
        <v>45973</v>
      </c>
      <c r="D399" t="inlineStr">
        <is>
          <t>GÄVLEBORGS LÄN</t>
        </is>
      </c>
      <c r="E399" t="inlineStr">
        <is>
          <t>NORDANSTIG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57013-2022</t>
        </is>
      </c>
      <c r="B400" s="1" t="n">
        <v>44894</v>
      </c>
      <c r="C400" s="1" t="n">
        <v>45973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SCA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14402-2025</t>
        </is>
      </c>
      <c r="B401" s="1" t="n">
        <v>45741.4575</v>
      </c>
      <c r="C401" s="1" t="n">
        <v>45973</v>
      </c>
      <c r="D401" t="inlineStr">
        <is>
          <t>GÄVLEBORGS LÄN</t>
        </is>
      </c>
      <c r="E401" t="inlineStr">
        <is>
          <t>NORDANSTIG</t>
        </is>
      </c>
      <c r="G401" t="n">
        <v>17.1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33414-2022</t>
        </is>
      </c>
      <c r="B402" s="1" t="n">
        <v>44788.60025462963</v>
      </c>
      <c r="C402" s="1" t="n">
        <v>45973</v>
      </c>
      <c r="D402" t="inlineStr">
        <is>
          <t>GÄVLEBORGS LÄN</t>
        </is>
      </c>
      <c r="E402" t="inlineStr">
        <is>
          <t>NORDANSTIG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23119-2025</t>
        </is>
      </c>
      <c r="B403" s="1" t="n">
        <v>45791</v>
      </c>
      <c r="C403" s="1" t="n">
        <v>45973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23072-2025</t>
        </is>
      </c>
      <c r="B404" s="1" t="n">
        <v>45790.89</v>
      </c>
      <c r="C404" s="1" t="n">
        <v>45973</v>
      </c>
      <c r="D404" t="inlineStr">
        <is>
          <t>GÄVLEBORGS LÄN</t>
        </is>
      </c>
      <c r="E404" t="inlineStr">
        <is>
          <t>NORDANSTIG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36960-2023</t>
        </is>
      </c>
      <c r="B405" s="1" t="n">
        <v>45154</v>
      </c>
      <c r="C405" s="1" t="n">
        <v>45973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7252-2025</t>
        </is>
      </c>
      <c r="B406" s="1" t="n">
        <v>45702.56151620371</v>
      </c>
      <c r="C406" s="1" t="n">
        <v>45973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30940-2022</t>
        </is>
      </c>
      <c r="B407" s="1" t="n">
        <v>44768.34793981481</v>
      </c>
      <c r="C407" s="1" t="n">
        <v>45973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40641-2024</t>
        </is>
      </c>
      <c r="B408" s="1" t="n">
        <v>45558.30701388889</v>
      </c>
      <c r="C408" s="1" t="n">
        <v>45973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55002-2023</t>
        </is>
      </c>
      <c r="B409" s="1" t="n">
        <v>45236</v>
      </c>
      <c r="C409" s="1" t="n">
        <v>45973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60041-2023</t>
        </is>
      </c>
      <c r="B410" s="1" t="n">
        <v>45258.34424768519</v>
      </c>
      <c r="C410" s="1" t="n">
        <v>45973</v>
      </c>
      <c r="D410" t="inlineStr">
        <is>
          <t>GÄVLEBORGS LÄN</t>
        </is>
      </c>
      <c r="E410" t="inlineStr">
        <is>
          <t>NORDANSTIG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51560-2023</t>
        </is>
      </c>
      <c r="B411" s="1" t="n">
        <v>45222.44016203703</v>
      </c>
      <c r="C411" s="1" t="n">
        <v>45973</v>
      </c>
      <c r="D411" t="inlineStr">
        <is>
          <t>GÄVLEBORGS LÄN</t>
        </is>
      </c>
      <c r="E411" t="inlineStr">
        <is>
          <t>NORDANSTIG</t>
        </is>
      </c>
      <c r="G411" t="n">
        <v>26.9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23993-2025</t>
        </is>
      </c>
      <c r="B412" s="1" t="n">
        <v>45796.40721064815</v>
      </c>
      <c r="C412" s="1" t="n">
        <v>45973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41.3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55538-2024</t>
        </is>
      </c>
      <c r="B413" s="1" t="n">
        <v>45622.49493055556</v>
      </c>
      <c r="C413" s="1" t="n">
        <v>45973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60398-2023</t>
        </is>
      </c>
      <c r="B414" s="1" t="n">
        <v>45259</v>
      </c>
      <c r="C414" s="1" t="n">
        <v>45973</v>
      </c>
      <c r="D414" t="inlineStr">
        <is>
          <t>GÄVLEBORGS LÄN</t>
        </is>
      </c>
      <c r="E414" t="inlineStr">
        <is>
          <t>NORDANSTIG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56351-2024</t>
        </is>
      </c>
      <c r="B415" s="1" t="n">
        <v>45624.91649305556</v>
      </c>
      <c r="C415" s="1" t="n">
        <v>45973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23791-2025</t>
        </is>
      </c>
      <c r="B416" s="1" t="n">
        <v>45793.53853009259</v>
      </c>
      <c r="C416" s="1" t="n">
        <v>45973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36250-2024</t>
        </is>
      </c>
      <c r="B417" s="1" t="n">
        <v>45534</v>
      </c>
      <c r="C417" s="1" t="n">
        <v>45973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38990-2025</t>
        </is>
      </c>
      <c r="B418" s="1" t="n">
        <v>45888.32341435185</v>
      </c>
      <c r="C418" s="1" t="n">
        <v>45973</v>
      </c>
      <c r="D418" t="inlineStr">
        <is>
          <t>GÄVLEBORGS LÄN</t>
        </is>
      </c>
      <c r="E418" t="inlineStr">
        <is>
          <t>NORDANSTIG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6344-2021</t>
        </is>
      </c>
      <c r="B419" s="1" t="n">
        <v>44235</v>
      </c>
      <c r="C419" s="1" t="n">
        <v>45973</v>
      </c>
      <c r="D419" t="inlineStr">
        <is>
          <t>GÄVLEBORGS LÄN</t>
        </is>
      </c>
      <c r="E419" t="inlineStr">
        <is>
          <t>NORDANSTIG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43523-2024</t>
        </is>
      </c>
      <c r="B420" s="1" t="n">
        <v>45569</v>
      </c>
      <c r="C420" s="1" t="n">
        <v>45973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39597-2025</t>
        </is>
      </c>
      <c r="B421" s="1" t="n">
        <v>45890.54349537037</v>
      </c>
      <c r="C421" s="1" t="n">
        <v>45973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45312-2023</t>
        </is>
      </c>
      <c r="B422" s="1" t="n">
        <v>45191.70572916666</v>
      </c>
      <c r="C422" s="1" t="n">
        <v>45973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7916-2022</t>
        </is>
      </c>
      <c r="B423" s="1" t="n">
        <v>44608.68528935185</v>
      </c>
      <c r="C423" s="1" t="n">
        <v>45973</v>
      </c>
      <c r="D423" t="inlineStr">
        <is>
          <t>GÄVLEBORGS LÄN</t>
        </is>
      </c>
      <c r="E423" t="inlineStr">
        <is>
          <t>NORDANSTIG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47790-2025</t>
        </is>
      </c>
      <c r="B424" s="1" t="n">
        <v>45931.79914351852</v>
      </c>
      <c r="C424" s="1" t="n">
        <v>45973</v>
      </c>
      <c r="D424" t="inlineStr">
        <is>
          <t>GÄVLEBORGS LÄN</t>
        </is>
      </c>
      <c r="E424" t="inlineStr">
        <is>
          <t>NORDANSTIG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47544-2025</t>
        </is>
      </c>
      <c r="B425" s="1" t="n">
        <v>45931.36108796296</v>
      </c>
      <c r="C425" s="1" t="n">
        <v>45973</v>
      </c>
      <c r="D425" t="inlineStr">
        <is>
          <t>GÄVLEBORGS LÄN</t>
        </is>
      </c>
      <c r="E425" t="inlineStr">
        <is>
          <t>NORDANSTIG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23788-2025</t>
        </is>
      </c>
      <c r="B426" s="1" t="n">
        <v>45793.5347800926</v>
      </c>
      <c r="C426" s="1" t="n">
        <v>45973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24101-2025</t>
        </is>
      </c>
      <c r="B427" s="1" t="n">
        <v>45796.59533564815</v>
      </c>
      <c r="C427" s="1" t="n">
        <v>45973</v>
      </c>
      <c r="D427" t="inlineStr">
        <is>
          <t>GÄVLEBORGS LÄN</t>
        </is>
      </c>
      <c r="E427" t="inlineStr">
        <is>
          <t>NORDANSTIG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51930-2023</t>
        </is>
      </c>
      <c r="B428" s="1" t="n">
        <v>45223.495</v>
      </c>
      <c r="C428" s="1" t="n">
        <v>45973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23369-2022</t>
        </is>
      </c>
      <c r="B429" s="1" t="n">
        <v>44720.60880787037</v>
      </c>
      <c r="C429" s="1" t="n">
        <v>45973</v>
      </c>
      <c r="D429" t="inlineStr">
        <is>
          <t>GÄVLEBORGS LÄN</t>
        </is>
      </c>
      <c r="E429" t="inlineStr">
        <is>
          <t>NORDANSTIG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40269-2023</t>
        </is>
      </c>
      <c r="B430" s="1" t="n">
        <v>45169.54965277778</v>
      </c>
      <c r="C430" s="1" t="n">
        <v>45973</v>
      </c>
      <c r="D430" t="inlineStr">
        <is>
          <t>GÄVLEBORGS LÄN</t>
        </is>
      </c>
      <c r="E430" t="inlineStr">
        <is>
          <t>NORDANSTIG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12216-2025</t>
        </is>
      </c>
      <c r="B431" s="1" t="n">
        <v>45729.53565972222</v>
      </c>
      <c r="C431" s="1" t="n">
        <v>45973</v>
      </c>
      <c r="D431" t="inlineStr">
        <is>
          <t>GÄVLEBORGS LÄN</t>
        </is>
      </c>
      <c r="E431" t="inlineStr">
        <is>
          <t>NORDANSTIG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6718-2021</t>
        </is>
      </c>
      <c r="B432" s="1" t="n">
        <v>44236</v>
      </c>
      <c r="C432" s="1" t="n">
        <v>45973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47795-2025</t>
        </is>
      </c>
      <c r="B433" s="1" t="n">
        <v>45931.8187962963</v>
      </c>
      <c r="C433" s="1" t="n">
        <v>45973</v>
      </c>
      <c r="D433" t="inlineStr">
        <is>
          <t>GÄVLEBORGS LÄN</t>
        </is>
      </c>
      <c r="E433" t="inlineStr">
        <is>
          <t>NORDANSTIG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32652-2023</t>
        </is>
      </c>
      <c r="B434" s="1" t="n">
        <v>45121.60966435185</v>
      </c>
      <c r="C434" s="1" t="n">
        <v>45973</v>
      </c>
      <c r="D434" t="inlineStr">
        <is>
          <t>GÄVLEBORGS LÄN</t>
        </is>
      </c>
      <c r="E434" t="inlineStr">
        <is>
          <t>NORDANSTIG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62619-2023</t>
        </is>
      </c>
      <c r="B435" s="1" t="n">
        <v>45271.35469907407</v>
      </c>
      <c r="C435" s="1" t="n">
        <v>45973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10796-2025</t>
        </is>
      </c>
      <c r="B436" s="1" t="n">
        <v>45722.50196759259</v>
      </c>
      <c r="C436" s="1" t="n">
        <v>45973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47762-2021</t>
        </is>
      </c>
      <c r="B437" s="1" t="n">
        <v>44448</v>
      </c>
      <c r="C437" s="1" t="n">
        <v>45973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20386-2024</t>
        </is>
      </c>
      <c r="B438" s="1" t="n">
        <v>45435.50869212963</v>
      </c>
      <c r="C438" s="1" t="n">
        <v>45973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46376-2024</t>
        </is>
      </c>
      <c r="B439" s="1" t="n">
        <v>45582.3827662037</v>
      </c>
      <c r="C439" s="1" t="n">
        <v>45973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45549-2024</t>
        </is>
      </c>
      <c r="B440" s="1" t="n">
        <v>45579.34450231482</v>
      </c>
      <c r="C440" s="1" t="n">
        <v>45973</v>
      </c>
      <c r="D440" t="inlineStr">
        <is>
          <t>GÄVLEBORGS LÄN</t>
        </is>
      </c>
      <c r="E440" t="inlineStr">
        <is>
          <t>NORDANSTIG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56280-2024</t>
        </is>
      </c>
      <c r="B441" s="1" t="n">
        <v>45624.67489583333</v>
      </c>
      <c r="C441" s="1" t="n">
        <v>45973</v>
      </c>
      <c r="D441" t="inlineStr">
        <is>
          <t>GÄVLEBORGS LÄN</t>
        </is>
      </c>
      <c r="E441" t="inlineStr">
        <is>
          <t>NORDANSTIG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48677-2025</t>
        </is>
      </c>
      <c r="B442" s="1" t="n">
        <v>45936.59133101852</v>
      </c>
      <c r="C442" s="1" t="n">
        <v>45973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48715-2025</t>
        </is>
      </c>
      <c r="B443" s="1" t="n">
        <v>45936.63667824074</v>
      </c>
      <c r="C443" s="1" t="n">
        <v>45973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48724-2025</t>
        </is>
      </c>
      <c r="B444" s="1" t="n">
        <v>45936.65136574074</v>
      </c>
      <c r="C444" s="1" t="n">
        <v>45973</v>
      </c>
      <c r="D444" t="inlineStr">
        <is>
          <t>GÄVLEBORGS LÄN</t>
        </is>
      </c>
      <c r="E444" t="inlineStr">
        <is>
          <t>NORDANSTIG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41620-2023</t>
        </is>
      </c>
      <c r="B445" s="1" t="n">
        <v>45175.67440972223</v>
      </c>
      <c r="C445" s="1" t="n">
        <v>45973</v>
      </c>
      <c r="D445" t="inlineStr">
        <is>
          <t>GÄVLEBORGS LÄN</t>
        </is>
      </c>
      <c r="E445" t="inlineStr">
        <is>
          <t>NORDANSTIG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20577-2025</t>
        </is>
      </c>
      <c r="B446" s="1" t="n">
        <v>45775.67856481481</v>
      </c>
      <c r="C446" s="1" t="n">
        <v>45973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18680-2025</t>
        </is>
      </c>
      <c r="B447" s="1" t="n">
        <v>45763.60581018519</v>
      </c>
      <c r="C447" s="1" t="n">
        <v>45973</v>
      </c>
      <c r="D447" t="inlineStr">
        <is>
          <t>GÄVLEBORGS LÄN</t>
        </is>
      </c>
      <c r="E447" t="inlineStr">
        <is>
          <t>NORDANSTIG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18445-2025</t>
        </is>
      </c>
      <c r="B448" s="1" t="n">
        <v>45762.6605787037</v>
      </c>
      <c r="C448" s="1" t="n">
        <v>45973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22041-2022</t>
        </is>
      </c>
      <c r="B449" s="1" t="n">
        <v>44711.65472222222</v>
      </c>
      <c r="C449" s="1" t="n">
        <v>45973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5479-2023</t>
        </is>
      </c>
      <c r="B450" s="1" t="n">
        <v>44960</v>
      </c>
      <c r="C450" s="1" t="n">
        <v>45973</v>
      </c>
      <c r="D450" t="inlineStr">
        <is>
          <t>GÄVLEBORGS LÄN</t>
        </is>
      </c>
      <c r="E450" t="inlineStr">
        <is>
          <t>NORDANSTIG</t>
        </is>
      </c>
      <c r="G450" t="n">
        <v>17.6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59297-2024</t>
        </is>
      </c>
      <c r="B451" s="1" t="n">
        <v>45637</v>
      </c>
      <c r="C451" s="1" t="n">
        <v>45973</v>
      </c>
      <c r="D451" t="inlineStr">
        <is>
          <t>GÄVLEBORGS LÄN</t>
        </is>
      </c>
      <c r="E451" t="inlineStr">
        <is>
          <t>NORDANSTIG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44446-2023</t>
        </is>
      </c>
      <c r="B452" s="1" t="n">
        <v>45189.378125</v>
      </c>
      <c r="C452" s="1" t="n">
        <v>45973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25723-2024</t>
        </is>
      </c>
      <c r="B453" s="1" t="n">
        <v>45463.95457175926</v>
      </c>
      <c r="C453" s="1" t="n">
        <v>45973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48566-2025</t>
        </is>
      </c>
      <c r="B454" s="1" t="n">
        <v>45936.44791666666</v>
      </c>
      <c r="C454" s="1" t="n">
        <v>45973</v>
      </c>
      <c r="D454" t="inlineStr">
        <is>
          <t>GÄVLEBORGS LÄN</t>
        </is>
      </c>
      <c r="E454" t="inlineStr">
        <is>
          <t>NORDANSTIG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15494-2023</t>
        </is>
      </c>
      <c r="B455" s="1" t="n">
        <v>45020.47074074074</v>
      </c>
      <c r="C455" s="1" t="n">
        <v>45973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15496-2023</t>
        </is>
      </c>
      <c r="B456" s="1" t="n">
        <v>45020.47482638889</v>
      </c>
      <c r="C456" s="1" t="n">
        <v>45973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35405-2025</t>
        </is>
      </c>
      <c r="B457" s="1" t="n">
        <v>45855</v>
      </c>
      <c r="C457" s="1" t="n">
        <v>45973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40388-2022</t>
        </is>
      </c>
      <c r="B458" s="1" t="n">
        <v>44823</v>
      </c>
      <c r="C458" s="1" t="n">
        <v>45973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43075-2024</t>
        </is>
      </c>
      <c r="B459" s="1" t="n">
        <v>45567.4943287037</v>
      </c>
      <c r="C459" s="1" t="n">
        <v>45973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18433-2025</t>
        </is>
      </c>
      <c r="B460" s="1" t="n">
        <v>45762.63892361111</v>
      </c>
      <c r="C460" s="1" t="n">
        <v>45973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53179-2024</t>
        </is>
      </c>
      <c r="B461" s="1" t="n">
        <v>45611.66996527778</v>
      </c>
      <c r="C461" s="1" t="n">
        <v>45973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53167-2024</t>
        </is>
      </c>
      <c r="B462" s="1" t="n">
        <v>45611.65372685185</v>
      </c>
      <c r="C462" s="1" t="n">
        <v>45973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4001-2023</t>
        </is>
      </c>
      <c r="B463" s="1" t="n">
        <v>44952.50115740741</v>
      </c>
      <c r="C463" s="1" t="n">
        <v>45973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4024-2023</t>
        </is>
      </c>
      <c r="B464" s="1" t="n">
        <v>44952.55783564815</v>
      </c>
      <c r="C464" s="1" t="n">
        <v>45973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56028-2024</t>
        </is>
      </c>
      <c r="B465" s="1" t="n">
        <v>45624.30975694444</v>
      </c>
      <c r="C465" s="1" t="n">
        <v>45973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62458-2023</t>
        </is>
      </c>
      <c r="B466" s="1" t="n">
        <v>45268.51303240741</v>
      </c>
      <c r="C466" s="1" t="n">
        <v>45973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25946-2023</t>
        </is>
      </c>
      <c r="B467" s="1" t="n">
        <v>45090.7058912037</v>
      </c>
      <c r="C467" s="1" t="n">
        <v>45973</v>
      </c>
      <c r="D467" t="inlineStr">
        <is>
          <t>GÄVLEBORGS LÄN</t>
        </is>
      </c>
      <c r="E467" t="inlineStr">
        <is>
          <t>NORDANSTIG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48607-2023</t>
        </is>
      </c>
      <c r="B468" s="1" t="n">
        <v>45208.53420138889</v>
      </c>
      <c r="C468" s="1" t="n">
        <v>45973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1190-2021</t>
        </is>
      </c>
      <c r="B469" s="1" t="n">
        <v>44208.30796296296</v>
      </c>
      <c r="C469" s="1" t="n">
        <v>45973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45973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34557-2023</t>
        </is>
      </c>
      <c r="B471" s="1" t="n">
        <v>45140.50714120371</v>
      </c>
      <c r="C471" s="1" t="n">
        <v>45973</v>
      </c>
      <c r="D471" t="inlineStr">
        <is>
          <t>GÄVLEBORGS LÄN</t>
        </is>
      </c>
      <c r="E471" t="inlineStr">
        <is>
          <t>NORDANSTIG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31899-2022</t>
        </is>
      </c>
      <c r="B472" s="1" t="n">
        <v>44777</v>
      </c>
      <c r="C472" s="1" t="n">
        <v>45973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37295-2022</t>
        </is>
      </c>
      <c r="B473" s="1" t="n">
        <v>44808</v>
      </c>
      <c r="C473" s="1" t="n">
        <v>45973</v>
      </c>
      <c r="D473" t="inlineStr">
        <is>
          <t>GÄVLEBORGS LÄN</t>
        </is>
      </c>
      <c r="E473" t="inlineStr">
        <is>
          <t>NORDANSTIG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21187-2022</t>
        </is>
      </c>
      <c r="B474" s="1" t="n">
        <v>44704.92609953704</v>
      </c>
      <c r="C474" s="1" t="n">
        <v>45973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48832-2025</t>
        </is>
      </c>
      <c r="B475" s="1" t="n">
        <v>45937.38684027778</v>
      </c>
      <c r="C475" s="1" t="n">
        <v>45973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49352-2025</t>
        </is>
      </c>
      <c r="B476" s="1" t="n">
        <v>45938.61381944444</v>
      </c>
      <c r="C476" s="1" t="n">
        <v>45973</v>
      </c>
      <c r="D476" t="inlineStr">
        <is>
          <t>GÄVLEBORGS LÄN</t>
        </is>
      </c>
      <c r="E476" t="inlineStr">
        <is>
          <t>NORDANSTIG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15464-2023</t>
        </is>
      </c>
      <c r="B477" s="1" t="n">
        <v>45020.4343287037</v>
      </c>
      <c r="C477" s="1" t="n">
        <v>45973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5949-2021</t>
        </is>
      </c>
      <c r="B478" s="1" t="n">
        <v>44231.61371527778</v>
      </c>
      <c r="C478" s="1" t="n">
        <v>45973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49282-2025</t>
        </is>
      </c>
      <c r="B479" s="1" t="n">
        <v>45938.51270833334</v>
      </c>
      <c r="C479" s="1" t="n">
        <v>45973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49284-2025</t>
        </is>
      </c>
      <c r="B480" s="1" t="n">
        <v>45938.51703703704</v>
      </c>
      <c r="C480" s="1" t="n">
        <v>45973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49286-2025</t>
        </is>
      </c>
      <c r="B481" s="1" t="n">
        <v>45938.52304398148</v>
      </c>
      <c r="C481" s="1" t="n">
        <v>45973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49273-2025</t>
        </is>
      </c>
      <c r="B482" s="1" t="n">
        <v>45938.50575231481</v>
      </c>
      <c r="C482" s="1" t="n">
        <v>45973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3474-2024</t>
        </is>
      </c>
      <c r="B483" s="1" t="n">
        <v>45320</v>
      </c>
      <c r="C483" s="1" t="n">
        <v>45973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59930-2024</t>
        </is>
      </c>
      <c r="B484" s="1" t="n">
        <v>45642</v>
      </c>
      <c r="C484" s="1" t="n">
        <v>45973</v>
      </c>
      <c r="D484" t="inlineStr">
        <is>
          <t>GÄVLEBORGS LÄN</t>
        </is>
      </c>
      <c r="E484" t="inlineStr">
        <is>
          <t>NORDANSTIG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58112-2024</t>
        </is>
      </c>
      <c r="B485" s="1" t="n">
        <v>45632.38268518518</v>
      </c>
      <c r="C485" s="1" t="n">
        <v>45973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49309-2025</t>
        </is>
      </c>
      <c r="B486" s="1" t="n">
        <v>45938.56237268518</v>
      </c>
      <c r="C486" s="1" t="n">
        <v>45973</v>
      </c>
      <c r="D486" t="inlineStr">
        <is>
          <t>GÄVLEBORGS LÄN</t>
        </is>
      </c>
      <c r="E486" t="inlineStr">
        <is>
          <t>NORDANSTIG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21153-2023</t>
        </is>
      </c>
      <c r="B487" s="1" t="n">
        <v>45062.40555555555</v>
      </c>
      <c r="C487" s="1" t="n">
        <v>45973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40290-2025</t>
        </is>
      </c>
      <c r="B488" s="1" t="n">
        <v>45895.38581018519</v>
      </c>
      <c r="C488" s="1" t="n">
        <v>45973</v>
      </c>
      <c r="D488" t="inlineStr">
        <is>
          <t>GÄVLEBORGS LÄN</t>
        </is>
      </c>
      <c r="E488" t="inlineStr">
        <is>
          <t>NORDANSTIG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35741-2024</t>
        </is>
      </c>
      <c r="B489" s="1" t="n">
        <v>45532.53859953704</v>
      </c>
      <c r="C489" s="1" t="n">
        <v>45973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2573-2024</t>
        </is>
      </c>
      <c r="B490" s="1" t="n">
        <v>45313.63486111111</v>
      </c>
      <c r="C490" s="1" t="n">
        <v>45973</v>
      </c>
      <c r="D490" t="inlineStr">
        <is>
          <t>GÄVLEBORGS LÄN</t>
        </is>
      </c>
      <c r="E490" t="inlineStr">
        <is>
          <t>NORDANSTIG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40658-2025</t>
        </is>
      </c>
      <c r="B491" s="1" t="n">
        <v>45896.64530092593</v>
      </c>
      <c r="C491" s="1" t="n">
        <v>45973</v>
      </c>
      <c r="D491" t="inlineStr">
        <is>
          <t>GÄVLEBORGS LÄN</t>
        </is>
      </c>
      <c r="E491" t="inlineStr">
        <is>
          <t>NORDANSTIG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49263-2025</t>
        </is>
      </c>
      <c r="B492" s="1" t="n">
        <v>45938.49930555555</v>
      </c>
      <c r="C492" s="1" t="n">
        <v>45973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5411-2022</t>
        </is>
      </c>
      <c r="B493" s="1" t="n">
        <v>44595.38513888889</v>
      </c>
      <c r="C493" s="1" t="n">
        <v>45973</v>
      </c>
      <c r="D493" t="inlineStr">
        <is>
          <t>GÄVLEBORGS LÄN</t>
        </is>
      </c>
      <c r="E493" t="inlineStr">
        <is>
          <t>NORDANSTIG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6093-2023</t>
        </is>
      </c>
      <c r="B494" s="1" t="n">
        <v>44964.56496527778</v>
      </c>
      <c r="C494" s="1" t="n">
        <v>45973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21063-2024</t>
        </is>
      </c>
      <c r="B495" s="1" t="n">
        <v>45439.8161574074</v>
      </c>
      <c r="C495" s="1" t="n">
        <v>45973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21085-2024</t>
        </is>
      </c>
      <c r="B496" s="1" t="n">
        <v>45439</v>
      </c>
      <c r="C496" s="1" t="n">
        <v>45973</v>
      </c>
      <c r="D496" t="inlineStr">
        <is>
          <t>GÄVLEBORGS LÄN</t>
        </is>
      </c>
      <c r="E496" t="inlineStr">
        <is>
          <t>NORDANSTIG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39207-2023</t>
        </is>
      </c>
      <c r="B497" s="1" t="n">
        <v>45166.41370370371</v>
      </c>
      <c r="C497" s="1" t="n">
        <v>45973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52788-2024</t>
        </is>
      </c>
      <c r="B498" s="1" t="n">
        <v>45610.55405092592</v>
      </c>
      <c r="C498" s="1" t="n">
        <v>45973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35822-2025</t>
        </is>
      </c>
      <c r="B499" s="1" t="n">
        <v>45861.47325231481</v>
      </c>
      <c r="C499" s="1" t="n">
        <v>45973</v>
      </c>
      <c r="D499" t="inlineStr">
        <is>
          <t>GÄVLEBORGS LÄN</t>
        </is>
      </c>
      <c r="E499" t="inlineStr">
        <is>
          <t>NORDANSTIG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5916-2021</t>
        </is>
      </c>
      <c r="B500" s="1" t="n">
        <v>44231.55166666667</v>
      </c>
      <c r="C500" s="1" t="n">
        <v>45973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40622-2025</t>
        </is>
      </c>
      <c r="B501" s="1" t="n">
        <v>45896.58621527778</v>
      </c>
      <c r="C501" s="1" t="n">
        <v>45973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19568-2024</t>
        </is>
      </c>
      <c r="B502" s="1" t="n">
        <v>45429.92326388889</v>
      </c>
      <c r="C502" s="1" t="n">
        <v>45973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40647-2025</t>
        </is>
      </c>
      <c r="B503" s="1" t="n">
        <v>45896.62219907407</v>
      </c>
      <c r="C503" s="1" t="n">
        <v>45973</v>
      </c>
      <c r="D503" t="inlineStr">
        <is>
          <t>GÄVLEBORGS LÄN</t>
        </is>
      </c>
      <c r="E503" t="inlineStr">
        <is>
          <t>NORDANSTIG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37972-2022</t>
        </is>
      </c>
      <c r="B504" s="1" t="n">
        <v>44811</v>
      </c>
      <c r="C504" s="1" t="n">
        <v>45973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37986-2022</t>
        </is>
      </c>
      <c r="B505" s="1" t="n">
        <v>44811.56202546296</v>
      </c>
      <c r="C505" s="1" t="n">
        <v>45973</v>
      </c>
      <c r="D505" t="inlineStr">
        <is>
          <t>GÄVLEBORGS LÄN</t>
        </is>
      </c>
      <c r="E505" t="inlineStr">
        <is>
          <t>NORDANSTIG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48919-2025</t>
        </is>
      </c>
      <c r="B506" s="1" t="n">
        <v>45937.49377314815</v>
      </c>
      <c r="C506" s="1" t="n">
        <v>45973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49328-2025</t>
        </is>
      </c>
      <c r="B507" s="1" t="n">
        <v>45938.57550925926</v>
      </c>
      <c r="C507" s="1" t="n">
        <v>45973</v>
      </c>
      <c r="D507" t="inlineStr">
        <is>
          <t>GÄVLEBORGS LÄN</t>
        </is>
      </c>
      <c r="E507" t="inlineStr">
        <is>
          <t>NORDANSTIG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49334-2025</t>
        </is>
      </c>
      <c r="B508" s="1" t="n">
        <v>45938.58446759259</v>
      </c>
      <c r="C508" s="1" t="n">
        <v>45973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49342-2025</t>
        </is>
      </c>
      <c r="B509" s="1" t="n">
        <v>45938.59556712963</v>
      </c>
      <c r="C509" s="1" t="n">
        <v>45973</v>
      </c>
      <c r="D509" t="inlineStr">
        <is>
          <t>GÄVLEBORGS LÄN</t>
        </is>
      </c>
      <c r="E509" t="inlineStr">
        <is>
          <t>NORDANSTIG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35070-2022</t>
        </is>
      </c>
      <c r="B510" s="1" t="n">
        <v>44797.36980324074</v>
      </c>
      <c r="C510" s="1" t="n">
        <v>45973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48916-2025</t>
        </is>
      </c>
      <c r="B511" s="1" t="n">
        <v>45937.49256944445</v>
      </c>
      <c r="C511" s="1" t="n">
        <v>45973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49268-2025</t>
        </is>
      </c>
      <c r="B512" s="1" t="n">
        <v>45938.50202546296</v>
      </c>
      <c r="C512" s="1" t="n">
        <v>45973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46111-2023</t>
        </is>
      </c>
      <c r="B513" s="1" t="n">
        <v>45196.54778935185</v>
      </c>
      <c r="C513" s="1" t="n">
        <v>45973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30717-2024</t>
        </is>
      </c>
      <c r="B514" s="1" t="n">
        <v>45496.48064814815</v>
      </c>
      <c r="C514" s="1" t="n">
        <v>45973</v>
      </c>
      <c r="D514" t="inlineStr">
        <is>
          <t>GÄVLEBORGS LÄN</t>
        </is>
      </c>
      <c r="E514" t="inlineStr">
        <is>
          <t>NORDANSTIG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40291-2025</t>
        </is>
      </c>
      <c r="B515" s="1" t="n">
        <v>45895.38584490741</v>
      </c>
      <c r="C515" s="1" t="n">
        <v>45973</v>
      </c>
      <c r="D515" t="inlineStr">
        <is>
          <t>GÄVLEBORGS LÄN</t>
        </is>
      </c>
      <c r="E515" t="inlineStr">
        <is>
          <t>NORDANSTIG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61422-2024</t>
        </is>
      </c>
      <c r="B516" s="1" t="n">
        <v>45646.45193287037</v>
      </c>
      <c r="C516" s="1" t="n">
        <v>45973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40629-2025</t>
        </is>
      </c>
      <c r="B517" s="1" t="n">
        <v>45896.59113425926</v>
      </c>
      <c r="C517" s="1" t="n">
        <v>45973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49287-2025</t>
        </is>
      </c>
      <c r="B518" s="1" t="n">
        <v>45938.52627314815</v>
      </c>
      <c r="C518" s="1" t="n">
        <v>45973</v>
      </c>
      <c r="D518" t="inlineStr">
        <is>
          <t>GÄVLEBORGS LÄN</t>
        </is>
      </c>
      <c r="E518" t="inlineStr">
        <is>
          <t>NORDANSTIG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49331-2025</t>
        </is>
      </c>
      <c r="B519" s="1" t="n">
        <v>45938.5815162037</v>
      </c>
      <c r="C519" s="1" t="n">
        <v>45973</v>
      </c>
      <c r="D519" t="inlineStr">
        <is>
          <t>GÄVLEBORGS LÄN</t>
        </is>
      </c>
      <c r="E519" t="inlineStr">
        <is>
          <t>NORDANSTIG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34913-2023</t>
        </is>
      </c>
      <c r="B520" s="1" t="n">
        <v>45142.46318287037</v>
      </c>
      <c r="C520" s="1" t="n">
        <v>45973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34918-2023</t>
        </is>
      </c>
      <c r="B521" s="1" t="n">
        <v>45142.47361111111</v>
      </c>
      <c r="C521" s="1" t="n">
        <v>45973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59924-2024</t>
        </is>
      </c>
      <c r="B522" s="1" t="n">
        <v>45641</v>
      </c>
      <c r="C522" s="1" t="n">
        <v>45973</v>
      </c>
      <c r="D522" t="inlineStr">
        <is>
          <t>GÄVLEBORGS LÄN</t>
        </is>
      </c>
      <c r="E522" t="inlineStr">
        <is>
          <t>NORDANSTIG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59945-2024</t>
        </is>
      </c>
      <c r="B523" s="1" t="n">
        <v>45642.33392361111</v>
      </c>
      <c r="C523" s="1" t="n">
        <v>45973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54156-2024</t>
        </is>
      </c>
      <c r="B524" s="1" t="n">
        <v>45616</v>
      </c>
      <c r="C524" s="1" t="n">
        <v>45973</v>
      </c>
      <c r="D524" t="inlineStr">
        <is>
          <t>GÄVLEBORGS LÄN</t>
        </is>
      </c>
      <c r="E524" t="inlineStr">
        <is>
          <t>NORDANSTIG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18430-2021</t>
        </is>
      </c>
      <c r="B525" s="1" t="n">
        <v>44305.68789351852</v>
      </c>
      <c r="C525" s="1" t="n">
        <v>45973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55026-2022</t>
        </is>
      </c>
      <c r="B526" s="1" t="n">
        <v>44886</v>
      </c>
      <c r="C526" s="1" t="n">
        <v>45973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55120-2022</t>
        </is>
      </c>
      <c r="B527" s="1" t="n">
        <v>44886</v>
      </c>
      <c r="C527" s="1" t="n">
        <v>45973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40804-2025</t>
        </is>
      </c>
      <c r="B528" s="1" t="n">
        <v>45897.46543981481</v>
      </c>
      <c r="C528" s="1" t="n">
        <v>45973</v>
      </c>
      <c r="D528" t="inlineStr">
        <is>
          <t>GÄVLEBORGS LÄN</t>
        </is>
      </c>
      <c r="E528" t="inlineStr">
        <is>
          <t>NORDANSTIG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37294-2024</t>
        </is>
      </c>
      <c r="B529" s="1" t="n">
        <v>45540.44701388889</v>
      </c>
      <c r="C529" s="1" t="n">
        <v>45973</v>
      </c>
      <c r="D529" t="inlineStr">
        <is>
          <t>GÄVLEBORGS LÄN</t>
        </is>
      </c>
      <c r="E529" t="inlineStr">
        <is>
          <t>NORDANSTIG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25271-2024</t>
        </is>
      </c>
      <c r="B530" s="1" t="n">
        <v>45462</v>
      </c>
      <c r="C530" s="1" t="n">
        <v>45973</v>
      </c>
      <c r="D530" t="inlineStr">
        <is>
          <t>GÄVLEBORGS LÄN</t>
        </is>
      </c>
      <c r="E530" t="inlineStr">
        <is>
          <t>NORDANSTIG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6820-2023</t>
        </is>
      </c>
      <c r="B531" s="1" t="n">
        <v>44967.38015046297</v>
      </c>
      <c r="C531" s="1" t="n">
        <v>45973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54385-2024</t>
        </is>
      </c>
      <c r="B532" s="1" t="n">
        <v>45617.44668981482</v>
      </c>
      <c r="C532" s="1" t="n">
        <v>45973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5964-2025</t>
        </is>
      </c>
      <c r="B533" s="1" t="n">
        <v>45695</v>
      </c>
      <c r="C533" s="1" t="n">
        <v>45973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12398-2023</t>
        </is>
      </c>
      <c r="B534" s="1" t="n">
        <v>44999.49780092593</v>
      </c>
      <c r="C534" s="1" t="n">
        <v>45973</v>
      </c>
      <c r="D534" t="inlineStr">
        <is>
          <t>GÄVLEBORGS LÄN</t>
        </is>
      </c>
      <c r="E534" t="inlineStr">
        <is>
          <t>NORDANSTIG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8909-2024</t>
        </is>
      </c>
      <c r="B535" s="1" t="n">
        <v>45357</v>
      </c>
      <c r="C535" s="1" t="n">
        <v>45973</v>
      </c>
      <c r="D535" t="inlineStr">
        <is>
          <t>GÄVLEBORGS LÄN</t>
        </is>
      </c>
      <c r="E535" t="inlineStr">
        <is>
          <t>NORDANSTIG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40824-2025</t>
        </is>
      </c>
      <c r="B536" s="1" t="n">
        <v>45897.49759259259</v>
      </c>
      <c r="C536" s="1" t="n">
        <v>45973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44783.45782407407</v>
      </c>
      <c r="C537" s="1" t="n">
        <v>45973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26728-2022</t>
        </is>
      </c>
      <c r="B538" s="1" t="n">
        <v>44739.92518518519</v>
      </c>
      <c r="C538" s="1" t="n">
        <v>45973</v>
      </c>
      <c r="D538" t="inlineStr">
        <is>
          <t>GÄVLEBORGS LÄN</t>
        </is>
      </c>
      <c r="E538" t="inlineStr">
        <is>
          <t>NORDANSTIG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58872-2024</t>
        </is>
      </c>
      <c r="B539" s="1" t="n">
        <v>45636.44068287037</v>
      </c>
      <c r="C539" s="1" t="n">
        <v>45973</v>
      </c>
      <c r="D539" t="inlineStr">
        <is>
          <t>GÄVLEBORGS LÄN</t>
        </is>
      </c>
      <c r="E539" t="inlineStr">
        <is>
          <t>NORDANSTIG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15226-2023</t>
        </is>
      </c>
      <c r="B540" s="1" t="n">
        <v>45019</v>
      </c>
      <c r="C540" s="1" t="n">
        <v>45973</v>
      </c>
      <c r="D540" t="inlineStr">
        <is>
          <t>GÄVLEBORGS LÄN</t>
        </is>
      </c>
      <c r="E540" t="inlineStr">
        <is>
          <t>NORDANSTIG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49596-2025</t>
        </is>
      </c>
      <c r="B541" s="1" t="n">
        <v>45939.53211805555</v>
      </c>
      <c r="C541" s="1" t="n">
        <v>45973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49597-2025</t>
        </is>
      </c>
      <c r="B542" s="1" t="n">
        <v>45939.53217592592</v>
      </c>
      <c r="C542" s="1" t="n">
        <v>45973</v>
      </c>
      <c r="D542" t="inlineStr">
        <is>
          <t>GÄVLEBORGS LÄN</t>
        </is>
      </c>
      <c r="E542" t="inlineStr">
        <is>
          <t>NORDANSTIG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7436-2024</t>
        </is>
      </c>
      <c r="B543" s="1" t="n">
        <v>45345</v>
      </c>
      <c r="C543" s="1" t="n">
        <v>45973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62.5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7460-2024</t>
        </is>
      </c>
      <c r="B544" s="1" t="n">
        <v>45345.92609953704</v>
      </c>
      <c r="C544" s="1" t="n">
        <v>45973</v>
      </c>
      <c r="D544" t="inlineStr">
        <is>
          <t>GÄVLEBORGS LÄN</t>
        </is>
      </c>
      <c r="E544" t="inlineStr">
        <is>
          <t>NORDANSTIG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34783-2022</t>
        </is>
      </c>
      <c r="B545" s="1" t="n">
        <v>44795</v>
      </c>
      <c r="C545" s="1" t="n">
        <v>45973</v>
      </c>
      <c r="D545" t="inlineStr">
        <is>
          <t>GÄVLEBORGS LÄN</t>
        </is>
      </c>
      <c r="E545" t="inlineStr">
        <is>
          <t>NORDANSTIG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40812-2025</t>
        </is>
      </c>
      <c r="B546" s="1" t="n">
        <v>45897.47065972222</v>
      </c>
      <c r="C546" s="1" t="n">
        <v>45973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41202-2025</t>
        </is>
      </c>
      <c r="B547" s="1" t="n">
        <v>45898.5747337963</v>
      </c>
      <c r="C547" s="1" t="n">
        <v>45973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56586-2023</t>
        </is>
      </c>
      <c r="B548" s="1" t="n">
        <v>45243.63503472223</v>
      </c>
      <c r="C548" s="1" t="n">
        <v>45973</v>
      </c>
      <c r="D548" t="inlineStr">
        <is>
          <t>GÄVLEBORGS LÄN</t>
        </is>
      </c>
      <c r="E548" t="inlineStr">
        <is>
          <t>NORDANSTIG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49594-2025</t>
        </is>
      </c>
      <c r="B549" s="1" t="n">
        <v>45939.53201388889</v>
      </c>
      <c r="C549" s="1" t="n">
        <v>45973</v>
      </c>
      <c r="D549" t="inlineStr">
        <is>
          <t>GÄVLEBORGS LÄN</t>
        </is>
      </c>
      <c r="E549" t="inlineStr">
        <is>
          <t>NORDANSTIG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49595-2025</t>
        </is>
      </c>
      <c r="B550" s="1" t="n">
        <v>45939.53207175926</v>
      </c>
      <c r="C550" s="1" t="n">
        <v>45973</v>
      </c>
      <c r="D550" t="inlineStr">
        <is>
          <t>GÄVLEBORGS LÄN</t>
        </is>
      </c>
      <c r="E550" t="inlineStr">
        <is>
          <t>NORDANSTIG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17052-2023</t>
        </is>
      </c>
      <c r="B551" s="1" t="n">
        <v>45034.44483796296</v>
      </c>
      <c r="C551" s="1" t="n">
        <v>45973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52881-2024</t>
        </is>
      </c>
      <c r="B552" s="1" t="n">
        <v>45610.64039351852</v>
      </c>
      <c r="C552" s="1" t="n">
        <v>45973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6350-2025</t>
        </is>
      </c>
      <c r="B553" s="1" t="n">
        <v>45699.34824074074</v>
      </c>
      <c r="C553" s="1" t="n">
        <v>45973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51250-2022</t>
        </is>
      </c>
      <c r="B554" s="1" t="n">
        <v>44868.66506944445</v>
      </c>
      <c r="C554" s="1" t="n">
        <v>45973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50264-2025</t>
        </is>
      </c>
      <c r="B555" s="1" t="n">
        <v>45944.34552083333</v>
      </c>
      <c r="C555" s="1" t="n">
        <v>45973</v>
      </c>
      <c r="D555" t="inlineStr">
        <is>
          <t>GÄVLEBORGS LÄN</t>
        </is>
      </c>
      <c r="E555" t="inlineStr">
        <is>
          <t>NORDANSTIG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282-2025</t>
        </is>
      </c>
      <c r="B556" s="1" t="n">
        <v>45660</v>
      </c>
      <c r="C556" s="1" t="n">
        <v>45973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15088-2024</t>
        </is>
      </c>
      <c r="B557" s="1" t="n">
        <v>45399.64290509259</v>
      </c>
      <c r="C557" s="1" t="n">
        <v>45973</v>
      </c>
      <c r="D557" t="inlineStr">
        <is>
          <t>GÄVLEBORGS LÄN</t>
        </is>
      </c>
      <c r="E557" t="inlineStr">
        <is>
          <t>NORDANSTIG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1327-2024</t>
        </is>
      </c>
      <c r="B558" s="1" t="n">
        <v>45303.42979166667</v>
      </c>
      <c r="C558" s="1" t="n">
        <v>45973</v>
      </c>
      <c r="D558" t="inlineStr">
        <is>
          <t>GÄVLEBORGS LÄN</t>
        </is>
      </c>
      <c r="E558" t="inlineStr">
        <is>
          <t>NORDANSTIG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50328-2025</t>
        </is>
      </c>
      <c r="B559" s="1" t="n">
        <v>45944.46469907407</v>
      </c>
      <c r="C559" s="1" t="n">
        <v>45973</v>
      </c>
      <c r="D559" t="inlineStr">
        <is>
          <t>GÄVLEBORGS LÄN</t>
        </is>
      </c>
      <c r="E559" t="inlineStr">
        <is>
          <t>NORDANSTIG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41482-2025</t>
        </is>
      </c>
      <c r="B560" s="1" t="n">
        <v>45901.47646990741</v>
      </c>
      <c r="C560" s="1" t="n">
        <v>45973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19569-2024</t>
        </is>
      </c>
      <c r="B561" s="1" t="n">
        <v>45429.92331018519</v>
      </c>
      <c r="C561" s="1" t="n">
        <v>45973</v>
      </c>
      <c r="D561" t="inlineStr">
        <is>
          <t>GÄVLEBORGS LÄN</t>
        </is>
      </c>
      <c r="E561" t="inlineStr">
        <is>
          <t>NORDANSTIG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35765-2024</t>
        </is>
      </c>
      <c r="B562" s="1" t="n">
        <v>45532.57923611111</v>
      </c>
      <c r="C562" s="1" t="n">
        <v>45973</v>
      </c>
      <c r="D562" t="inlineStr">
        <is>
          <t>GÄVLEBORGS LÄN</t>
        </is>
      </c>
      <c r="E562" t="inlineStr">
        <is>
          <t>NORDANSTIG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38048-2024</t>
        </is>
      </c>
      <c r="B563" s="1" t="n">
        <v>45544</v>
      </c>
      <c r="C563" s="1" t="n">
        <v>45973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18279-2023</t>
        </is>
      </c>
      <c r="B564" s="1" t="n">
        <v>45041.54736111111</v>
      </c>
      <c r="C564" s="1" t="n">
        <v>45973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13489-2025</t>
        </is>
      </c>
      <c r="B565" s="1" t="n">
        <v>45736</v>
      </c>
      <c r="C565" s="1" t="n">
        <v>45973</v>
      </c>
      <c r="D565" t="inlineStr">
        <is>
          <t>GÄVLEBORGS LÄN</t>
        </is>
      </c>
      <c r="E565" t="inlineStr">
        <is>
          <t>NORDANSTIG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47238-2024</t>
        </is>
      </c>
      <c r="B566" s="1" t="n">
        <v>45586.69104166667</v>
      </c>
      <c r="C566" s="1" t="n">
        <v>45973</v>
      </c>
      <c r="D566" t="inlineStr">
        <is>
          <t>GÄVLEBORGS LÄN</t>
        </is>
      </c>
      <c r="E566" t="inlineStr">
        <is>
          <t>NORDANSTIG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58912-2024</t>
        </is>
      </c>
      <c r="B567" s="1" t="n">
        <v>45636.48331018518</v>
      </c>
      <c r="C567" s="1" t="n">
        <v>45973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18479-2024</t>
        </is>
      </c>
      <c r="B568" s="1" t="n">
        <v>45425.5177662037</v>
      </c>
      <c r="C568" s="1" t="n">
        <v>45973</v>
      </c>
      <c r="D568" t="inlineStr">
        <is>
          <t>GÄVLEBORGS LÄN</t>
        </is>
      </c>
      <c r="E568" t="inlineStr">
        <is>
          <t>NORDANSTIG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41773-2025</t>
        </is>
      </c>
      <c r="B569" s="1" t="n">
        <v>45902.5585300926</v>
      </c>
      <c r="C569" s="1" t="n">
        <v>45973</v>
      </c>
      <c r="D569" t="inlineStr">
        <is>
          <t>GÄVLEBORGS LÄN</t>
        </is>
      </c>
      <c r="E569" t="inlineStr">
        <is>
          <t>NORDANSTIG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59912-2024</t>
        </is>
      </c>
      <c r="B570" s="1" t="n">
        <v>45641</v>
      </c>
      <c r="C570" s="1" t="n">
        <v>45973</v>
      </c>
      <c r="D570" t="inlineStr">
        <is>
          <t>GÄVLEBORGS LÄN</t>
        </is>
      </c>
      <c r="E570" t="inlineStr">
        <is>
          <t>NORDANSTIG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10484-2023</t>
        </is>
      </c>
      <c r="B571" s="1" t="n">
        <v>44987</v>
      </c>
      <c r="C571" s="1" t="n">
        <v>45973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26833-2021</t>
        </is>
      </c>
      <c r="B572" s="1" t="n">
        <v>44349.57659722222</v>
      </c>
      <c r="C572" s="1" t="n">
        <v>45973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50824-2025</t>
        </is>
      </c>
      <c r="B573" s="1" t="n">
        <v>45946.54</v>
      </c>
      <c r="C573" s="1" t="n">
        <v>45973</v>
      </c>
      <c r="D573" t="inlineStr">
        <is>
          <t>GÄVLEBORGS LÄN</t>
        </is>
      </c>
      <c r="E573" t="inlineStr">
        <is>
          <t>NORDANSTIG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50827-2025</t>
        </is>
      </c>
      <c r="B574" s="1" t="n">
        <v>45946.54997685185</v>
      </c>
      <c r="C574" s="1" t="n">
        <v>45973</v>
      </c>
      <c r="D574" t="inlineStr">
        <is>
          <t>GÄVLEBORGS LÄN</t>
        </is>
      </c>
      <c r="E574" t="inlineStr">
        <is>
          <t>NORDANSTIG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57970-2022</t>
        </is>
      </c>
      <c r="B575" s="1" t="n">
        <v>44900</v>
      </c>
      <c r="C575" s="1" t="n">
        <v>45973</v>
      </c>
      <c r="D575" t="inlineStr">
        <is>
          <t>GÄVLEBORGS LÄN</t>
        </is>
      </c>
      <c r="E575" t="inlineStr">
        <is>
          <t>NORDANSTIG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35115-2022</t>
        </is>
      </c>
      <c r="B576" s="1" t="n">
        <v>44797.45246527778</v>
      </c>
      <c r="C576" s="1" t="n">
        <v>45973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42210-2025</t>
        </is>
      </c>
      <c r="B577" s="1" t="n">
        <v>45904.49702546297</v>
      </c>
      <c r="C577" s="1" t="n">
        <v>45973</v>
      </c>
      <c r="D577" t="inlineStr">
        <is>
          <t>GÄVLEBORGS LÄN</t>
        </is>
      </c>
      <c r="E577" t="inlineStr">
        <is>
          <t>NORDANSTIG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56494-2024</t>
        </is>
      </c>
      <c r="B578" s="1" t="n">
        <v>45625</v>
      </c>
      <c r="C578" s="1" t="n">
        <v>45973</v>
      </c>
      <c r="D578" t="inlineStr">
        <is>
          <t>GÄVLEBORGS LÄN</t>
        </is>
      </c>
      <c r="E578" t="inlineStr">
        <is>
          <t>NORDANSTIG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6324-2023</t>
        </is>
      </c>
      <c r="B579" s="1" t="n">
        <v>44965.48253472222</v>
      </c>
      <c r="C579" s="1" t="n">
        <v>45973</v>
      </c>
      <c r="D579" t="inlineStr">
        <is>
          <t>GÄVLEBORGS LÄN</t>
        </is>
      </c>
      <c r="E579" t="inlineStr">
        <is>
          <t>NORDANSTIG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14961-2025</t>
        </is>
      </c>
      <c r="B580" s="1" t="n">
        <v>45743.58578703704</v>
      </c>
      <c r="C580" s="1" t="n">
        <v>45973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41960-2025</t>
        </is>
      </c>
      <c r="B581" s="1" t="n">
        <v>45903.46912037037</v>
      </c>
      <c r="C581" s="1" t="n">
        <v>45973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9884-2023</t>
        </is>
      </c>
      <c r="B582" s="1" t="n">
        <v>44985.29388888889</v>
      </c>
      <c r="C582" s="1" t="n">
        <v>45973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50818-2025</t>
        </is>
      </c>
      <c r="B583" s="1" t="n">
        <v>45946.53197916667</v>
      </c>
      <c r="C583" s="1" t="n">
        <v>45973</v>
      </c>
      <c r="D583" t="inlineStr">
        <is>
          <t>GÄVLEBORGS LÄN</t>
        </is>
      </c>
      <c r="E583" t="inlineStr">
        <is>
          <t>NORDANSTIG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50842-2025</t>
        </is>
      </c>
      <c r="B584" s="1" t="n">
        <v>45946.57175925926</v>
      </c>
      <c r="C584" s="1" t="n">
        <v>45973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42200-2025</t>
        </is>
      </c>
      <c r="B585" s="1" t="n">
        <v>45904.48844907407</v>
      </c>
      <c r="C585" s="1" t="n">
        <v>45973</v>
      </c>
      <c r="D585" t="inlineStr">
        <is>
          <t>GÄVLEBORGS LÄN</t>
        </is>
      </c>
      <c r="E585" t="inlineStr">
        <is>
          <t>NORDANSTIG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57196-2022</t>
        </is>
      </c>
      <c r="B586" s="1" t="n">
        <v>44895.63180555555</v>
      </c>
      <c r="C586" s="1" t="n">
        <v>45973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25068-2025</t>
        </is>
      </c>
      <c r="B587" s="1" t="n">
        <v>45799.72726851852</v>
      </c>
      <c r="C587" s="1" t="n">
        <v>45973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42118-2022</t>
        </is>
      </c>
      <c r="B588" s="1" t="n">
        <v>44830.5665162037</v>
      </c>
      <c r="C588" s="1" t="n">
        <v>45973</v>
      </c>
      <c r="D588" t="inlineStr">
        <is>
          <t>GÄVLEBORGS LÄN</t>
        </is>
      </c>
      <c r="E588" t="inlineStr">
        <is>
          <t>NORDANSTIG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42891-2025</t>
        </is>
      </c>
      <c r="B589" s="1" t="n">
        <v>45908.6599074074</v>
      </c>
      <c r="C589" s="1" t="n">
        <v>45973</v>
      </c>
      <c r="D589" t="inlineStr">
        <is>
          <t>GÄVLEBORGS LÄN</t>
        </is>
      </c>
      <c r="E589" t="inlineStr">
        <is>
          <t>NORDANSTIG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28879-2021</t>
        </is>
      </c>
      <c r="B590" s="1" t="n">
        <v>44357</v>
      </c>
      <c r="C590" s="1" t="n">
        <v>45973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51101-2025</t>
        </is>
      </c>
      <c r="B591" s="1" t="n">
        <v>45947.4889699074</v>
      </c>
      <c r="C591" s="1" t="n">
        <v>45973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2962-2025</t>
        </is>
      </c>
      <c r="B592" s="1" t="n">
        <v>45678.45496527778</v>
      </c>
      <c r="C592" s="1" t="n">
        <v>45973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51541-2025</t>
        </is>
      </c>
      <c r="B593" s="1" t="n">
        <v>45950.70054398148</v>
      </c>
      <c r="C593" s="1" t="n">
        <v>45973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51503-2025</t>
        </is>
      </c>
      <c r="B594" s="1" t="n">
        <v>45950.63822916667</v>
      </c>
      <c r="C594" s="1" t="n">
        <v>45973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42884-2025</t>
        </is>
      </c>
      <c r="B595" s="1" t="n">
        <v>45908.65034722222</v>
      </c>
      <c r="C595" s="1" t="n">
        <v>45973</v>
      </c>
      <c r="D595" t="inlineStr">
        <is>
          <t>GÄVLEBORGS LÄN</t>
        </is>
      </c>
      <c r="E595" t="inlineStr">
        <is>
          <t>NORDANSTIG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56406-2024</t>
        </is>
      </c>
      <c r="B596" s="1" t="n">
        <v>45625.36425925926</v>
      </c>
      <c r="C596" s="1" t="n">
        <v>45973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30078-2024</t>
        </is>
      </c>
      <c r="B597" s="1" t="n">
        <v>45489</v>
      </c>
      <c r="C597" s="1" t="n">
        <v>45973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19839-2025</t>
        </is>
      </c>
      <c r="B598" s="1" t="n">
        <v>45771.47800925926</v>
      </c>
      <c r="C598" s="1" t="n">
        <v>45973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42887-2025</t>
        </is>
      </c>
      <c r="B599" s="1" t="n">
        <v>45908.65311342593</v>
      </c>
      <c r="C599" s="1" t="n">
        <v>45973</v>
      </c>
      <c r="D599" t="inlineStr">
        <is>
          <t>GÄVLEBORGS LÄN</t>
        </is>
      </c>
      <c r="E599" t="inlineStr">
        <is>
          <t>NORDANSTIG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51466-2025</t>
        </is>
      </c>
      <c r="B600" s="1" t="n">
        <v>45950.61145833333</v>
      </c>
      <c r="C600" s="1" t="n">
        <v>45973</v>
      </c>
      <c r="D600" t="inlineStr">
        <is>
          <t>GÄVLEBORGS LÄN</t>
        </is>
      </c>
      <c r="E600" t="inlineStr">
        <is>
          <t>NORDANSTIG</t>
        </is>
      </c>
      <c r="G600" t="n">
        <v>30.9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472-2024</t>
        </is>
      </c>
      <c r="B601" s="1" t="n">
        <v>45297.71927083333</v>
      </c>
      <c r="C601" s="1" t="n">
        <v>45973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14754-2025</t>
        </is>
      </c>
      <c r="B602" s="1" t="n">
        <v>45742.66208333334</v>
      </c>
      <c r="C602" s="1" t="n">
        <v>45973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30130-2024</t>
        </is>
      </c>
      <c r="B603" s="1" t="n">
        <v>45489</v>
      </c>
      <c r="C603" s="1" t="n">
        <v>45973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42737-2025</t>
        </is>
      </c>
      <c r="B604" s="1" t="n">
        <v>45908.42128472222</v>
      </c>
      <c r="C604" s="1" t="n">
        <v>45973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40798-2022</t>
        </is>
      </c>
      <c r="B605" s="1" t="n">
        <v>44824.65527777778</v>
      </c>
      <c r="C605" s="1" t="n">
        <v>45973</v>
      </c>
      <c r="D605" t="inlineStr">
        <is>
          <t>GÄVLEBORGS LÄN</t>
        </is>
      </c>
      <c r="E605" t="inlineStr">
        <is>
          <t>NORDANSTIG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8040-2024</t>
        </is>
      </c>
      <c r="B606" s="1" t="n">
        <v>45350</v>
      </c>
      <c r="C606" s="1" t="n">
        <v>45973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33535-2022</t>
        </is>
      </c>
      <c r="B607" s="1" t="n">
        <v>44789.34496527778</v>
      </c>
      <c r="C607" s="1" t="n">
        <v>45973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37005-2022</t>
        </is>
      </c>
      <c r="B608" s="1" t="n">
        <v>44806</v>
      </c>
      <c r="C608" s="1" t="n">
        <v>45973</v>
      </c>
      <c r="D608" t="inlineStr">
        <is>
          <t>GÄVLEBORGS LÄN</t>
        </is>
      </c>
      <c r="E608" t="inlineStr">
        <is>
          <t>NORDANSTIG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14415-2022</t>
        </is>
      </c>
      <c r="B609" s="1" t="n">
        <v>44652</v>
      </c>
      <c r="C609" s="1" t="n">
        <v>45973</v>
      </c>
      <c r="D609" t="inlineStr">
        <is>
          <t>GÄVLEBORGS LÄN</t>
        </is>
      </c>
      <c r="E609" t="inlineStr">
        <is>
          <t>NORDANSTIG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43893-2023</t>
        </is>
      </c>
      <c r="B610" s="1" t="n">
        <v>45187.66037037037</v>
      </c>
      <c r="C610" s="1" t="n">
        <v>45973</v>
      </c>
      <c r="D610" t="inlineStr">
        <is>
          <t>GÄVLEBORGS LÄN</t>
        </is>
      </c>
      <c r="E610" t="inlineStr">
        <is>
          <t>NORDANSTIG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5999-2024</t>
        </is>
      </c>
      <c r="B611" s="1" t="n">
        <v>45336.59125</v>
      </c>
      <c r="C611" s="1" t="n">
        <v>45973</v>
      </c>
      <c r="D611" t="inlineStr">
        <is>
          <t>GÄVLEBORGS LÄN</t>
        </is>
      </c>
      <c r="E611" t="inlineStr">
        <is>
          <t>NORDANSTIG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51115-2025</t>
        </is>
      </c>
      <c r="B612" s="1" t="n">
        <v>45947.52074074074</v>
      </c>
      <c r="C612" s="1" t="n">
        <v>45973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51014-2025</t>
        </is>
      </c>
      <c r="B613" s="1" t="n">
        <v>45947.38203703704</v>
      </c>
      <c r="C613" s="1" t="n">
        <v>45973</v>
      </c>
      <c r="D613" t="inlineStr">
        <is>
          <t>GÄVLEBORGS LÄN</t>
        </is>
      </c>
      <c r="E613" t="inlineStr">
        <is>
          <t>NORDANSTIG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40498-2024</t>
        </is>
      </c>
      <c r="B614" s="1" t="n">
        <v>45555.57181712963</v>
      </c>
      <c r="C614" s="1" t="n">
        <v>45973</v>
      </c>
      <c r="D614" t="inlineStr">
        <is>
          <t>GÄVLEBORGS LÄN</t>
        </is>
      </c>
      <c r="E614" t="inlineStr">
        <is>
          <t>NORDANSTIG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24758-2025</t>
        </is>
      </c>
      <c r="B615" s="1" t="n">
        <v>45799.3827662037</v>
      </c>
      <c r="C615" s="1" t="n">
        <v>45973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HYPERLINK("https://klasma.github.io/Logging_2132/knärot/A 24758-2025 karta knärot.png", "A 24758-2025")</f>
        <v/>
      </c>
      <c r="V615">
        <f>HYPERLINK("https://klasma.github.io/Logging_2132/klagomål/A 24758-2025 FSC-klagomål.docx", "A 24758-2025")</f>
        <v/>
      </c>
      <c r="W615">
        <f>HYPERLINK("https://klasma.github.io/Logging_2132/klagomålsmail/A 24758-2025 FSC-klagomål mail.docx", "A 24758-2025")</f>
        <v/>
      </c>
      <c r="X615">
        <f>HYPERLINK("https://klasma.github.io/Logging_2132/tillsyn/A 24758-2025 tillsynsbegäran.docx", "A 24758-2025")</f>
        <v/>
      </c>
      <c r="Y615">
        <f>HYPERLINK("https://klasma.github.io/Logging_2132/tillsynsmail/A 24758-2025 tillsynsbegäran mail.docx", "A 24758-2025")</f>
        <v/>
      </c>
    </row>
    <row r="616" ht="15" customHeight="1">
      <c r="A616" t="inlineStr">
        <is>
          <t>A 24938-2025</t>
        </is>
      </c>
      <c r="B616" s="1" t="n">
        <v>45799.55915509259</v>
      </c>
      <c r="C616" s="1" t="n">
        <v>45973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54519-2024</t>
        </is>
      </c>
      <c r="B617" s="1" t="n">
        <v>45617</v>
      </c>
      <c r="C617" s="1" t="n">
        <v>45973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22695-2025</t>
        </is>
      </c>
      <c r="B618" s="1" t="n">
        <v>45789.54197916666</v>
      </c>
      <c r="C618" s="1" t="n">
        <v>45973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25080-2025</t>
        </is>
      </c>
      <c r="B619" s="1" t="n">
        <v>45799.91233796296</v>
      </c>
      <c r="C619" s="1" t="n">
        <v>45973</v>
      </c>
      <c r="D619" t="inlineStr">
        <is>
          <t>GÄVLEBORGS LÄN</t>
        </is>
      </c>
      <c r="E619" t="inlineStr">
        <is>
          <t>NORDANSTIG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63145-2023</t>
        </is>
      </c>
      <c r="B620" s="1" t="n">
        <v>45273</v>
      </c>
      <c r="C620" s="1" t="n">
        <v>45973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51464-2025</t>
        </is>
      </c>
      <c r="B621" s="1" t="n">
        <v>45950.61001157408</v>
      </c>
      <c r="C621" s="1" t="n">
        <v>45973</v>
      </c>
      <c r="D621" t="inlineStr">
        <is>
          <t>GÄVLEBORGS LÄN</t>
        </is>
      </c>
      <c r="E621" t="inlineStr">
        <is>
          <t>NORDANSTIG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51360-2025</t>
        </is>
      </c>
      <c r="B622" s="1" t="n">
        <v>45950.44428240741</v>
      </c>
      <c r="C622" s="1" t="n">
        <v>45973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20441-2023</t>
        </is>
      </c>
      <c r="B623" s="1" t="n">
        <v>45056.82412037037</v>
      </c>
      <c r="C623" s="1" t="n">
        <v>45973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25468-2025</t>
        </is>
      </c>
      <c r="B624" s="1" t="n">
        <v>45802.68767361111</v>
      </c>
      <c r="C624" s="1" t="n">
        <v>45973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40733-2023</t>
        </is>
      </c>
      <c r="B625" s="1" t="n">
        <v>45170.70216435185</v>
      </c>
      <c r="C625" s="1" t="n">
        <v>45973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25724-2025</t>
        </is>
      </c>
      <c r="B626" s="1" t="n">
        <v>45803.71337962963</v>
      </c>
      <c r="C626" s="1" t="n">
        <v>45973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17853-2025</t>
        </is>
      </c>
      <c r="B627" s="1" t="n">
        <v>45758.61561342593</v>
      </c>
      <c r="C627" s="1" t="n">
        <v>45973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61366-2022</t>
        </is>
      </c>
      <c r="B628" s="1" t="n">
        <v>44915</v>
      </c>
      <c r="C628" s="1" t="n">
        <v>45973</v>
      </c>
      <c r="D628" t="inlineStr">
        <is>
          <t>GÄVLEBORGS LÄN</t>
        </is>
      </c>
      <c r="E628" t="inlineStr">
        <is>
          <t>NORDANSTIG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20566-2025</t>
        </is>
      </c>
      <c r="B629" s="1" t="n">
        <v>45775.66376157408</v>
      </c>
      <c r="C629" s="1" t="n">
        <v>45973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43465-2024</t>
        </is>
      </c>
      <c r="B630" s="1" t="n">
        <v>45568.71283564815</v>
      </c>
      <c r="C630" s="1" t="n">
        <v>45973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34502-2024</t>
        </is>
      </c>
      <c r="B631" s="1" t="n">
        <v>45525.64055555555</v>
      </c>
      <c r="C631" s="1" t="n">
        <v>45973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13089-2025</t>
        </is>
      </c>
      <c r="B632" s="1" t="n">
        <v>45734.64541666667</v>
      </c>
      <c r="C632" s="1" t="n">
        <v>45973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27161-2021</t>
        </is>
      </c>
      <c r="B633" s="1" t="n">
        <v>44350.61917824074</v>
      </c>
      <c r="C633" s="1" t="n">
        <v>45973</v>
      </c>
      <c r="D633" t="inlineStr">
        <is>
          <t>GÄVLEBORGS LÄN</t>
        </is>
      </c>
      <c r="E633" t="inlineStr">
        <is>
          <t>NORDANSTIG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57463-2023</t>
        </is>
      </c>
      <c r="B634" s="1" t="n">
        <v>45246.36513888889</v>
      </c>
      <c r="C634" s="1" t="n">
        <v>45973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41825-2025</t>
        </is>
      </c>
      <c r="B635" s="1" t="n">
        <v>45902.66770833333</v>
      </c>
      <c r="C635" s="1" t="n">
        <v>45973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22863-2023</t>
        </is>
      </c>
      <c r="B636" s="1" t="n">
        <v>45072</v>
      </c>
      <c r="C636" s="1" t="n">
        <v>45973</v>
      </c>
      <c r="D636" t="inlineStr">
        <is>
          <t>GÄVLEBORGS LÄN</t>
        </is>
      </c>
      <c r="E636" t="inlineStr">
        <is>
          <t>NORDANSTIG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41957-2023</t>
        </is>
      </c>
      <c r="B637" s="1" t="n">
        <v>45177.35335648148</v>
      </c>
      <c r="C637" s="1" t="n">
        <v>45973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56281-2024</t>
        </is>
      </c>
      <c r="B638" s="1" t="n">
        <v>45624.6768287037</v>
      </c>
      <c r="C638" s="1" t="n">
        <v>45973</v>
      </c>
      <c r="D638" t="inlineStr">
        <is>
          <t>GÄVLEBORGS LÄN</t>
        </is>
      </c>
      <c r="E638" t="inlineStr">
        <is>
          <t>NORDANSTIG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43657-2023</t>
        </is>
      </c>
      <c r="B639" s="1" t="n">
        <v>45187.344375</v>
      </c>
      <c r="C639" s="1" t="n">
        <v>45973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37217-2024</t>
        </is>
      </c>
      <c r="B640" s="1" t="n">
        <v>45539</v>
      </c>
      <c r="C640" s="1" t="n">
        <v>45973</v>
      </c>
      <c r="D640" t="inlineStr">
        <is>
          <t>GÄVLEBORGS LÄN</t>
        </is>
      </c>
      <c r="E640" t="inlineStr">
        <is>
          <t>NORDANSTIG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37671-2025</t>
        </is>
      </c>
      <c r="B641" s="1" t="n">
        <v>45880.52561342593</v>
      </c>
      <c r="C641" s="1" t="n">
        <v>45973</v>
      </c>
      <c r="D641" t="inlineStr">
        <is>
          <t>GÄVLEBORGS LÄN</t>
        </is>
      </c>
      <c r="E641" t="inlineStr">
        <is>
          <t>NORDANSTIG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51988-2024</t>
        </is>
      </c>
      <c r="B642" s="1" t="n">
        <v>45607.68701388889</v>
      </c>
      <c r="C642" s="1" t="n">
        <v>45973</v>
      </c>
      <c r="D642" t="inlineStr">
        <is>
          <t>GÄVLEBORGS LÄN</t>
        </is>
      </c>
      <c r="E642" t="inlineStr">
        <is>
          <t>NORDANSTIG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52002-2024</t>
        </is>
      </c>
      <c r="B643" s="1" t="n">
        <v>45607.75846064815</v>
      </c>
      <c r="C643" s="1" t="n">
        <v>45973</v>
      </c>
      <c r="D643" t="inlineStr">
        <is>
          <t>GÄVLEBORGS LÄN</t>
        </is>
      </c>
      <c r="E643" t="inlineStr">
        <is>
          <t>NORDANSTIG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42930-2025</t>
        </is>
      </c>
      <c r="B644" s="1" t="n">
        <v>45909.30883101852</v>
      </c>
      <c r="C644" s="1" t="n">
        <v>45973</v>
      </c>
      <c r="D644" t="inlineStr">
        <is>
          <t>GÄVLEBORGS LÄN</t>
        </is>
      </c>
      <c r="E644" t="inlineStr">
        <is>
          <t>NORDANSTIG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25665-2023</t>
        </is>
      </c>
      <c r="B645" s="1" t="n">
        <v>45089</v>
      </c>
      <c r="C645" s="1" t="n">
        <v>45973</v>
      </c>
      <c r="D645" t="inlineStr">
        <is>
          <t>GÄVLEBORGS LÄN</t>
        </is>
      </c>
      <c r="E645" t="inlineStr">
        <is>
          <t>NORDANSTIG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25467-2025</t>
        </is>
      </c>
      <c r="B646" s="1" t="n">
        <v>45802.66018518519</v>
      </c>
      <c r="C646" s="1" t="n">
        <v>45973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51681-2025</t>
        </is>
      </c>
      <c r="B647" s="1" t="n">
        <v>45951.51616898148</v>
      </c>
      <c r="C647" s="1" t="n">
        <v>45973</v>
      </c>
      <c r="D647" t="inlineStr">
        <is>
          <t>GÄVLEBORGS LÄN</t>
        </is>
      </c>
      <c r="E647" t="inlineStr">
        <is>
          <t>NORDANSTIG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12764-2025</t>
        </is>
      </c>
      <c r="B648" s="1" t="n">
        <v>45733.57371527778</v>
      </c>
      <c r="C648" s="1" t="n">
        <v>45973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22868-2023</t>
        </is>
      </c>
      <c r="B649" s="1" t="n">
        <v>45072.48825231481</v>
      </c>
      <c r="C649" s="1" t="n">
        <v>45973</v>
      </c>
      <c r="D649" t="inlineStr">
        <is>
          <t>GÄVLEBORGS LÄN</t>
        </is>
      </c>
      <c r="E649" t="inlineStr">
        <is>
          <t>NORDANSTIG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51680-2025</t>
        </is>
      </c>
      <c r="B650" s="1" t="n">
        <v>45951.51335648148</v>
      </c>
      <c r="C650" s="1" t="n">
        <v>45973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21999-2023</t>
        </is>
      </c>
      <c r="B651" s="1" t="n">
        <v>45068.92696759259</v>
      </c>
      <c r="C651" s="1" t="n">
        <v>45973</v>
      </c>
      <c r="D651" t="inlineStr">
        <is>
          <t>GÄVLEBORGS LÄN</t>
        </is>
      </c>
      <c r="E651" t="inlineStr">
        <is>
          <t>NORDANSTIG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43199-2025</t>
        </is>
      </c>
      <c r="B652" s="1" t="n">
        <v>45910.43589120371</v>
      </c>
      <c r="C652" s="1" t="n">
        <v>45973</v>
      </c>
      <c r="D652" t="inlineStr">
        <is>
          <t>GÄVLEBORGS LÄN</t>
        </is>
      </c>
      <c r="E652" t="inlineStr">
        <is>
          <t>NORDANSTIG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42980-2025</t>
        </is>
      </c>
      <c r="B653" s="1" t="n">
        <v>45909</v>
      </c>
      <c r="C653" s="1" t="n">
        <v>45973</v>
      </c>
      <c r="D653" t="inlineStr">
        <is>
          <t>GÄVLEBORGS LÄN</t>
        </is>
      </c>
      <c r="E653" t="inlineStr">
        <is>
          <t>NORDANSTIG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37974-2024</t>
        </is>
      </c>
      <c r="B654" s="1" t="n">
        <v>45544.57392361111</v>
      </c>
      <c r="C654" s="1" t="n">
        <v>45973</v>
      </c>
      <c r="D654" t="inlineStr">
        <is>
          <t>GÄVLEBORGS LÄN</t>
        </is>
      </c>
      <c r="E654" t="inlineStr">
        <is>
          <t>NORDANSTIG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26827-2021</t>
        </is>
      </c>
      <c r="B655" s="1" t="n">
        <v>44349</v>
      </c>
      <c r="C655" s="1" t="n">
        <v>45973</v>
      </c>
      <c r="D655" t="inlineStr">
        <is>
          <t>GÄVLEBORGS LÄN</t>
        </is>
      </c>
      <c r="E655" t="inlineStr">
        <is>
          <t>NORDANSTIG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58165-2023</t>
        </is>
      </c>
      <c r="B656" s="1" t="n">
        <v>45250.39545138889</v>
      </c>
      <c r="C656" s="1" t="n">
        <v>45973</v>
      </c>
      <c r="D656" t="inlineStr">
        <is>
          <t>GÄVLEBORGS LÄN</t>
        </is>
      </c>
      <c r="E656" t="inlineStr">
        <is>
          <t>NORDANSTIG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52006-2024</t>
        </is>
      </c>
      <c r="B657" s="1" t="n">
        <v>45607.76726851852</v>
      </c>
      <c r="C657" s="1" t="n">
        <v>45973</v>
      </c>
      <c r="D657" t="inlineStr">
        <is>
          <t>GÄVLEBORGS LÄN</t>
        </is>
      </c>
      <c r="E657" t="inlineStr">
        <is>
          <t>NORDANSTIG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18988-2022</t>
        </is>
      </c>
      <c r="B658" s="1" t="n">
        <v>44690</v>
      </c>
      <c r="C658" s="1" t="n">
        <v>45973</v>
      </c>
      <c r="D658" t="inlineStr">
        <is>
          <t>GÄVLEBORGS LÄN</t>
        </is>
      </c>
      <c r="E658" t="inlineStr">
        <is>
          <t>NORDANSTIG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12607-2024</t>
        </is>
      </c>
      <c r="B659" s="1" t="n">
        <v>45382.54315972222</v>
      </c>
      <c r="C659" s="1" t="n">
        <v>45973</v>
      </c>
      <c r="D659" t="inlineStr">
        <is>
          <t>GÄVLEBORGS LÄN</t>
        </is>
      </c>
      <c r="E659" t="inlineStr">
        <is>
          <t>NORDANSTIG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53988-2023</t>
        </is>
      </c>
      <c r="B660" s="1" t="n">
        <v>45231.66075231481</v>
      </c>
      <c r="C660" s="1" t="n">
        <v>45973</v>
      </c>
      <c r="D660" t="inlineStr">
        <is>
          <t>GÄVLEBORGS LÄN</t>
        </is>
      </c>
      <c r="E660" t="inlineStr">
        <is>
          <t>NORDANSTIG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18332-2024</t>
        </is>
      </c>
      <c r="B661" s="1" t="n">
        <v>45422.56459490741</v>
      </c>
      <c r="C661" s="1" t="n">
        <v>45973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51387-2024</t>
        </is>
      </c>
      <c r="B662" s="1" t="n">
        <v>45604.39825231482</v>
      </c>
      <c r="C662" s="1" t="n">
        <v>45973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5660-2023</t>
        </is>
      </c>
      <c r="B663" s="1" t="n">
        <v>44960.62733796296</v>
      </c>
      <c r="C663" s="1" t="n">
        <v>45973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38581-2024</t>
        </is>
      </c>
      <c r="B664" s="1" t="n">
        <v>45546.64888888889</v>
      </c>
      <c r="C664" s="1" t="n">
        <v>45973</v>
      </c>
      <c r="D664" t="inlineStr">
        <is>
          <t>GÄVLEBORGS LÄN</t>
        </is>
      </c>
      <c r="E664" t="inlineStr">
        <is>
          <t>NORDANSTIG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38589-2024</t>
        </is>
      </c>
      <c r="B665" s="1" t="n">
        <v>45546.65302083334</v>
      </c>
      <c r="C665" s="1" t="n">
        <v>45973</v>
      </c>
      <c r="D665" t="inlineStr">
        <is>
          <t>GÄVLEBORGS LÄN</t>
        </is>
      </c>
      <c r="E665" t="inlineStr">
        <is>
          <t>NORDANSTIG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25469-2025</t>
        </is>
      </c>
      <c r="B666" s="1" t="n">
        <v>45802.70565972223</v>
      </c>
      <c r="C666" s="1" t="n">
        <v>45973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43507-2025</t>
        </is>
      </c>
      <c r="B667" s="1" t="n">
        <v>45911.5544212963</v>
      </c>
      <c r="C667" s="1" t="n">
        <v>45973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1483-2022</t>
        </is>
      </c>
      <c r="B668" s="1" t="n">
        <v>44573.52768518519</v>
      </c>
      <c r="C668" s="1" t="n">
        <v>45973</v>
      </c>
      <c r="D668" t="inlineStr">
        <is>
          <t>GÄVLEBORGS LÄN</t>
        </is>
      </c>
      <c r="E668" t="inlineStr">
        <is>
          <t>NORDANSTIG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40078-2024</t>
        </is>
      </c>
      <c r="B669" s="1" t="n">
        <v>45554.34570601852</v>
      </c>
      <c r="C669" s="1" t="n">
        <v>45973</v>
      </c>
      <c r="D669" t="inlineStr">
        <is>
          <t>GÄVLEBORGS LÄN</t>
        </is>
      </c>
      <c r="E669" t="inlineStr">
        <is>
          <t>NORDANSTIG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55704-2024</t>
        </is>
      </c>
      <c r="B670" s="1" t="n">
        <v>45622.69447916667</v>
      </c>
      <c r="C670" s="1" t="n">
        <v>45973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43977-2025</t>
        </is>
      </c>
      <c r="B671" s="1" t="n">
        <v>45915.415</v>
      </c>
      <c r="C671" s="1" t="n">
        <v>45973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18933-2023</t>
        </is>
      </c>
      <c r="B672" s="1" t="n">
        <v>45044.61585648148</v>
      </c>
      <c r="C672" s="1" t="n">
        <v>45973</v>
      </c>
      <c r="D672" t="inlineStr">
        <is>
          <t>GÄVLEBORGS LÄN</t>
        </is>
      </c>
      <c r="E672" t="inlineStr">
        <is>
          <t>NORDANSTIG</t>
        </is>
      </c>
      <c r="G672" t="n">
        <v>26.6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19566-2025</t>
        </is>
      </c>
      <c r="B673" s="1" t="n">
        <v>45770.53225694445</v>
      </c>
      <c r="C673" s="1" t="n">
        <v>45973</v>
      </c>
      <c r="D673" t="inlineStr">
        <is>
          <t>GÄVLEBORGS LÄN</t>
        </is>
      </c>
      <c r="E673" t="inlineStr">
        <is>
          <t>NORDANSTIG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19569-2025</t>
        </is>
      </c>
      <c r="B674" s="1" t="n">
        <v>45770.53775462963</v>
      </c>
      <c r="C674" s="1" t="n">
        <v>45973</v>
      </c>
      <c r="D674" t="inlineStr">
        <is>
          <t>GÄVLEBORGS LÄN</t>
        </is>
      </c>
      <c r="E674" t="inlineStr">
        <is>
          <t>NORDANSTIG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44049-2025</t>
        </is>
      </c>
      <c r="B675" s="1" t="n">
        <v>45915.49884259259</v>
      </c>
      <c r="C675" s="1" t="n">
        <v>45973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35931-2023</t>
        </is>
      </c>
      <c r="B676" s="1" t="n">
        <v>45148.66540509259</v>
      </c>
      <c r="C676" s="1" t="n">
        <v>45973</v>
      </c>
      <c r="D676" t="inlineStr">
        <is>
          <t>GÄVLEBORGS LÄN</t>
        </is>
      </c>
      <c r="E676" t="inlineStr">
        <is>
          <t>NORDANSTIG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43949-2025</t>
        </is>
      </c>
      <c r="B677" s="1" t="n">
        <v>45915.37743055556</v>
      </c>
      <c r="C677" s="1" t="n">
        <v>45973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53028-2025</t>
        </is>
      </c>
      <c r="B678" s="1" t="n">
        <v>45958.34267361111</v>
      </c>
      <c r="C678" s="1" t="n">
        <v>45973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4142-2023</t>
        </is>
      </c>
      <c r="B679" s="1" t="n">
        <v>44953</v>
      </c>
      <c r="C679" s="1" t="n">
        <v>45973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3606-2025</t>
        </is>
      </c>
      <c r="B680" s="1" t="n">
        <v>45681.35346064815</v>
      </c>
      <c r="C680" s="1" t="n">
        <v>45973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44052-2025</t>
        </is>
      </c>
      <c r="B681" s="1" t="n">
        <v>45915.51091435185</v>
      </c>
      <c r="C681" s="1" t="n">
        <v>45973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19896-2025</t>
        </is>
      </c>
      <c r="B682" s="1" t="n">
        <v>45771.5834837963</v>
      </c>
      <c r="C682" s="1" t="n">
        <v>45973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17840-2023</t>
        </is>
      </c>
      <c r="B683" s="1" t="n">
        <v>45037</v>
      </c>
      <c r="C683" s="1" t="n">
        <v>45973</v>
      </c>
      <c r="D683" t="inlineStr">
        <is>
          <t>GÄVLEBORGS LÄN</t>
        </is>
      </c>
      <c r="E683" t="inlineStr">
        <is>
          <t>NORDANSTIG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37739-2024</t>
        </is>
      </c>
      <c r="B684" s="1" t="n">
        <v>45541.67366898148</v>
      </c>
      <c r="C684" s="1" t="n">
        <v>45973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61419-2024</t>
        </is>
      </c>
      <c r="B685" s="1" t="n">
        <v>45646.4496875</v>
      </c>
      <c r="C685" s="1" t="n">
        <v>45973</v>
      </c>
      <c r="D685" t="inlineStr">
        <is>
          <t>GÄVLEBORGS LÄN</t>
        </is>
      </c>
      <c r="E685" t="inlineStr">
        <is>
          <t>NORDANSTIG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52695-2024</t>
        </is>
      </c>
      <c r="B686" s="1" t="n">
        <v>45610.40315972222</v>
      </c>
      <c r="C686" s="1" t="n">
        <v>45973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44068-2025</t>
        </is>
      </c>
      <c r="B687" s="1" t="n">
        <v>45915.54482638889</v>
      </c>
      <c r="C687" s="1" t="n">
        <v>45973</v>
      </c>
      <c r="D687" t="inlineStr">
        <is>
          <t>GÄVLEBORGS LÄN</t>
        </is>
      </c>
      <c r="E687" t="inlineStr">
        <is>
          <t>NORDANSTIG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44075-2025</t>
        </is>
      </c>
      <c r="B688" s="1" t="n">
        <v>45915.54935185185</v>
      </c>
      <c r="C688" s="1" t="n">
        <v>45973</v>
      </c>
      <c r="D688" t="inlineStr">
        <is>
          <t>GÄVLEBORGS LÄN</t>
        </is>
      </c>
      <c r="E688" t="inlineStr">
        <is>
          <t>NORDANSTIG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1526-2024</t>
        </is>
      </c>
      <c r="B689" s="1" t="n">
        <v>45306</v>
      </c>
      <c r="C689" s="1" t="n">
        <v>45973</v>
      </c>
      <c r="D689" t="inlineStr">
        <is>
          <t>GÄVLEBORGS LÄN</t>
        </is>
      </c>
      <c r="E689" t="inlineStr">
        <is>
          <t>NORDANSTIG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53311-2025</t>
        </is>
      </c>
      <c r="B690" s="1" t="n">
        <v>45959.34434027778</v>
      </c>
      <c r="C690" s="1" t="n">
        <v>45973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52120-2022</t>
        </is>
      </c>
      <c r="B691" s="1" t="n">
        <v>44873.42377314815</v>
      </c>
      <c r="C691" s="1" t="n">
        <v>45973</v>
      </c>
      <c r="D691" t="inlineStr">
        <is>
          <t>GÄVLEBORGS LÄN</t>
        </is>
      </c>
      <c r="E691" t="inlineStr">
        <is>
          <t>NORDANSTIG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58184-2022</t>
        </is>
      </c>
      <c r="B692" s="1" t="n">
        <v>44900</v>
      </c>
      <c r="C692" s="1" t="n">
        <v>45973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5475-2023</t>
        </is>
      </c>
      <c r="B693" s="1" t="n">
        <v>44960</v>
      </c>
      <c r="C693" s="1" t="n">
        <v>45973</v>
      </c>
      <c r="D693" t="inlineStr">
        <is>
          <t>GÄVLEBORGS LÄN</t>
        </is>
      </c>
      <c r="E693" t="inlineStr">
        <is>
          <t>NORDANSTIG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52206-2022</t>
        </is>
      </c>
      <c r="B694" s="1" t="n">
        <v>44869</v>
      </c>
      <c r="C694" s="1" t="n">
        <v>45973</v>
      </c>
      <c r="D694" t="inlineStr">
        <is>
          <t>GÄVLEBORGS LÄN</t>
        </is>
      </c>
      <c r="E694" t="inlineStr">
        <is>
          <t>NORDANSTIG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469-2024</t>
        </is>
      </c>
      <c r="B695" s="1" t="n">
        <v>45297.67460648148</v>
      </c>
      <c r="C695" s="1" t="n">
        <v>45973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58870-2023</t>
        </is>
      </c>
      <c r="B696" s="1" t="n">
        <v>45252</v>
      </c>
      <c r="C696" s="1" t="n">
        <v>45973</v>
      </c>
      <c r="D696" t="inlineStr">
        <is>
          <t>GÄVLEBORGS LÄN</t>
        </is>
      </c>
      <c r="E696" t="inlineStr">
        <is>
          <t>NORDANSTIG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60520-2023</t>
        </is>
      </c>
      <c r="B697" s="1" t="n">
        <v>45259.65444444444</v>
      </c>
      <c r="C697" s="1" t="n">
        <v>45973</v>
      </c>
      <c r="D697" t="inlineStr">
        <is>
          <t>GÄVLEBORGS LÄN</t>
        </is>
      </c>
      <c r="E697" t="inlineStr">
        <is>
          <t>NORDANSTIG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2149-2024</t>
        </is>
      </c>
      <c r="B698" s="1" t="n">
        <v>45309.57211805556</v>
      </c>
      <c r="C698" s="1" t="n">
        <v>45973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44599-2025</t>
        </is>
      </c>
      <c r="B699" s="1" t="n">
        <v>45917.43070601852</v>
      </c>
      <c r="C699" s="1" t="n">
        <v>45973</v>
      </c>
      <c r="D699" t="inlineStr">
        <is>
          <t>GÄVLEBORGS LÄN</t>
        </is>
      </c>
      <c r="E699" t="inlineStr">
        <is>
          <t>NORDANSTIG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14051-2025</t>
        </is>
      </c>
      <c r="B700" s="1" t="n">
        <v>45740.38570601852</v>
      </c>
      <c r="C700" s="1" t="n">
        <v>45973</v>
      </c>
      <c r="D700" t="inlineStr">
        <is>
          <t>GÄVLEBORGS LÄN</t>
        </is>
      </c>
      <c r="E700" t="inlineStr">
        <is>
          <t>NORDANSTIG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26636-2025</t>
        </is>
      </c>
      <c r="B701" s="1" t="n">
        <v>45810.3549537037</v>
      </c>
      <c r="C701" s="1" t="n">
        <v>45973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42.8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3404-2025</t>
        </is>
      </c>
      <c r="B702" s="1" t="n">
        <v>45680.37916666667</v>
      </c>
      <c r="C702" s="1" t="n">
        <v>45973</v>
      </c>
      <c r="D702" t="inlineStr">
        <is>
          <t>GÄVLEBORGS LÄN</t>
        </is>
      </c>
      <c r="E702" t="inlineStr">
        <is>
          <t>NORDANSTIG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2946-2025</t>
        </is>
      </c>
      <c r="B703" s="1" t="n">
        <v>45678.42084490741</v>
      </c>
      <c r="C703" s="1" t="n">
        <v>45973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53484-2025</t>
        </is>
      </c>
      <c r="B704" s="1" t="n">
        <v>45959.88045138889</v>
      </c>
      <c r="C704" s="1" t="n">
        <v>45973</v>
      </c>
      <c r="D704" t="inlineStr">
        <is>
          <t>GÄVLEBORGS LÄN</t>
        </is>
      </c>
      <c r="E704" t="inlineStr">
        <is>
          <t>NORDANSTIG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27224-2025</t>
        </is>
      </c>
      <c r="B705" s="1" t="n">
        <v>45812.42760416667</v>
      </c>
      <c r="C705" s="1" t="n">
        <v>45973</v>
      </c>
      <c r="D705" t="inlineStr">
        <is>
          <t>GÄVLEBORGS LÄN</t>
        </is>
      </c>
      <c r="E705" t="inlineStr">
        <is>
          <t>NORDANSTIG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44603-2025</t>
        </is>
      </c>
      <c r="B706" s="1" t="n">
        <v>45917.44409722222</v>
      </c>
      <c r="C706" s="1" t="n">
        <v>45973</v>
      </c>
      <c r="D706" t="inlineStr">
        <is>
          <t>GÄVLEBORGS LÄN</t>
        </is>
      </c>
      <c r="E706" t="inlineStr">
        <is>
          <t>NORDANSTIG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44591-2025</t>
        </is>
      </c>
      <c r="B707" s="1" t="n">
        <v>45917.42732638889</v>
      </c>
      <c r="C707" s="1" t="n">
        <v>45973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27203-2025</t>
        </is>
      </c>
      <c r="B708" s="1" t="n">
        <v>45812.39972222222</v>
      </c>
      <c r="C708" s="1" t="n">
        <v>45973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61418-2024</t>
        </is>
      </c>
      <c r="B709" s="1" t="n">
        <v>45646.44805555556</v>
      </c>
      <c r="C709" s="1" t="n">
        <v>45973</v>
      </c>
      <c r="D709" t="inlineStr">
        <is>
          <t>GÄVLEBORGS LÄN</t>
        </is>
      </c>
      <c r="E709" t="inlineStr">
        <is>
          <t>NORDANSTIG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17843-2023</t>
        </is>
      </c>
      <c r="B710" s="1" t="n">
        <v>45037</v>
      </c>
      <c r="C710" s="1" t="n">
        <v>45973</v>
      </c>
      <c r="D710" t="inlineStr">
        <is>
          <t>GÄVLEBORGS LÄN</t>
        </is>
      </c>
      <c r="E710" t="inlineStr">
        <is>
          <t>NORDANSTIG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31724-2024</t>
        </is>
      </c>
      <c r="B711" s="1" t="n">
        <v>45509.33159722222</v>
      </c>
      <c r="C711" s="1" t="n">
        <v>45973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12815-2023</t>
        </is>
      </c>
      <c r="B712" s="1" t="n">
        <v>45001</v>
      </c>
      <c r="C712" s="1" t="n">
        <v>45973</v>
      </c>
      <c r="D712" t="inlineStr">
        <is>
          <t>GÄVLEBORGS LÄN</t>
        </is>
      </c>
      <c r="E712" t="inlineStr">
        <is>
          <t>NORDANSTIG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40477-2024</t>
        </is>
      </c>
      <c r="B713" s="1" t="n">
        <v>45555.54740740741</v>
      </c>
      <c r="C713" s="1" t="n">
        <v>45973</v>
      </c>
      <c r="D713" t="inlineStr">
        <is>
          <t>GÄVLEBORGS LÄN</t>
        </is>
      </c>
      <c r="E713" t="inlineStr">
        <is>
          <t>NORDANSTIG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44983-2025</t>
        </is>
      </c>
      <c r="B714" s="1" t="n">
        <v>45918.65190972222</v>
      </c>
      <c r="C714" s="1" t="n">
        <v>45973</v>
      </c>
      <c r="D714" t="inlineStr">
        <is>
          <t>GÄVLEBORGS LÄN</t>
        </is>
      </c>
      <c r="E714" t="inlineStr">
        <is>
          <t>NORDANSTIG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53360-2025</t>
        </is>
      </c>
      <c r="B715" s="1" t="n">
        <v>45959.47620370371</v>
      </c>
      <c r="C715" s="1" t="n">
        <v>45973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44339-2024</t>
        </is>
      </c>
      <c r="B716" s="1" t="n">
        <v>45573.61497685185</v>
      </c>
      <c r="C716" s="1" t="n">
        <v>45973</v>
      </c>
      <c r="D716" t="inlineStr">
        <is>
          <t>GÄVLEBORGS LÄN</t>
        </is>
      </c>
      <c r="E716" t="inlineStr">
        <is>
          <t>NORDANSTIG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43378-2023</t>
        </is>
      </c>
      <c r="B717" s="1" t="n">
        <v>45183</v>
      </c>
      <c r="C717" s="1" t="n">
        <v>45973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53665-2025</t>
        </is>
      </c>
      <c r="B718" s="1" t="n">
        <v>45960.54616898148</v>
      </c>
      <c r="C718" s="1" t="n">
        <v>45973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37002-2024</t>
        </is>
      </c>
      <c r="B719" s="1" t="n">
        <v>45539</v>
      </c>
      <c r="C719" s="1" t="n">
        <v>45973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71442-2021</t>
        </is>
      </c>
      <c r="B720" s="1" t="n">
        <v>44540.45574074074</v>
      </c>
      <c r="C720" s="1" t="n">
        <v>45973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53646-2025</t>
        </is>
      </c>
      <c r="B721" s="1" t="n">
        <v>45960.5203125</v>
      </c>
      <c r="C721" s="1" t="n">
        <v>45973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53340-2025</t>
        </is>
      </c>
      <c r="B722" s="1" t="n">
        <v>45959.4071412037</v>
      </c>
      <c r="C722" s="1" t="n">
        <v>45973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6099-2023</t>
        </is>
      </c>
      <c r="B723" s="1" t="n">
        <v>44964.58133101852</v>
      </c>
      <c r="C723" s="1" t="n">
        <v>45973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44972-2025</t>
        </is>
      </c>
      <c r="B724" s="1" t="n">
        <v>45918.63663194444</v>
      </c>
      <c r="C724" s="1" t="n">
        <v>45973</v>
      </c>
      <c r="D724" t="inlineStr">
        <is>
          <t>GÄVLEBORGS LÄN</t>
        </is>
      </c>
      <c r="E724" t="inlineStr">
        <is>
          <t>NORDANSTIG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44978-2025</t>
        </is>
      </c>
      <c r="B725" s="1" t="n">
        <v>45918.64543981481</v>
      </c>
      <c r="C725" s="1" t="n">
        <v>45973</v>
      </c>
      <c r="D725" t="inlineStr">
        <is>
          <t>GÄVLEBORGS LÄN</t>
        </is>
      </c>
      <c r="E725" t="inlineStr">
        <is>
          <t>NORDANSTIG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32635-2022</t>
        </is>
      </c>
      <c r="B726" s="1" t="n">
        <v>44783</v>
      </c>
      <c r="C726" s="1" t="n">
        <v>45973</v>
      </c>
      <c r="D726" t="inlineStr">
        <is>
          <t>GÄVLEBORGS LÄN</t>
        </is>
      </c>
      <c r="E726" t="inlineStr">
        <is>
          <t>NORDANSTIG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28680-2023</t>
        </is>
      </c>
      <c r="B727" s="1" t="n">
        <v>45103.67951388889</v>
      </c>
      <c r="C727" s="1" t="n">
        <v>45973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20044-2024</t>
        </is>
      </c>
      <c r="B728" s="1" t="n">
        <v>45434.36261574074</v>
      </c>
      <c r="C728" s="1" t="n">
        <v>45973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11599-2024</t>
        </is>
      </c>
      <c r="B729" s="1" t="n">
        <v>45373.38446759259</v>
      </c>
      <c r="C729" s="1" t="n">
        <v>45973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43883-2021</t>
        </is>
      </c>
      <c r="B730" s="1" t="n">
        <v>44434.33675925926</v>
      </c>
      <c r="C730" s="1" t="n">
        <v>45973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54077-2025</t>
        </is>
      </c>
      <c r="B731" s="1" t="n">
        <v>45964.36503472222</v>
      </c>
      <c r="C731" s="1" t="n">
        <v>45973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49300-2024</t>
        </is>
      </c>
      <c r="B732" s="1" t="n">
        <v>45595.54486111111</v>
      </c>
      <c r="C732" s="1" t="n">
        <v>45973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46459-2024</t>
        </is>
      </c>
      <c r="B733" s="1" t="n">
        <v>45582.52916666667</v>
      </c>
      <c r="C733" s="1" t="n">
        <v>45973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30842-2024</t>
        </is>
      </c>
      <c r="B734" s="1" t="n">
        <v>45497.57481481481</v>
      </c>
      <c r="C734" s="1" t="n">
        <v>45973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11338-2023</t>
        </is>
      </c>
      <c r="B735" s="1" t="n">
        <v>44993.35480324074</v>
      </c>
      <c r="C735" s="1" t="n">
        <v>45973</v>
      </c>
      <c r="D735" t="inlineStr">
        <is>
          <t>GÄVLEBORGS LÄN</t>
        </is>
      </c>
      <c r="E735" t="inlineStr">
        <is>
          <t>NORDANSTIG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39068-2023</t>
        </is>
      </c>
      <c r="B736" s="1" t="n">
        <v>45163</v>
      </c>
      <c r="C736" s="1" t="n">
        <v>45973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SCA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45058-2025</t>
        </is>
      </c>
      <c r="B737" s="1" t="n">
        <v>45919.34226851852</v>
      </c>
      <c r="C737" s="1" t="n">
        <v>45973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60869-2024</t>
        </is>
      </c>
      <c r="B738" s="1" t="n">
        <v>45644.70296296296</v>
      </c>
      <c r="C738" s="1" t="n">
        <v>45973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64835-2021</t>
        </is>
      </c>
      <c r="B739" s="1" t="n">
        <v>44512.56263888889</v>
      </c>
      <c r="C739" s="1" t="n">
        <v>45973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19231-2024</t>
        </is>
      </c>
      <c r="B740" s="1" t="n">
        <v>45428</v>
      </c>
      <c r="C740" s="1" t="n">
        <v>45973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14866-2024</t>
        </is>
      </c>
      <c r="B741" s="1" t="n">
        <v>45397</v>
      </c>
      <c r="C741" s="1" t="n">
        <v>45973</v>
      </c>
      <c r="D741" t="inlineStr">
        <is>
          <t>GÄVLEBORGS LÄN</t>
        </is>
      </c>
      <c r="E741" t="inlineStr">
        <is>
          <t>NORDANSTIG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65039-2023</t>
        </is>
      </c>
      <c r="B742" s="1" t="n">
        <v>45287.48986111111</v>
      </c>
      <c r="C742" s="1" t="n">
        <v>45973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60934-2024</t>
        </is>
      </c>
      <c r="B743" s="1" t="n">
        <v>45645.36635416667</v>
      </c>
      <c r="C743" s="1" t="n">
        <v>45973</v>
      </c>
      <c r="D743" t="inlineStr">
        <is>
          <t>GÄVLEBORGS LÄN</t>
        </is>
      </c>
      <c r="E743" t="inlineStr">
        <is>
          <t>NORDANSTIG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52746-2022</t>
        </is>
      </c>
      <c r="B744" s="1" t="n">
        <v>44874</v>
      </c>
      <c r="C744" s="1" t="n">
        <v>45973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SCA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45946-2025</t>
        </is>
      </c>
      <c r="B745" s="1" t="n">
        <v>45924.33208333333</v>
      </c>
      <c r="C745" s="1" t="n">
        <v>45973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45902-2025</t>
        </is>
      </c>
      <c r="B746" s="1" t="n">
        <v>45923.69837962963</v>
      </c>
      <c r="C746" s="1" t="n">
        <v>45973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54524-2024</t>
        </is>
      </c>
      <c r="B747" s="1" t="n">
        <v>45617</v>
      </c>
      <c r="C747" s="1" t="n">
        <v>45973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4021-2023</t>
        </is>
      </c>
      <c r="B748" s="1" t="n">
        <v>44952</v>
      </c>
      <c r="C748" s="1" t="n">
        <v>45973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8898-2024</t>
        </is>
      </c>
      <c r="B749" s="1" t="n">
        <v>45357</v>
      </c>
      <c r="C749" s="1" t="n">
        <v>45973</v>
      </c>
      <c r="D749" t="inlineStr">
        <is>
          <t>GÄVLEBORGS LÄN</t>
        </is>
      </c>
      <c r="E749" t="inlineStr">
        <is>
          <t>NORDANSTIG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55694-2024</t>
        </is>
      </c>
      <c r="B750" s="1" t="n">
        <v>45622.68012731482</v>
      </c>
      <c r="C750" s="1" t="n">
        <v>45973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6467-2024</t>
        </is>
      </c>
      <c r="B751" s="1" t="n">
        <v>45338.92774305555</v>
      </c>
      <c r="C751" s="1" t="n">
        <v>45973</v>
      </c>
      <c r="D751" t="inlineStr">
        <is>
          <t>GÄVLEBORGS LÄN</t>
        </is>
      </c>
      <c r="E751" t="inlineStr">
        <is>
          <t>NORDANSTIG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14172-2024</t>
        </is>
      </c>
      <c r="B752" s="1" t="n">
        <v>45392</v>
      </c>
      <c r="C752" s="1" t="n">
        <v>45973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SCA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23770-2024</t>
        </is>
      </c>
      <c r="B753" s="1" t="n">
        <v>45455.38045138889</v>
      </c>
      <c r="C753" s="1" t="n">
        <v>45973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27447-2025</t>
        </is>
      </c>
      <c r="B754" s="1" t="n">
        <v>45813.32945601852</v>
      </c>
      <c r="C754" s="1" t="n">
        <v>45973</v>
      </c>
      <c r="D754" t="inlineStr">
        <is>
          <t>GÄVLEBORGS LÄN</t>
        </is>
      </c>
      <c r="E754" t="inlineStr">
        <is>
          <t>NORDANSTIG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34735-2024</t>
        </is>
      </c>
      <c r="B755" s="1" t="n">
        <v>45526.58457175926</v>
      </c>
      <c r="C755" s="1" t="n">
        <v>45973</v>
      </c>
      <c r="D755" t="inlineStr">
        <is>
          <t>GÄVLEBORGS LÄN</t>
        </is>
      </c>
      <c r="E755" t="inlineStr">
        <is>
          <t>NORDANSTIG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41318-2024</t>
        </is>
      </c>
      <c r="B756" s="1" t="n">
        <v>45559.63951388889</v>
      </c>
      <c r="C756" s="1" t="n">
        <v>45973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45788-2025</t>
        </is>
      </c>
      <c r="B757" s="1" t="n">
        <v>45923.56583333333</v>
      </c>
      <c r="C757" s="1" t="n">
        <v>45973</v>
      </c>
      <c r="D757" t="inlineStr">
        <is>
          <t>GÄVLEBORGS LÄN</t>
        </is>
      </c>
      <c r="E757" t="inlineStr">
        <is>
          <t>NORDANSTIG</t>
        </is>
      </c>
      <c r="G757" t="n">
        <v>17.2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46002-2025</t>
        </is>
      </c>
      <c r="B758" s="1" t="n">
        <v>45924.40707175926</v>
      </c>
      <c r="C758" s="1" t="n">
        <v>45973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54415-2025</t>
        </is>
      </c>
      <c r="B759" s="1" t="n">
        <v>45965.47361111111</v>
      </c>
      <c r="C759" s="1" t="n">
        <v>45973</v>
      </c>
      <c r="D759" t="inlineStr">
        <is>
          <t>GÄVLEBORGS LÄN</t>
        </is>
      </c>
      <c r="E759" t="inlineStr">
        <is>
          <t>NORDANSTIG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46027-2025</t>
        </is>
      </c>
      <c r="B760" s="1" t="n">
        <v>45924.43771990741</v>
      </c>
      <c r="C760" s="1" t="n">
        <v>45973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24106-2023</t>
        </is>
      </c>
      <c r="B761" s="1" t="n">
        <v>45079.46560185185</v>
      </c>
      <c r="C761" s="1" t="n">
        <v>45973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15385-2023</t>
        </is>
      </c>
      <c r="B762" s="1" t="n">
        <v>45019.6284837963</v>
      </c>
      <c r="C762" s="1" t="n">
        <v>45973</v>
      </c>
      <c r="D762" t="inlineStr">
        <is>
          <t>GÄVLEBORGS LÄN</t>
        </is>
      </c>
      <c r="E762" t="inlineStr">
        <is>
          <t>NORDANSTIG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1351-2024</t>
        </is>
      </c>
      <c r="B763" s="1" t="n">
        <v>45303</v>
      </c>
      <c r="C763" s="1" t="n">
        <v>45973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26503-2021</t>
        </is>
      </c>
      <c r="B764" s="1" t="n">
        <v>44348</v>
      </c>
      <c r="C764" s="1" t="n">
        <v>45973</v>
      </c>
      <c r="D764" t="inlineStr">
        <is>
          <t>GÄVLEBORGS LÄN</t>
        </is>
      </c>
      <c r="E764" t="inlineStr">
        <is>
          <t>NORDANSTIG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62816-2023</t>
        </is>
      </c>
      <c r="B765" s="1" t="n">
        <v>45271.92625</v>
      </c>
      <c r="C765" s="1" t="n">
        <v>45973</v>
      </c>
      <c r="D765" t="inlineStr">
        <is>
          <t>GÄVLEBORGS LÄN</t>
        </is>
      </c>
      <c r="E765" t="inlineStr">
        <is>
          <t>NORDANSTIG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1802-2023</t>
        </is>
      </c>
      <c r="B766" s="1" t="n">
        <v>44938.64047453704</v>
      </c>
      <c r="C766" s="1" t="n">
        <v>45973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1564-2025</t>
        </is>
      </c>
      <c r="B767" s="1" t="n">
        <v>45667</v>
      </c>
      <c r="C767" s="1" t="n">
        <v>45973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1576-2025</t>
        </is>
      </c>
      <c r="B768" s="1" t="n">
        <v>45670.55952546297</v>
      </c>
      <c r="C768" s="1" t="n">
        <v>45973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1579-2025</t>
        </is>
      </c>
      <c r="B769" s="1" t="n">
        <v>45670.56143518518</v>
      </c>
      <c r="C769" s="1" t="n">
        <v>45973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46000-2025</t>
        </is>
      </c>
      <c r="B770" s="1" t="n">
        <v>45924.40663194445</v>
      </c>
      <c r="C770" s="1" t="n">
        <v>45973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SCA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377-2024</t>
        </is>
      </c>
      <c r="B771" s="1" t="n">
        <v>45296.35038194444</v>
      </c>
      <c r="C771" s="1" t="n">
        <v>45973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54373-2025</t>
        </is>
      </c>
      <c r="B772" s="1" t="n">
        <v>45965.41546296296</v>
      </c>
      <c r="C772" s="1" t="n">
        <v>45973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2705-2025</t>
        </is>
      </c>
      <c r="B773" s="1" t="n">
        <v>45677.41510416667</v>
      </c>
      <c r="C773" s="1" t="n">
        <v>45973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36369-2024</t>
        </is>
      </c>
      <c r="B774" s="1" t="n">
        <v>45534.66434027778</v>
      </c>
      <c r="C774" s="1" t="n">
        <v>45973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12095-2023</t>
        </is>
      </c>
      <c r="B775" s="1" t="n">
        <v>44998.3634375</v>
      </c>
      <c r="C775" s="1" t="n">
        <v>45973</v>
      </c>
      <c r="D775" t="inlineStr">
        <is>
          <t>GÄVLEBORGS LÄN</t>
        </is>
      </c>
      <c r="E775" t="inlineStr">
        <is>
          <t>NORDANSTIG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55276-2024</t>
        </is>
      </c>
      <c r="B776" s="1" t="n">
        <v>45621.62126157407</v>
      </c>
      <c r="C776" s="1" t="n">
        <v>45973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65208-2023</t>
        </is>
      </c>
      <c r="B777" s="1" t="n">
        <v>45289.46237268519</v>
      </c>
      <c r="C777" s="1" t="n">
        <v>45973</v>
      </c>
      <c r="D777" t="inlineStr">
        <is>
          <t>GÄVLEBORGS LÄN</t>
        </is>
      </c>
      <c r="E777" t="inlineStr">
        <is>
          <t>NORDANSTIG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51380-2024</t>
        </is>
      </c>
      <c r="B778" s="1" t="n">
        <v>45604.38657407407</v>
      </c>
      <c r="C778" s="1" t="n">
        <v>45973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46262-2025</t>
        </is>
      </c>
      <c r="B779" s="1" t="n">
        <v>45925.36134259259</v>
      </c>
      <c r="C779" s="1" t="n">
        <v>45973</v>
      </c>
      <c r="D779" t="inlineStr">
        <is>
          <t>GÄVLEBORGS LÄN</t>
        </is>
      </c>
      <c r="E779" t="inlineStr">
        <is>
          <t>NORDANSTIG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19185-2025</t>
        </is>
      </c>
      <c r="B780" s="1" t="n">
        <v>45769.40646990741</v>
      </c>
      <c r="C780" s="1" t="n">
        <v>45973</v>
      </c>
      <c r="D780" t="inlineStr">
        <is>
          <t>GÄVLEBORGS LÄN</t>
        </is>
      </c>
      <c r="E780" t="inlineStr">
        <is>
          <t>NORDANSTIG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28237-2025</t>
        </is>
      </c>
      <c r="B781" s="1" t="n">
        <v>45818.50258101852</v>
      </c>
      <c r="C781" s="1" t="n">
        <v>45973</v>
      </c>
      <c r="D781" t="inlineStr">
        <is>
          <t>GÄVLEBORGS LÄN</t>
        </is>
      </c>
      <c r="E781" t="inlineStr">
        <is>
          <t>NORDANSTIG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28238-2025</t>
        </is>
      </c>
      <c r="B782" s="1" t="n">
        <v>45818.50530092593</v>
      </c>
      <c r="C782" s="1" t="n">
        <v>45973</v>
      </c>
      <c r="D782" t="inlineStr">
        <is>
          <t>GÄVLEBORGS LÄN</t>
        </is>
      </c>
      <c r="E782" t="inlineStr">
        <is>
          <t>NORDANSTIG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55170-2025</t>
        </is>
      </c>
      <c r="B783" s="1" t="n">
        <v>45968.49258101852</v>
      </c>
      <c r="C783" s="1" t="n">
        <v>45973</v>
      </c>
      <c r="D783" t="inlineStr">
        <is>
          <t>GÄVLEBORGS LÄN</t>
        </is>
      </c>
      <c r="E783" t="inlineStr">
        <is>
          <t>NORDANSTIG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55186-2025</t>
        </is>
      </c>
      <c r="B784" s="1" t="n">
        <v>45968.53877314815</v>
      </c>
      <c r="C784" s="1" t="n">
        <v>45973</v>
      </c>
      <c r="D784" t="inlineStr">
        <is>
          <t>GÄVLEBORGS LÄN</t>
        </is>
      </c>
      <c r="E784" t="inlineStr">
        <is>
          <t>NORDANSTIG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58749-2024</t>
        </is>
      </c>
      <c r="B785" s="1" t="n">
        <v>45635.71554398148</v>
      </c>
      <c r="C785" s="1" t="n">
        <v>45973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62089-2021</t>
        </is>
      </c>
      <c r="B786" s="1" t="n">
        <v>44502.61646990741</v>
      </c>
      <c r="C786" s="1" t="n">
        <v>45973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20747-2023</t>
        </is>
      </c>
      <c r="B787" s="1" t="n">
        <v>45058</v>
      </c>
      <c r="C787" s="1" t="n">
        <v>45973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6109-2023</t>
        </is>
      </c>
      <c r="B788" s="1" t="n">
        <v>44964</v>
      </c>
      <c r="C788" s="1" t="n">
        <v>45973</v>
      </c>
      <c r="D788" t="inlineStr">
        <is>
          <t>GÄVLEBORGS LÄN</t>
        </is>
      </c>
      <c r="E788" t="inlineStr">
        <is>
          <t>NORDANSTIG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18288-2023</t>
        </is>
      </c>
      <c r="B789" s="1" t="n">
        <v>45041.5646412037</v>
      </c>
      <c r="C789" s="1" t="n">
        <v>45973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11087-2022</t>
        </is>
      </c>
      <c r="B790" s="1" t="n">
        <v>44628.69327546296</v>
      </c>
      <c r="C790" s="1" t="n">
        <v>45973</v>
      </c>
      <c r="D790" t="inlineStr">
        <is>
          <t>GÄVLEBORGS LÄN</t>
        </is>
      </c>
      <c r="E790" t="inlineStr">
        <is>
          <t>NORDANSTIG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25631-2023</t>
        </is>
      </c>
      <c r="B791" s="1" t="n">
        <v>45089.71152777778</v>
      </c>
      <c r="C791" s="1" t="n">
        <v>45973</v>
      </c>
      <c r="D791" t="inlineStr">
        <is>
          <t>GÄVLEBORGS LÄN</t>
        </is>
      </c>
      <c r="E791" t="inlineStr">
        <is>
          <t>NORDANSTIG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55203-2025</t>
        </is>
      </c>
      <c r="B792" s="1" t="n">
        <v>45968.5668287037</v>
      </c>
      <c r="C792" s="1" t="n">
        <v>45973</v>
      </c>
      <c r="D792" t="inlineStr">
        <is>
          <t>GÄVLEBORGS LÄN</t>
        </is>
      </c>
      <c r="E792" t="inlineStr">
        <is>
          <t>NORDANSTIG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411-2025</t>
        </is>
      </c>
      <c r="B793" s="1" t="n">
        <v>45663</v>
      </c>
      <c r="C793" s="1" t="n">
        <v>45973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55453-2025</t>
        </is>
      </c>
      <c r="B794" s="1" t="n">
        <v>45971.50894675926</v>
      </c>
      <c r="C794" s="1" t="n">
        <v>45973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55460-2025</t>
        </is>
      </c>
      <c r="B795" s="1" t="n">
        <v>45971.51922453703</v>
      </c>
      <c r="C795" s="1" t="n">
        <v>45973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15292-2021</t>
        </is>
      </c>
      <c r="B796" s="1" t="n">
        <v>44284</v>
      </c>
      <c r="C796" s="1" t="n">
        <v>45973</v>
      </c>
      <c r="D796" t="inlineStr">
        <is>
          <t>GÄVLEBORGS LÄN</t>
        </is>
      </c>
      <c r="E796" t="inlineStr">
        <is>
          <t>NORDANSTIG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51842-2024</t>
        </is>
      </c>
      <c r="B797" s="1" t="n">
        <v>45607.52349537037</v>
      </c>
      <c r="C797" s="1" t="n">
        <v>45973</v>
      </c>
      <c r="D797" t="inlineStr">
        <is>
          <t>GÄVLEBORGS LÄN</t>
        </is>
      </c>
      <c r="E797" t="inlineStr">
        <is>
          <t>NORDANSTIG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27894-2025</t>
        </is>
      </c>
      <c r="B798" s="1" t="n">
        <v>45817.4644212963</v>
      </c>
      <c r="C798" s="1" t="n">
        <v>45973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54401-2024</t>
        </is>
      </c>
      <c r="B799" s="1" t="n">
        <v>45617.46939814815</v>
      </c>
      <c r="C799" s="1" t="n">
        <v>45973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17641-2025</t>
        </is>
      </c>
      <c r="B800" s="1" t="n">
        <v>45758.32194444445</v>
      </c>
      <c r="C800" s="1" t="n">
        <v>45973</v>
      </c>
      <c r="D800" t="inlineStr">
        <is>
          <t>GÄVLEBORGS LÄN</t>
        </is>
      </c>
      <c r="E800" t="inlineStr">
        <is>
          <t>NORDANSTIG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28241-2025</t>
        </is>
      </c>
      <c r="B801" s="1" t="n">
        <v>45818.50731481481</v>
      </c>
      <c r="C801" s="1" t="n">
        <v>45973</v>
      </c>
      <c r="D801" t="inlineStr">
        <is>
          <t>GÄVLEBORGS LÄN</t>
        </is>
      </c>
      <c r="E801" t="inlineStr">
        <is>
          <t>NORDANSTIG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28245-2025</t>
        </is>
      </c>
      <c r="B802" s="1" t="n">
        <v>45818.51226851852</v>
      </c>
      <c r="C802" s="1" t="n">
        <v>45973</v>
      </c>
      <c r="D802" t="inlineStr">
        <is>
          <t>GÄVLEBORGS LÄN</t>
        </is>
      </c>
      <c r="E802" t="inlineStr">
        <is>
          <t>NORDANSTIG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27841-2025</t>
        </is>
      </c>
      <c r="B803" s="1" t="n">
        <v>45817.37618055556</v>
      </c>
      <c r="C803" s="1" t="n">
        <v>45973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1392-2025</t>
        </is>
      </c>
      <c r="B804" s="1" t="n">
        <v>45667</v>
      </c>
      <c r="C804" s="1" t="n">
        <v>45973</v>
      </c>
      <c r="D804" t="inlineStr">
        <is>
          <t>GÄVLEBORGS LÄN</t>
        </is>
      </c>
      <c r="E804" t="inlineStr">
        <is>
          <t>NORDANSTIG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55513-2025</t>
        </is>
      </c>
      <c r="B805" s="1" t="n">
        <v>45971.60115740741</v>
      </c>
      <c r="C805" s="1" t="n">
        <v>45973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27804-2025</t>
        </is>
      </c>
      <c r="B806" s="1" t="n">
        <v>45817.29372685185</v>
      </c>
      <c r="C806" s="1" t="n">
        <v>45973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28236-2025</t>
        </is>
      </c>
      <c r="B807" s="1" t="n">
        <v>45818.49982638889</v>
      </c>
      <c r="C807" s="1" t="n">
        <v>45973</v>
      </c>
      <c r="D807" t="inlineStr">
        <is>
          <t>GÄVLEBORGS LÄN</t>
        </is>
      </c>
      <c r="E807" t="inlineStr">
        <is>
          <t>NORDANSTIG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28244-2025</t>
        </is>
      </c>
      <c r="B808" s="1" t="n">
        <v>45818.51094907407</v>
      </c>
      <c r="C808" s="1" t="n">
        <v>45973</v>
      </c>
      <c r="D808" t="inlineStr">
        <is>
          <t>GÄVLEBORGS LÄN</t>
        </is>
      </c>
      <c r="E808" t="inlineStr">
        <is>
          <t>NORDANSTIG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54200-2023</t>
        </is>
      </c>
      <c r="B809" s="1" t="n">
        <v>45232.55104166667</v>
      </c>
      <c r="C809" s="1" t="n">
        <v>45973</v>
      </c>
      <c r="D809" t="inlineStr">
        <is>
          <t>GÄVLEBORGS LÄN</t>
        </is>
      </c>
      <c r="E809" t="inlineStr">
        <is>
          <t>NORDANSTIG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59043-2024</t>
        </is>
      </c>
      <c r="B810" s="1" t="n">
        <v>45636</v>
      </c>
      <c r="C810" s="1" t="n">
        <v>45973</v>
      </c>
      <c r="D810" t="inlineStr">
        <is>
          <t>GÄVLEBORGS LÄN</t>
        </is>
      </c>
      <c r="E810" t="inlineStr">
        <is>
          <t>NORDANSTIG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10069-2025</t>
        </is>
      </c>
      <c r="B811" s="1" t="n">
        <v>45719.54538194444</v>
      </c>
      <c r="C811" s="1" t="n">
        <v>45973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50336-2023</t>
        </is>
      </c>
      <c r="B812" s="1" t="n">
        <v>45216.56440972222</v>
      </c>
      <c r="C812" s="1" t="n">
        <v>45973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55590-2025</t>
        </is>
      </c>
      <c r="B813" s="1" t="n">
        <v>45971.68881944445</v>
      </c>
      <c r="C813" s="1" t="n">
        <v>45973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40241-2023</t>
        </is>
      </c>
      <c r="B814" s="1" t="n">
        <v>45169.48854166667</v>
      </c>
      <c r="C814" s="1" t="n">
        <v>45973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43652-2025</t>
        </is>
      </c>
      <c r="B815" s="1" t="n">
        <v>45912</v>
      </c>
      <c r="C815" s="1" t="n">
        <v>45973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11394-2025</t>
        </is>
      </c>
      <c r="B816" s="1" t="n">
        <v>45726</v>
      </c>
      <c r="C816" s="1" t="n">
        <v>45973</v>
      </c>
      <c r="D816" t="inlineStr">
        <is>
          <t>GÄVLEBORGS LÄN</t>
        </is>
      </c>
      <c r="E816" t="inlineStr">
        <is>
          <t>NORDANSTIG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55523-2024</t>
        </is>
      </c>
      <c r="B817" s="1" t="n">
        <v>45622.47424768518</v>
      </c>
      <c r="C817" s="1" t="n">
        <v>45973</v>
      </c>
      <c r="D817" t="inlineStr">
        <is>
          <t>GÄVLEBORGS LÄN</t>
        </is>
      </c>
      <c r="E817" t="inlineStr">
        <is>
          <t>NORDANSTIG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32350-2022</t>
        </is>
      </c>
      <c r="B818" s="1" t="n">
        <v>44781.92569444444</v>
      </c>
      <c r="C818" s="1" t="n">
        <v>45973</v>
      </c>
      <c r="D818" t="inlineStr">
        <is>
          <t>GÄVLEBORGS LÄN</t>
        </is>
      </c>
      <c r="E818" t="inlineStr">
        <is>
          <t>NORDANSTIG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55948-2024</t>
        </is>
      </c>
      <c r="B819" s="1" t="n">
        <v>45623</v>
      </c>
      <c r="C819" s="1" t="n">
        <v>45973</v>
      </c>
      <c r="D819" t="inlineStr">
        <is>
          <t>GÄVLEBORGS LÄN</t>
        </is>
      </c>
      <c r="E819" t="inlineStr">
        <is>
          <t>NORDANSTIG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44837-2024</t>
        </is>
      </c>
      <c r="B820" s="1" t="n">
        <v>45574</v>
      </c>
      <c r="C820" s="1" t="n">
        <v>45973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HYPERLINK("https://klasma.github.io/Logging_2132/knärot/A 44837-2024 karta knärot.png", "A 44837-2024")</f>
        <v/>
      </c>
      <c r="V820">
        <f>HYPERLINK("https://klasma.github.io/Logging_2132/klagomål/A 44837-2024 FSC-klagomål.docx", "A 44837-2024")</f>
        <v/>
      </c>
      <c r="W820">
        <f>HYPERLINK("https://klasma.github.io/Logging_2132/klagomålsmail/A 44837-2024 FSC-klagomål mail.docx", "A 44837-2024")</f>
        <v/>
      </c>
      <c r="X820">
        <f>HYPERLINK("https://klasma.github.io/Logging_2132/tillsyn/A 44837-2024 tillsynsbegäran.docx", "A 44837-2024")</f>
        <v/>
      </c>
      <c r="Y820">
        <f>HYPERLINK("https://klasma.github.io/Logging_2132/tillsynsmail/A 44837-2024 tillsynsbegäran mail.docx", "A 44837-2024")</f>
        <v/>
      </c>
    </row>
    <row r="821" ht="15" customHeight="1">
      <c r="A821" t="inlineStr">
        <is>
          <t>A 29261-2025</t>
        </is>
      </c>
      <c r="B821" s="1" t="n">
        <v>45824</v>
      </c>
      <c r="C821" s="1" t="n">
        <v>45973</v>
      </c>
      <c r="D821" t="inlineStr">
        <is>
          <t>GÄVLEBORGS LÄN</t>
        </is>
      </c>
      <c r="E821" t="inlineStr">
        <is>
          <t>NORDANSTIG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32827-2023</t>
        </is>
      </c>
      <c r="B822" s="1" t="n">
        <v>45124.57927083333</v>
      </c>
      <c r="C822" s="1" t="n">
        <v>45973</v>
      </c>
      <c r="D822" t="inlineStr">
        <is>
          <t>GÄVLEBORGS LÄN</t>
        </is>
      </c>
      <c r="E822" t="inlineStr">
        <is>
          <t>NORDANSTIG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28697-2023</t>
        </is>
      </c>
      <c r="B823" s="1" t="n">
        <v>45103</v>
      </c>
      <c r="C823" s="1" t="n">
        <v>45973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29275-2025</t>
        </is>
      </c>
      <c r="B824" s="1" t="n">
        <v>45824.41685185185</v>
      </c>
      <c r="C824" s="1" t="n">
        <v>45973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29401-2025</t>
        </is>
      </c>
      <c r="B825" s="1" t="n">
        <v>45824.61436342593</v>
      </c>
      <c r="C825" s="1" t="n">
        <v>45973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24096-2023</t>
        </is>
      </c>
      <c r="B826" s="1" t="n">
        <v>45079.43686342592</v>
      </c>
      <c r="C826" s="1" t="n">
        <v>45973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1708-2023</t>
        </is>
      </c>
      <c r="B827" s="1" t="n">
        <v>44938</v>
      </c>
      <c r="C827" s="1" t="n">
        <v>45973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29878-2025</t>
        </is>
      </c>
      <c r="B828" s="1" t="n">
        <v>45826.3631712963</v>
      </c>
      <c r="C828" s="1" t="n">
        <v>45973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30022-2025</t>
        </is>
      </c>
      <c r="B829" s="1" t="n">
        <v>45826.5583449074</v>
      </c>
      <c r="C829" s="1" t="n">
        <v>45973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29741-2025</t>
        </is>
      </c>
      <c r="B830" s="1" t="n">
        <v>45825.59167824074</v>
      </c>
      <c r="C830" s="1" t="n">
        <v>45973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59799-2022</t>
        </is>
      </c>
      <c r="B831" s="1" t="n">
        <v>44908.56585648148</v>
      </c>
      <c r="C831" s="1" t="n">
        <v>45973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30448-2025</t>
        </is>
      </c>
      <c r="B832" s="1" t="n">
        <v>45827.65844907407</v>
      </c>
      <c r="C832" s="1" t="n">
        <v>45973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29532-2024</t>
        </is>
      </c>
      <c r="B833" s="1" t="n">
        <v>45484.48097222222</v>
      </c>
      <c r="C833" s="1" t="n">
        <v>45973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36525-2024</t>
        </is>
      </c>
      <c r="B834" s="1" t="n">
        <v>45537.43836805555</v>
      </c>
      <c r="C834" s="1" t="n">
        <v>45973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59422-2022</t>
        </is>
      </c>
      <c r="B835" s="1" t="n">
        <v>44907.35174768518</v>
      </c>
      <c r="C835" s="1" t="n">
        <v>45973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30400-2025</t>
        </is>
      </c>
      <c r="B836" s="1" t="n">
        <v>45827.58907407407</v>
      </c>
      <c r="C836" s="1" t="n">
        <v>45973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30445-2025</t>
        </is>
      </c>
      <c r="B837" s="1" t="n">
        <v>45827.64987268519</v>
      </c>
      <c r="C837" s="1" t="n">
        <v>45973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30291-2025</t>
        </is>
      </c>
      <c r="B838" s="1" t="n">
        <v>45827.47054398148</v>
      </c>
      <c r="C838" s="1" t="n">
        <v>45973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22547-2022</t>
        </is>
      </c>
      <c r="B839" s="1" t="n">
        <v>44713</v>
      </c>
      <c r="C839" s="1" t="n">
        <v>45973</v>
      </c>
      <c r="D839" t="inlineStr">
        <is>
          <t>GÄVLEBORGS LÄN</t>
        </is>
      </c>
      <c r="E839" t="inlineStr">
        <is>
          <t>NORDANSTIG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30870-2025</t>
        </is>
      </c>
      <c r="B840" s="1" t="n">
        <v>45832.33273148148</v>
      </c>
      <c r="C840" s="1" t="n">
        <v>45973</v>
      </c>
      <c r="D840" t="inlineStr">
        <is>
          <t>GÄVLEBORGS LÄN</t>
        </is>
      </c>
      <c r="E840" t="inlineStr">
        <is>
          <t>NORDANSTIG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38451-2024</t>
        </is>
      </c>
      <c r="B841" s="1" t="n">
        <v>45546</v>
      </c>
      <c r="C841" s="1" t="n">
        <v>45973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45551-2024</t>
        </is>
      </c>
      <c r="B842" s="1" t="n">
        <v>45579</v>
      </c>
      <c r="C842" s="1" t="n">
        <v>45973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31031-2025</t>
        </is>
      </c>
      <c r="B843" s="1" t="n">
        <v>45832.53875</v>
      </c>
      <c r="C843" s="1" t="n">
        <v>45973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31197-2025</t>
        </is>
      </c>
      <c r="B844" s="1" t="n">
        <v>45832.69053240741</v>
      </c>
      <c r="C844" s="1" t="n">
        <v>45973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58162-2024</t>
        </is>
      </c>
      <c r="B845" s="1" t="n">
        <v>45632</v>
      </c>
      <c r="C845" s="1" t="n">
        <v>45973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Kyrkan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31845-2025</t>
        </is>
      </c>
      <c r="B846" s="1" t="n">
        <v>45834.60199074074</v>
      </c>
      <c r="C846" s="1" t="n">
        <v>45973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32056-2025</t>
        </is>
      </c>
      <c r="B847" s="1" t="n">
        <v>45835.44370370371</v>
      </c>
      <c r="C847" s="1" t="n">
        <v>45973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32034-2025</t>
        </is>
      </c>
      <c r="B848" s="1" t="n">
        <v>45835.42241898148</v>
      </c>
      <c r="C848" s="1" t="n">
        <v>45973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32092-2025</t>
        </is>
      </c>
      <c r="B849" s="1" t="n">
        <v>45835.45920138889</v>
      </c>
      <c r="C849" s="1" t="n">
        <v>45973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32105-2025</t>
        </is>
      </c>
      <c r="B850" s="1" t="n">
        <v>45835.47226851852</v>
      </c>
      <c r="C850" s="1" t="n">
        <v>45973</v>
      </c>
      <c r="D850" t="inlineStr">
        <is>
          <t>GÄVLEBORGS LÄN</t>
        </is>
      </c>
      <c r="E850" t="inlineStr">
        <is>
          <t>NORDANSTIG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32082-2025</t>
        </is>
      </c>
      <c r="B851" s="1" t="n">
        <v>45835.45228009259</v>
      </c>
      <c r="C851" s="1" t="n">
        <v>45973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32507-2025</t>
        </is>
      </c>
      <c r="B852" s="1" t="n">
        <v>45838.4712037037</v>
      </c>
      <c r="C852" s="1" t="n">
        <v>45973</v>
      </c>
      <c r="D852" t="inlineStr">
        <is>
          <t>GÄVLEBORGS LÄN</t>
        </is>
      </c>
      <c r="E852" t="inlineStr">
        <is>
          <t>NORDANSTIG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33097-2025</t>
        </is>
      </c>
      <c r="B853" s="1" t="n">
        <v>45840.47582175926</v>
      </c>
      <c r="C853" s="1" t="n">
        <v>45973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38185-2025</t>
        </is>
      </c>
      <c r="B854" s="1" t="n">
        <v>45882.6513425926</v>
      </c>
      <c r="C854" s="1" t="n">
        <v>45973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32505-2025</t>
        </is>
      </c>
      <c r="B855" s="1" t="n">
        <v>45838.46716435185</v>
      </c>
      <c r="C855" s="1" t="n">
        <v>45973</v>
      </c>
      <c r="D855" t="inlineStr">
        <is>
          <t>GÄVLEBORGS LÄN</t>
        </is>
      </c>
      <c r="E855" t="inlineStr">
        <is>
          <t>NORDANSTIG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40104-2024</t>
        </is>
      </c>
      <c r="B856" s="1" t="n">
        <v>45554</v>
      </c>
      <c r="C856" s="1" t="n">
        <v>45973</v>
      </c>
      <c r="D856" t="inlineStr">
        <is>
          <t>GÄVLEBORGS LÄN</t>
        </is>
      </c>
      <c r="E856" t="inlineStr">
        <is>
          <t>NORDANSTIG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32736-2025</t>
        </is>
      </c>
      <c r="B857" s="1" t="n">
        <v>45839</v>
      </c>
      <c r="C857" s="1" t="n">
        <v>45973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33355-2025</t>
        </is>
      </c>
      <c r="B858" s="1" t="n">
        <v>45841.37690972222</v>
      </c>
      <c r="C858" s="1" t="n">
        <v>45973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33339-2025</t>
        </is>
      </c>
      <c r="B859" s="1" t="n">
        <v>45841.36012731482</v>
      </c>
      <c r="C859" s="1" t="n">
        <v>45973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33532-2025</t>
        </is>
      </c>
      <c r="B860" s="1" t="n">
        <v>45841.55648148148</v>
      </c>
      <c r="C860" s="1" t="n">
        <v>45973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34311-2025</t>
        </is>
      </c>
      <c r="B861" s="1" t="n">
        <v>45846.39252314815</v>
      </c>
      <c r="C861" s="1" t="n">
        <v>45973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34342-2025</t>
        </is>
      </c>
      <c r="B862" s="1" t="n">
        <v>45846.46015046296</v>
      </c>
      <c r="C862" s="1" t="n">
        <v>45973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34240-2025</t>
        </is>
      </c>
      <c r="B863" s="1" t="n">
        <v>45845.67427083333</v>
      </c>
      <c r="C863" s="1" t="n">
        <v>45973</v>
      </c>
      <c r="D863" t="inlineStr">
        <is>
          <t>GÄVLEBORGS LÄN</t>
        </is>
      </c>
      <c r="E863" t="inlineStr">
        <is>
          <t>NORDANSTIG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34287-2025</t>
        </is>
      </c>
      <c r="B864" s="1" t="n">
        <v>45846.32989583333</v>
      </c>
      <c r="C864" s="1" t="n">
        <v>45973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34728-2025</t>
        </is>
      </c>
      <c r="B865" s="1" t="n">
        <v>45848.58239583333</v>
      </c>
      <c r="C865" s="1" t="n">
        <v>45973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34732-2025</t>
        </is>
      </c>
      <c r="B866" s="1" t="n">
        <v>45848.59746527778</v>
      </c>
      <c r="C866" s="1" t="n">
        <v>45973</v>
      </c>
      <c r="D866" t="inlineStr">
        <is>
          <t>GÄVLEBORGS LÄN</t>
        </is>
      </c>
      <c r="E866" t="inlineStr">
        <is>
          <t>NORDANSTIG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34788-2025</t>
        </is>
      </c>
      <c r="B867" s="1" t="n">
        <v>45848.6784837963</v>
      </c>
      <c r="C867" s="1" t="n">
        <v>45973</v>
      </c>
      <c r="D867" t="inlineStr">
        <is>
          <t>GÄVLEBORGS LÄN</t>
        </is>
      </c>
      <c r="E867" t="inlineStr">
        <is>
          <t>NORDANSTIG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34694-2025</t>
        </is>
      </c>
      <c r="B868" s="1" t="n">
        <v>45848.45990740741</v>
      </c>
      <c r="C868" s="1" t="n">
        <v>45973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34944-2025</t>
        </is>
      </c>
      <c r="B869" s="1" t="n">
        <v>45849.5868287037</v>
      </c>
      <c r="C869" s="1" t="n">
        <v>45973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5968-2025</t>
        </is>
      </c>
      <c r="B870" s="1" t="n">
        <v>45695.49866898148</v>
      </c>
      <c r="C870" s="1" t="n">
        <v>45973</v>
      </c>
      <c r="D870" t="inlineStr">
        <is>
          <t>GÄVLEBORGS LÄN</t>
        </is>
      </c>
      <c r="E870" t="inlineStr">
        <is>
          <t>NORDANSTIG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35714-2025</t>
        </is>
      </c>
      <c r="B871" s="1" t="n">
        <v>45860.41956018518</v>
      </c>
      <c r="C871" s="1" t="n">
        <v>45973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35707-2025</t>
        </is>
      </c>
      <c r="B872" s="1" t="n">
        <v>45860.37251157407</v>
      </c>
      <c r="C872" s="1" t="n">
        <v>45973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35649-2025</t>
        </is>
      </c>
      <c r="B873" s="1" t="n">
        <v>45859.51931712963</v>
      </c>
      <c r="C873" s="1" t="n">
        <v>45973</v>
      </c>
      <c r="D873" t="inlineStr">
        <is>
          <t>GÄVLEBORGS LÄN</t>
        </is>
      </c>
      <c r="E873" t="inlineStr">
        <is>
          <t>NORDANSTIG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35652-2025</t>
        </is>
      </c>
      <c r="B874" s="1" t="n">
        <v>45859.52591435185</v>
      </c>
      <c r="C874" s="1" t="n">
        <v>45973</v>
      </c>
      <c r="D874" t="inlineStr">
        <is>
          <t>GÄVLEBORGS LÄN</t>
        </is>
      </c>
      <c r="E874" t="inlineStr">
        <is>
          <t>NORDANSTIG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35725-2025</t>
        </is>
      </c>
      <c r="B875" s="1" t="n">
        <v>45860.45087962963</v>
      </c>
      <c r="C875" s="1" t="n">
        <v>45973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35733-2025</t>
        </is>
      </c>
      <c r="B876" s="1" t="n">
        <v>45860.47178240741</v>
      </c>
      <c r="C876" s="1" t="n">
        <v>45973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35868-2025</t>
        </is>
      </c>
      <c r="B877" s="1" t="n">
        <v>45862.01456018518</v>
      </c>
      <c r="C877" s="1" t="n">
        <v>45973</v>
      </c>
      <c r="D877" t="inlineStr">
        <is>
          <t>GÄVLEBORGS LÄN</t>
        </is>
      </c>
      <c r="E877" t="inlineStr">
        <is>
          <t>NORDANSTIG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35821-2025</t>
        </is>
      </c>
      <c r="B878" s="1" t="n">
        <v>45861.46443287037</v>
      </c>
      <c r="C878" s="1" t="n">
        <v>45973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72082-2021</t>
        </is>
      </c>
      <c r="B879" s="1" t="n">
        <v>44544.51834490741</v>
      </c>
      <c r="C879" s="1" t="n">
        <v>45973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39041-2024</t>
        </is>
      </c>
      <c r="B880" s="1" t="n">
        <v>45548</v>
      </c>
      <c r="C880" s="1" t="n">
        <v>45973</v>
      </c>
      <c r="D880" t="inlineStr">
        <is>
          <t>GÄVLEBORGS LÄN</t>
        </is>
      </c>
      <c r="E880" t="inlineStr">
        <is>
          <t>NORDANSTIG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55608-2023</t>
        </is>
      </c>
      <c r="B881" s="1" t="n">
        <v>45238.70842592593</v>
      </c>
      <c r="C881" s="1" t="n">
        <v>45973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37640-2025</t>
        </is>
      </c>
      <c r="B882" s="1" t="n">
        <v>45880.47621527778</v>
      </c>
      <c r="C882" s="1" t="n">
        <v>45973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37728-2025</t>
        </is>
      </c>
      <c r="B883" s="1" t="n">
        <v>45880.62158564815</v>
      </c>
      <c r="C883" s="1" t="n">
        <v>45973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38043-2025</t>
        </is>
      </c>
      <c r="B884" s="1" t="n">
        <v>45882.39199074074</v>
      </c>
      <c r="C884" s="1" t="n">
        <v>45973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37848-2025</t>
        </is>
      </c>
      <c r="B885" s="1" t="n">
        <v>45881.44760416666</v>
      </c>
      <c r="C885" s="1" t="n">
        <v>45973</v>
      </c>
      <c r="D885" t="inlineStr">
        <is>
          <t>GÄVLEBORGS LÄN</t>
        </is>
      </c>
      <c r="E885" t="inlineStr">
        <is>
          <t>NORDANSTIG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54396-2023</t>
        </is>
      </c>
      <c r="B886" s="1" t="n">
        <v>45233.3717824074</v>
      </c>
      <c r="C886" s="1" t="n">
        <v>45973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38104-2025</t>
        </is>
      </c>
      <c r="B887" s="1" t="n">
        <v>45882.49252314815</v>
      </c>
      <c r="C887" s="1" t="n">
        <v>45973</v>
      </c>
      <c r="D887" t="inlineStr">
        <is>
          <t>GÄVLEBORGS LÄN</t>
        </is>
      </c>
      <c r="E887" t="inlineStr">
        <is>
          <t>NORDANSTIG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38091-2025</t>
        </is>
      </c>
      <c r="B888" s="1" t="n">
        <v>45882.48813657407</v>
      </c>
      <c r="C888" s="1" t="n">
        <v>45973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5843-2021</t>
        </is>
      </c>
      <c r="B889" s="1" t="n">
        <v>44231</v>
      </c>
      <c r="C889" s="1" t="n">
        <v>45973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2025-11-12T10:07:17Z</dcterms:created>
  <dcterms:modified xmlns:dcterms="http://purl.org/dc/terms/" xmlns:xsi="http://www.w3.org/2001/XMLSchema-instance" xsi:type="dcterms:W3CDTF">2025-11-12T10:07:18Z</dcterms:modified>
</cp:coreProperties>
</file>