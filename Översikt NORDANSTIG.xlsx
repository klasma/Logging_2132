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46286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46286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46286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46286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46286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46286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46286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46286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46286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46286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46286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46286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46286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46286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46286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46286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46286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46286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46286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46286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46286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46286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46286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46286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46286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46286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46286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46286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46286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18926-2022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46286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11.4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Trana</t>
        </is>
      </c>
      <c r="W40">
        <f>HYPERLINK("https://klasma.github.io/Logging_2132/artfynd/A 18926-2022 artfynd.xlsx", "A 18926-2022")</f>
        <v/>
      </c>
      <c r="X40">
        <f>HYPERLINK("https://klasma.github.io/Logging_2132/kartor/A 18926-2022 karta.png", "A 18926-2022")</f>
        <v/>
      </c>
      <c r="Y40">
        <f>HYPERLINK("https://klasma.github.io/Logging_2132/kartor_geotiff/A 18926-2022 georefererad karta.tif", "A 18926-2022")</f>
        <v/>
      </c>
      <c r="AA40">
        <f>HYPERLINK("https://klasma.github.io/Logging_2132/klagomål/A 18926-2022 FSC-klagomål.docx", "A 18926-2022")</f>
        <v/>
      </c>
      <c r="AB40">
        <f>HYPERLINK("https://klasma.github.io/Logging_2132/klagomålsmail/A 18926-2022 FSC-klagomål mail.docx", "A 18926-2022")</f>
        <v/>
      </c>
      <c r="AC40">
        <f>HYPERLINK("https://klasma.github.io/Logging_2132/tillsyn/A 18926-2022 tillsynsbegäran.docx", "A 18926-2022")</f>
        <v/>
      </c>
      <c r="AD40">
        <f>HYPERLINK("https://klasma.github.io/Logging_2132/tillsynsmail/A 18926-2022 tillsynsbegäran mail.docx", "A 18926-2022")</f>
        <v/>
      </c>
      <c r="AE40">
        <f>HYPERLINK("https://klasma.github.io/Logging_2132/fåglar/A 18926-2022 prioriterade fågelarter.docx", "A 18926-2022")</f>
        <v/>
      </c>
    </row>
    <row r="41" ht="15" customHeight="1">
      <c r="A41" t="inlineStr">
        <is>
          <t>A 9202-2026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46286</v>
      </c>
      <c r="F41" t="inlineStr">
        <is>
          <t>GÄVLEBORGS LÄN</t>
        </is>
      </c>
      <c r="G41" t="inlineStr">
        <is>
          <t>NORDANSTIG</t>
        </is>
      </c>
      <c r="I41" t="n">
        <v>41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Vitfläckig guldvinge
Barkticka</t>
        </is>
      </c>
      <c r="W41">
        <f>HYPERLINK("https://klasma.github.io/Logging_2132/artfynd/A 9202-2026 artfynd.xlsx", "A 9202-2026")</f>
        <v/>
      </c>
      <c r="X41">
        <f>HYPERLINK("https://klasma.github.io/Logging_2132/kartor/A 9202-2026 karta.png", "A 9202-2026")</f>
        <v/>
      </c>
      <c r="Y41">
        <f>HYPERLINK("https://klasma.github.io/Logging_2132/kartor_geotiff/A 9202-2026 georefererad karta.tif", "A 9202-2026")</f>
        <v/>
      </c>
      <c r="AA41">
        <f>HYPERLINK("https://klasma.github.io/Logging_2132/klagomål/A 9202-2026 FSC-klagomål.docx", "A 9202-2026")</f>
        <v/>
      </c>
      <c r="AB41">
        <f>HYPERLINK("https://klasma.github.io/Logging_2132/klagomålsmail/A 9202-2026 FSC-klagomål mail.docx", "A 9202-2026")</f>
        <v/>
      </c>
      <c r="AC41">
        <f>HYPERLINK("https://klasma.github.io/Logging_2132/tillsyn/A 9202-2026 tillsynsbegäran.docx", "A 9202-2026")</f>
        <v/>
      </c>
      <c r="AD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46286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46286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46286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46286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46286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46286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46286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46286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46286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46286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46286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57806-2024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46286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2.6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HYPERLINK("https://klasma.github.io/Logging_2132/artfynd/A 57806-2024 artfynd.xlsx", "A 57806-2024")</f>
        <v/>
      </c>
      <c r="X53">
        <f>HYPERLINK("https://klasma.github.io/Logging_2132/kartor/A 57806-2024 karta.png", "A 57806-2024")</f>
        <v/>
      </c>
      <c r="Y53">
        <f>HYPERLINK("https://klasma.github.io/Logging_2132/kartor_geotiff/A 57806-2024 georefererad karta.tif", "A 57806-2024")</f>
        <v/>
      </c>
      <c r="Z53">
        <f>HYPERLINK("https://klasma.github.io/Logging_2132/knärot/A 57806-2024 karta knärot.png", "A 57806-2024")</f>
        <v/>
      </c>
      <c r="AA53">
        <f>HYPERLINK("https://klasma.github.io/Logging_2132/klagomål/A 57806-2024 FSC-klagomål.docx", "A 57806-2024")</f>
        <v/>
      </c>
      <c r="AB53">
        <f>HYPERLINK("https://klasma.github.io/Logging_2132/klagomålsmail/A 57806-2024 FSC-klagomål mail.docx", "A 57806-2024")</f>
        <v/>
      </c>
      <c r="AC53">
        <f>HYPERLINK("https://klasma.github.io/Logging_2132/tillsyn/A 57806-2024 tillsynsbegäran.docx", "A 57806-2024")</f>
        <v/>
      </c>
      <c r="AD53">
        <f>HYPERLINK("https://klasma.github.io/Logging_2132/tillsynsmail/A 57806-2024 tillsynsbegäran mail.docx", "A 57806-2024")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46286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46286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46286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46286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46286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46286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3692-2022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44586</v>
      </c>
      <c r="E60" s="1" t="n">
        <v>46286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HYPERLINK("https://klasma.github.io/Logging_2132/artfynd/A 3692-2022 artfynd.xlsx", "A 3692-2022")</f>
        <v/>
      </c>
      <c r="X60">
        <f>HYPERLINK("https://klasma.github.io/Logging_2132/kartor/A 3692-2022 karta.png", "A 3692-2022")</f>
        <v/>
      </c>
      <c r="Y60">
        <f>HYPERLINK("https://klasma.github.io/Logging_2132/kartor_geotiff/A 3692-2022 georefererad karta.tif", "A 3692-2022")</f>
        <v/>
      </c>
      <c r="AA60">
        <f>HYPERLINK("https://klasma.github.io/Logging_2132/klagomål/A 3692-2022 FSC-klagomål.docx", "A 3692-2022")</f>
        <v/>
      </c>
      <c r="AB60">
        <f>HYPERLINK("https://klasma.github.io/Logging_2132/klagomålsmail/A 3692-2022 FSC-klagomål mail.docx", "A 3692-2022")</f>
        <v/>
      </c>
      <c r="AC60">
        <f>HYPERLINK("https://klasma.github.io/Logging_2132/tillsyn/A 3692-2022 tillsynsbegäran.docx", "A 3692-2022")</f>
        <v/>
      </c>
      <c r="AD60">
        <f>HYPERLINK("https://klasma.github.io/Logging_2132/tillsynsmail/A 3692-2022 tillsynsbegäran mail.docx", "A 3692-2022")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46286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377-2024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46286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HYPERLINK("https://klasma.github.io/Logging_2132/artfynd/A 377-2024 artfynd.xlsx", "A 377-2024")</f>
        <v/>
      </c>
      <c r="X62">
        <f>HYPERLINK("https://klasma.github.io/Logging_2132/kartor/A 377-2024 karta.png", "A 377-2024")</f>
        <v/>
      </c>
      <c r="Y62">
        <f>HYPERLINK("https://klasma.github.io/Logging_2132/kartor_geotiff/A 377-2024 georefererad karta.tif", "A 377-2024")</f>
        <v/>
      </c>
      <c r="AA62">
        <f>HYPERLINK("https://klasma.github.io/Logging_2132/klagomål/A 377-2024 FSC-klagomål.docx", "A 377-2024")</f>
        <v/>
      </c>
      <c r="AB62">
        <f>HYPERLINK("https://klasma.github.io/Logging_2132/klagomålsmail/A 377-2024 FSC-klagomål mail.docx", "A 377-2024")</f>
        <v/>
      </c>
      <c r="AC62">
        <f>HYPERLINK("https://klasma.github.io/Logging_2132/tillsyn/A 377-2024 tillsynsbegäran.docx", "A 377-2024")</f>
        <v/>
      </c>
      <c r="AD62">
        <f>HYPERLINK("https://klasma.github.io/Logging_2132/tillsynsmail/A 377-2024 tillsynsbegäran mail.docx", "A 377-2024")</f>
        <v/>
      </c>
      <c r="AE62">
        <f>HYPERLINK("https://klasma.github.io/Logging_2132/fåglar/A 377-2024 prioriterade fågelarter.docx", "A 377-2024")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46286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46286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46286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46286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22863-2023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45072</v>
      </c>
      <c r="E67" s="1" t="n">
        <v>46286</v>
      </c>
      <c r="F67" t="inlineStr">
        <is>
          <t>GÄVLEBORGS LÄN</t>
        </is>
      </c>
      <c r="G67" t="inlineStr">
        <is>
          <t>NORDANSTIG</t>
        </is>
      </c>
      <c r="I67" t="n">
        <v>1.9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HYPERLINK("https://klasma.github.io/Logging_2132/artfynd/A 22863-2023 artfynd.xlsx", "A 22863-2023")</f>
        <v/>
      </c>
      <c r="X67">
        <f>HYPERLINK("https://klasma.github.io/Logging_2132/kartor/A 22863-2023 karta.png", "A 22863-2023")</f>
        <v/>
      </c>
      <c r="Y67">
        <f>HYPERLINK("https://klasma.github.io/Logging_2132/kartor_geotiff/A 22863-2023 georefererad karta.tif", "A 22863-2023")</f>
        <v/>
      </c>
      <c r="AA67">
        <f>HYPERLINK("https://klasma.github.io/Logging_2132/klagomål/A 22863-2023 FSC-klagomål.docx", "A 22863-2023")</f>
        <v/>
      </c>
      <c r="AB67">
        <f>HYPERLINK("https://klasma.github.io/Logging_2132/klagomålsmail/A 22863-2023 FSC-klagomål mail.docx", "A 22863-2023")</f>
        <v/>
      </c>
      <c r="AC67">
        <f>HYPERLINK("https://klasma.github.io/Logging_2132/tillsyn/A 22863-2023 tillsynsbegäran.docx", "A 22863-2023")</f>
        <v/>
      </c>
      <c r="AD67">
        <f>HYPERLINK("https://klasma.github.io/Logging_2132/tillsynsmail/A 22863-2023 tillsynsbegäran mail.docx", "A 22863-2023")</f>
        <v/>
      </c>
    </row>
    <row r="68" ht="15" customHeight="1">
      <c r="A68" t="inlineStr">
        <is>
          <t>A 11895-2026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46085</v>
      </c>
      <c r="E68" s="1" t="n">
        <v>46286</v>
      </c>
      <c r="F68" t="inlineStr">
        <is>
          <t>GÄVLEBORGS LÄN</t>
        </is>
      </c>
      <c r="G68" t="inlineStr">
        <is>
          <t>NORDANSTIG</t>
        </is>
      </c>
      <c r="I68" t="n">
        <v>21.2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Sötgräs</t>
        </is>
      </c>
      <c r="W68">
        <f>HYPERLINK("https://klasma.github.io/Logging_2132/artfynd/A 11895-2026 artfynd.xlsx", "A 11895-2026")</f>
        <v/>
      </c>
      <c r="X68">
        <f>HYPERLINK("https://klasma.github.io/Logging_2132/kartor/A 11895-2026 karta.png", "A 11895-2026")</f>
        <v/>
      </c>
      <c r="Y68">
        <f>HYPERLINK("https://klasma.github.io/Logging_2132/kartor_geotiff/A 11895-2026 georefererad karta.tif", "A 11895-2026")</f>
        <v/>
      </c>
      <c r="AA68">
        <f>HYPERLINK("https://klasma.github.io/Logging_2132/klagomål/A 11895-2026 FSC-klagomål.docx", "A 11895-2026")</f>
        <v/>
      </c>
      <c r="AB68">
        <f>HYPERLINK("https://klasma.github.io/Logging_2132/klagomålsmail/A 11895-2026 FSC-klagomål mail.docx", "A 11895-2026")</f>
        <v/>
      </c>
      <c r="AC68">
        <f>HYPERLINK("https://klasma.github.io/Logging_2132/tillsyn/A 11895-2026 tillsynsbegäran.docx", "A 11895-2026")</f>
        <v/>
      </c>
      <c r="AD68">
        <f>HYPERLINK("https://klasma.github.io/Logging_2132/tillsynsmail/A 11895-2026 tillsynsbegäran mail.docx", "A 11895-2026")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46286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46286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46286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46286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26278-2026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46286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Lavskrika</t>
        </is>
      </c>
      <c r="W73">
        <f>HYPERLINK("https://klasma.github.io/Logging_2132/artfynd/A 26278-2026 artfynd.xlsx", "A 26278-2026")</f>
        <v/>
      </c>
      <c r="X73">
        <f>HYPERLINK("https://klasma.github.io/Logging_2132/kartor/A 26278-2026 karta.png", "A 26278-2026")</f>
        <v/>
      </c>
      <c r="Y73">
        <f>HYPERLINK("https://klasma.github.io/Logging_2132/kartor_geotiff/A 26278-2026 georefererad karta.tif", "A 26278-2026")</f>
        <v/>
      </c>
      <c r="AA73">
        <f>HYPERLINK("https://klasma.github.io/Logging_2132/klagomål/A 26278-2026 FSC-klagomål.docx", "A 26278-2026")</f>
        <v/>
      </c>
      <c r="AB73">
        <f>HYPERLINK("https://klasma.github.io/Logging_2132/klagomålsmail/A 26278-2026 FSC-klagomål mail.docx", "A 26278-2026")</f>
        <v/>
      </c>
      <c r="AC73">
        <f>HYPERLINK("https://klasma.github.io/Logging_2132/tillsyn/A 26278-2026 tillsynsbegäran.docx", "A 26278-2026")</f>
        <v/>
      </c>
      <c r="AD73">
        <f>HYPERLINK("https://klasma.github.io/Logging_2132/tillsynsmail/A 26278-2026 tillsynsbegäran mail.docx", "A 26278-2026")</f>
        <v/>
      </c>
      <c r="AE73">
        <f>HYPERLINK("https://klasma.github.io/Logging_2132/fåglar/A 26278-2026 prioriterade fågelarter.docx", "A 26278-2026")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46286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13089-2025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45734</v>
      </c>
      <c r="E75" s="1" t="n">
        <v>46286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HYPERLINK("https://klasma.github.io/Logging_2132/artfynd/A 13089-2025 artfynd.xlsx", "A 13089-2025")</f>
        <v/>
      </c>
      <c r="X75">
        <f>HYPERLINK("https://klasma.github.io/Logging_2132/kartor/A 13089-2025 karta.png", "A 13089-2025")</f>
        <v/>
      </c>
      <c r="Y75">
        <f>HYPERLINK("https://klasma.github.io/Logging_2132/kartor_geotiff/A 13089-2025 georefererad karta.tif", "A 13089-2025")</f>
        <v/>
      </c>
      <c r="AA75">
        <f>HYPERLINK("https://klasma.github.io/Logging_2132/klagomål/A 13089-2025 FSC-klagomål.docx", "A 13089-2025")</f>
        <v/>
      </c>
      <c r="AB75">
        <f>HYPERLINK("https://klasma.github.io/Logging_2132/klagomålsmail/A 13089-2025 FSC-klagomål mail.docx", "A 13089-2025")</f>
        <v/>
      </c>
      <c r="AC75">
        <f>HYPERLINK("https://klasma.github.io/Logging_2132/tillsyn/A 13089-2025 tillsynsbegäran.docx", "A 13089-2025")</f>
        <v/>
      </c>
      <c r="AD75">
        <f>HYPERLINK("https://klasma.github.io/Logging_2132/tillsynsmail/A 13089-2025 tillsynsbegäran mail.docx", "A 13089-2025")</f>
        <v/>
      </c>
      <c r="AE75">
        <f>HYPERLINK("https://klasma.github.io/Logging_2132/fåglar/A 13089-2025 prioriterade fågelarter.docx", "A 13089-2025")</f>
        <v/>
      </c>
    </row>
    <row r="76" ht="15" customHeight="1">
      <c r="A76" t="inlineStr">
        <is>
          <t>A 20566-2025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46286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HYPERLINK("https://klasma.github.io/Logging_2132/artfynd/A 20566-2025 artfynd.xlsx", "A 20566-2025")</f>
        <v/>
      </c>
      <c r="X76">
        <f>HYPERLINK("https://klasma.github.io/Logging_2132/kartor/A 20566-2025 karta.png", "A 20566-2025")</f>
        <v/>
      </c>
      <c r="Y76">
        <f>HYPERLINK("https://klasma.github.io/Logging_2132/kartor_geotiff/A 20566-2025 georefererad karta.tif", "A 20566-2025")</f>
        <v/>
      </c>
      <c r="AA76">
        <f>HYPERLINK("https://klasma.github.io/Logging_2132/klagomål/A 20566-2025 FSC-klagomål.docx", "A 20566-2025")</f>
        <v/>
      </c>
      <c r="AB76">
        <f>HYPERLINK("https://klasma.github.io/Logging_2132/klagomålsmail/A 20566-2025 FSC-klagomål mail.docx", "A 20566-2025")</f>
        <v/>
      </c>
      <c r="AC76">
        <f>HYPERLINK("https://klasma.github.io/Logging_2132/tillsyn/A 20566-2025 tillsynsbegäran.docx", "A 20566-2025")</f>
        <v/>
      </c>
      <c r="AD76">
        <f>HYPERLINK("https://klasma.github.io/Logging_2132/tillsynsmail/A 20566-2025 tillsynsbegäran mail.docx", "A 20566-2025")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46286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46286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46286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46286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46286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46286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46286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46286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46286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46286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46286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46286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46286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46286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46286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46286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46286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46286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46286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46286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55314-2021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44475</v>
      </c>
      <c r="E100" s="1" t="n">
        <v>46286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46286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44823</v>
      </c>
      <c r="E102" s="1" t="n">
        <v>46286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46286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46286</v>
      </c>
      <c r="F104" t="inlineStr">
        <is>
          <t>GÄVLEBORGS LÄN</t>
        </is>
      </c>
      <c r="G104" t="inlineStr">
        <is>
          <t>NORDANSTIG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44816</v>
      </c>
      <c r="E105" s="1" t="n">
        <v>46286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46286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46286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46286</v>
      </c>
      <c r="F108" t="inlineStr">
        <is>
          <t>GÄVLEBORGS LÄN</t>
        </is>
      </c>
      <c r="G108" t="inlineStr">
        <is>
          <t>NORDANSTIG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44460</v>
      </c>
      <c r="E109" s="1" t="n">
        <v>46286</v>
      </c>
      <c r="F109" t="inlineStr">
        <is>
          <t>GÄVLEBORGS LÄN</t>
        </is>
      </c>
      <c r="G109" t="inlineStr">
        <is>
          <t>NORDANSTIG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46286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46286</v>
      </c>
      <c r="F111" t="inlineStr">
        <is>
          <t>GÄVLEBORGS LÄN</t>
        </is>
      </c>
      <c r="G111" t="inlineStr">
        <is>
          <t>NORDANSTIG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44651</v>
      </c>
      <c r="E112" s="1" t="n">
        <v>46286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44461</v>
      </c>
      <c r="E113" s="1" t="n">
        <v>46286</v>
      </c>
      <c r="F113" t="inlineStr">
        <is>
          <t>GÄVLEBORGS LÄN</t>
        </is>
      </c>
      <c r="G113" t="inlineStr">
        <is>
          <t>NORDANSTIG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46286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46286</v>
      </c>
      <c r="F115" t="inlineStr">
        <is>
          <t>GÄVLEBORGS LÄN</t>
        </is>
      </c>
      <c r="G115" t="inlineStr">
        <is>
          <t>NORDANSTIG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46286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46286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44797</v>
      </c>
      <c r="E118" s="1" t="n">
        <v>46286</v>
      </c>
      <c r="F118" t="inlineStr">
        <is>
          <t>GÄVLEBORGS LÄN</t>
        </is>
      </c>
      <c r="G118" t="inlineStr">
        <is>
          <t>NORDANSTIG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71973-2021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46286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44853</v>
      </c>
      <c r="E120" s="1" t="n">
        <v>46286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72435-2021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44545</v>
      </c>
      <c r="E121" s="1" t="n">
        <v>46286</v>
      </c>
      <c r="F121" t="inlineStr">
        <is>
          <t>GÄVLEBORGS LÄN</t>
        </is>
      </c>
      <c r="G121" t="inlineStr">
        <is>
          <t>NORDANSTIG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44634</v>
      </c>
      <c r="E122" s="1" t="n">
        <v>46286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46286</v>
      </c>
      <c r="F123" t="inlineStr">
        <is>
          <t>GÄVLEBORGS LÄN</t>
        </is>
      </c>
      <c r="G123" t="inlineStr">
        <is>
          <t>NORDANSTIG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59270-2021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44490</v>
      </c>
      <c r="E124" s="1" t="n">
        <v>46286</v>
      </c>
      <c r="F124" t="inlineStr">
        <is>
          <t>GÄVLEBORGS LÄN</t>
        </is>
      </c>
      <c r="G124" t="inlineStr">
        <is>
          <t>NORDANSTIG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67931-2021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46286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46286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46286</v>
      </c>
      <c r="F127" t="inlineStr">
        <is>
          <t>GÄVLEBORGS LÄN</t>
        </is>
      </c>
      <c r="G127" t="inlineStr">
        <is>
          <t>NORDANSTIG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46286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46286</v>
      </c>
      <c r="F129" t="inlineStr">
        <is>
          <t>GÄVLEBORGS LÄN</t>
        </is>
      </c>
      <c r="G129" t="inlineStr">
        <is>
          <t>NORDANSTIG</t>
        </is>
      </c>
      <c r="H129" t="inlineStr">
        <is>
          <t>SCA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44764</v>
      </c>
      <c r="E130" s="1" t="n">
        <v>46286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46286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46286</v>
      </c>
      <c r="F132" t="inlineStr">
        <is>
          <t>GÄVLEBORGS LÄN</t>
        </is>
      </c>
      <c r="G132" t="inlineStr">
        <is>
          <t>NORDANSTIG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46286</v>
      </c>
      <c r="F133" t="inlineStr">
        <is>
          <t>GÄVLEBORGS LÄN</t>
        </is>
      </c>
      <c r="G133" t="inlineStr">
        <is>
          <t>NORDANSTIG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73725-2021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46286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44728</v>
      </c>
      <c r="E135" s="1" t="n">
        <v>46286</v>
      </c>
      <c r="F135" t="inlineStr">
        <is>
          <t>GÄVLEBORGS LÄN</t>
        </is>
      </c>
      <c r="G135" t="inlineStr">
        <is>
          <t>NORDANSTIG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46286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46286</v>
      </c>
      <c r="F137" t="inlineStr">
        <is>
          <t>GÄVLEBORGS LÄN</t>
        </is>
      </c>
      <c r="G137" t="inlineStr">
        <is>
          <t>NORDANSTIG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44571</v>
      </c>
      <c r="E138" s="1" t="n">
        <v>46286</v>
      </c>
      <c r="F138" t="inlineStr">
        <is>
          <t>GÄVLEBORGS LÄN</t>
        </is>
      </c>
      <c r="G138" t="inlineStr">
        <is>
          <t>NORDANSTIG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46286</v>
      </c>
      <c r="F139" t="inlineStr">
        <is>
          <t>GÄVLEBORGS LÄN</t>
        </is>
      </c>
      <c r="G139" t="inlineStr">
        <is>
          <t>NORDANSTIG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44820</v>
      </c>
      <c r="E140" s="1" t="n">
        <v>46286</v>
      </c>
      <c r="F140" t="inlineStr">
        <is>
          <t>GÄVLEBORGS LÄN</t>
        </is>
      </c>
      <c r="G140" t="inlineStr">
        <is>
          <t>NORDANSTIG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46286</v>
      </c>
      <c r="F141" t="inlineStr">
        <is>
          <t>GÄVLEBORGS LÄN</t>
        </is>
      </c>
      <c r="G141" t="inlineStr">
        <is>
          <t>NORDANSTIG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51543-2021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44461</v>
      </c>
      <c r="E142" s="1" t="n">
        <v>46286</v>
      </c>
      <c r="F142" t="inlineStr">
        <is>
          <t>GÄVLEBORGS LÄN</t>
        </is>
      </c>
      <c r="G142" t="inlineStr">
        <is>
          <t>NORDANSTIG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25002-2022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46286</v>
      </c>
      <c r="F143" t="inlineStr">
        <is>
          <t>GÄVLEBORGS LÄN</t>
        </is>
      </c>
      <c r="G143" t="inlineStr">
        <is>
          <t>NORDANSTIG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44785</v>
      </c>
      <c r="E144" s="1" t="n">
        <v>46286</v>
      </c>
      <c r="F144" t="inlineStr">
        <is>
          <t>GÄVLEBORGS LÄN</t>
        </is>
      </c>
      <c r="G144" t="inlineStr">
        <is>
          <t>NORDANSTIG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46286</v>
      </c>
      <c r="F145" t="inlineStr">
        <is>
          <t>GÄVLEBORGS LÄN</t>
        </is>
      </c>
      <c r="G145" t="inlineStr">
        <is>
          <t>NORDANSTIG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62450-2021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46286</v>
      </c>
      <c r="F146" t="inlineStr">
        <is>
          <t>GÄVLEBORGS LÄN</t>
        </is>
      </c>
      <c r="G146" t="inlineStr">
        <is>
          <t>NORDANSTIG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46286</v>
      </c>
      <c r="F147" t="inlineStr">
        <is>
          <t>GÄVLEBORGS LÄN</t>
        </is>
      </c>
      <c r="G147" t="inlineStr">
        <is>
          <t>NORDANSTIG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44566</v>
      </c>
      <c r="E148" s="1" t="n">
        <v>46286</v>
      </c>
      <c r="F148" t="inlineStr">
        <is>
          <t>GÄVLEBORGS LÄN</t>
        </is>
      </c>
      <c r="G148" t="inlineStr">
        <is>
          <t>NORDANSTIG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46286</v>
      </c>
      <c r="F149" t="inlineStr">
        <is>
          <t>GÄVLEBORGS LÄN</t>
        </is>
      </c>
      <c r="G149" t="inlineStr">
        <is>
          <t>NORDANSTIG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46286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26113-2022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44734</v>
      </c>
      <c r="E151" s="1" t="n">
        <v>46286</v>
      </c>
      <c r="F151" t="inlineStr">
        <is>
          <t>GÄVLEBORGS LÄN</t>
        </is>
      </c>
      <c r="G151" t="inlineStr">
        <is>
          <t>NORDANSTIG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44728</v>
      </c>
      <c r="E152" s="1" t="n">
        <v>46286</v>
      </c>
      <c r="F152" t="inlineStr">
        <is>
          <t>GÄVLEBORGS LÄN</t>
        </is>
      </c>
      <c r="G152" t="inlineStr">
        <is>
          <t>NORDANSTIG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46286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15312-2022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46286</v>
      </c>
      <c r="F154" t="inlineStr">
        <is>
          <t>GÄVLEBORGS LÄN</t>
        </is>
      </c>
      <c r="G154" t="inlineStr">
        <is>
          <t>NORDANSTIG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45644</v>
      </c>
      <c r="E155" s="1" t="n">
        <v>46286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46286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46286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45573</v>
      </c>
      <c r="E158" s="1" t="n">
        <v>46286</v>
      </c>
      <c r="F158" t="inlineStr">
        <is>
          <t>GÄVLEBORGS LÄN</t>
        </is>
      </c>
      <c r="G158" t="inlineStr">
        <is>
          <t>NORDANSTIG</t>
        </is>
      </c>
      <c r="I158" t="n">
        <v>10.7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46286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46286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46286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46286</v>
      </c>
      <c r="F162" t="inlineStr">
        <is>
          <t>GÄVLEBORGS LÄN</t>
        </is>
      </c>
      <c r="G162" t="inlineStr">
        <is>
          <t>NORDANSTIG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46286</v>
      </c>
      <c r="F163" t="inlineStr">
        <is>
          <t>GÄVLEBORGS LÄN</t>
        </is>
      </c>
      <c r="G163" t="inlineStr">
        <is>
          <t>NORDANSTIG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46286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44862</v>
      </c>
      <c r="E165" s="1" t="n">
        <v>46286</v>
      </c>
      <c r="F165" t="inlineStr">
        <is>
          <t>GÄVLEBORGS LÄN</t>
        </is>
      </c>
      <c r="G165" t="inlineStr">
        <is>
          <t>NORDANSTIG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46286</v>
      </c>
      <c r="F166" t="inlineStr">
        <is>
          <t>GÄVLEBORGS LÄN</t>
        </is>
      </c>
      <c r="G166" t="inlineStr">
        <is>
          <t>NORDANSTIG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46286</v>
      </c>
      <c r="F167" t="inlineStr">
        <is>
          <t>GÄVLEBORGS LÄN</t>
        </is>
      </c>
      <c r="G167" t="inlineStr">
        <is>
          <t>NORDANSTIG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46286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46286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46286</v>
      </c>
      <c r="F170" t="inlineStr">
        <is>
          <t>GÄVLEBORGS LÄN</t>
        </is>
      </c>
      <c r="G170" t="inlineStr">
        <is>
          <t>NORDANSTIG</t>
        </is>
      </c>
      <c r="H170" t="inlineStr">
        <is>
          <t>SCA</t>
        </is>
      </c>
      <c r="I170" t="n">
        <v>11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46286</v>
      </c>
      <c r="F171" t="inlineStr">
        <is>
          <t>GÄVLEBORGS LÄN</t>
        </is>
      </c>
      <c r="G171" t="inlineStr">
        <is>
          <t>NORDANSTIG</t>
        </is>
      </c>
      <c r="H171" t="inlineStr">
        <is>
          <t>SCA</t>
        </is>
      </c>
      <c r="I171" t="n">
        <v>11.8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45352</v>
      </c>
      <c r="E172" s="1" t="n">
        <v>46286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46286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46286</v>
      </c>
      <c r="F174" t="inlineStr">
        <is>
          <t>GÄVLEBORGS LÄN</t>
        </is>
      </c>
      <c r="G174" t="inlineStr">
        <is>
          <t>NORDANSTIG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46286</v>
      </c>
      <c r="F175" t="inlineStr">
        <is>
          <t>GÄVLEBORGS LÄN</t>
        </is>
      </c>
      <c r="G175" t="inlineStr">
        <is>
          <t>NORDANSTIG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46286</v>
      </c>
      <c r="F176" t="inlineStr">
        <is>
          <t>GÄVLEBORGS LÄN</t>
        </is>
      </c>
      <c r="G176" t="inlineStr">
        <is>
          <t>NORDANSTIG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40241-2023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45169</v>
      </c>
      <c r="E177" s="1" t="n">
        <v>46286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46286</v>
      </c>
      <c r="F178" t="inlineStr">
        <is>
          <t>GÄVLEBORGS LÄN</t>
        </is>
      </c>
      <c r="G178" t="inlineStr">
        <is>
          <t>NORDANSTIG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19364-2022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44692</v>
      </c>
      <c r="E179" s="1" t="n">
        <v>46286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46286</v>
      </c>
      <c r="F180" t="inlineStr">
        <is>
          <t>GÄVLEBORGS LÄN</t>
        </is>
      </c>
      <c r="G180" t="inlineStr">
        <is>
          <t>NORDANSTIG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45289</v>
      </c>
      <c r="E181" s="1" t="n">
        <v>46286</v>
      </c>
      <c r="F181" t="inlineStr">
        <is>
          <t>GÄVLEBORGS LÄN</t>
        </is>
      </c>
      <c r="G181" t="inlineStr">
        <is>
          <t>NORDANSTIG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46286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44795</v>
      </c>
      <c r="E183" s="1" t="n">
        <v>46286</v>
      </c>
      <c r="F183" t="inlineStr">
        <is>
          <t>GÄVLEBORGS LÄN</t>
        </is>
      </c>
      <c r="G183" t="inlineStr">
        <is>
          <t>NORDANSTIG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46286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46286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46286</v>
      </c>
      <c r="F186" t="inlineStr">
        <is>
          <t>GÄVLEBORGS LÄN</t>
        </is>
      </c>
      <c r="G186" t="inlineStr">
        <is>
          <t>NORDANSTIG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46286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62.5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46286</v>
      </c>
      <c r="F188" t="inlineStr">
        <is>
          <t>GÄVLEBORGS LÄN</t>
        </is>
      </c>
      <c r="G188" t="inlineStr">
        <is>
          <t>NORDANSTIG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46286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45762</v>
      </c>
      <c r="E190" s="1" t="n">
        <v>46286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44783</v>
      </c>
      <c r="E191" s="1" t="n">
        <v>46286</v>
      </c>
      <c r="F191" t="inlineStr">
        <is>
          <t>GÄVLEBORGS LÄN</t>
        </is>
      </c>
      <c r="G191" t="inlineStr">
        <is>
          <t>NORDANSTIG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46286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46286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46286</v>
      </c>
      <c r="F194" t="inlineStr">
        <is>
          <t>GÄVLEBORGS LÄN</t>
        </is>
      </c>
      <c r="G194" t="inlineStr">
        <is>
          <t>NORDANSTIG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52788-2024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45610</v>
      </c>
      <c r="E195" s="1" t="n">
        <v>46286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46286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46286</v>
      </c>
      <c r="F197" t="inlineStr">
        <is>
          <t>GÄVLEBORGS LÄN</t>
        </is>
      </c>
      <c r="G197" t="inlineStr">
        <is>
          <t>NORDANSTIG</t>
        </is>
      </c>
      <c r="I197" t="n">
        <v>12.5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45336</v>
      </c>
      <c r="E198" s="1" t="n">
        <v>46286</v>
      </c>
      <c r="F198" t="inlineStr">
        <is>
          <t>GÄVLEBORGS LÄN</t>
        </is>
      </c>
      <c r="G198" t="inlineStr">
        <is>
          <t>NORDANSTIG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46286</v>
      </c>
      <c r="F199" t="inlineStr">
        <is>
          <t>GÄVLEBORGS LÄN</t>
        </is>
      </c>
      <c r="G199" t="inlineStr">
        <is>
          <t>NORDANSTIG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46286</v>
      </c>
      <c r="F200" t="inlineStr">
        <is>
          <t>GÄVLEBORGS LÄN</t>
        </is>
      </c>
      <c r="G200" t="inlineStr">
        <is>
          <t>NORDANSTIG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46286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45566</v>
      </c>
      <c r="E202" s="1" t="n">
        <v>46286</v>
      </c>
      <c r="F202" t="inlineStr">
        <is>
          <t>GÄVLEBORGS LÄN</t>
        </is>
      </c>
      <c r="G202" t="inlineStr">
        <is>
          <t>NORDANSTIG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14866-2024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45397</v>
      </c>
      <c r="E203" s="1" t="n">
        <v>46286</v>
      </c>
      <c r="F203" t="inlineStr">
        <is>
          <t>GÄVLEBORGS LÄN</t>
        </is>
      </c>
      <c r="G203" t="inlineStr">
        <is>
          <t>NORDANSTIG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46286</v>
      </c>
      <c r="F204" t="inlineStr">
        <is>
          <t>GÄVLEBORGS LÄN</t>
        </is>
      </c>
      <c r="G204" t="inlineStr">
        <is>
          <t>NORDANSTIG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46286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45622</v>
      </c>
      <c r="E206" s="1" t="n">
        <v>46286</v>
      </c>
      <c r="F206" t="inlineStr">
        <is>
          <t>GÄVLEBORGS LÄN</t>
        </is>
      </c>
      <c r="G206" t="inlineStr">
        <is>
          <t>NORDANSTIG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45306</v>
      </c>
      <c r="E207" s="1" t="n">
        <v>46286</v>
      </c>
      <c r="F207" t="inlineStr">
        <is>
          <t>GÄVLEBORGS LÄN</t>
        </is>
      </c>
      <c r="G207" t="inlineStr">
        <is>
          <t>NORDANSTIG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32149-2024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45511</v>
      </c>
      <c r="E208" s="1" t="n">
        <v>46286</v>
      </c>
      <c r="F208" t="inlineStr">
        <is>
          <t>GÄVLEBORGS LÄN</t>
        </is>
      </c>
      <c r="G208" t="inlineStr">
        <is>
          <t>NORDANSTIG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46286</v>
      </c>
      <c r="F209" t="inlineStr">
        <is>
          <t>GÄVLEBORGS LÄN</t>
        </is>
      </c>
      <c r="G209" t="inlineStr">
        <is>
          <t>NORDANSTIG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46286</v>
      </c>
      <c r="F210" t="inlineStr">
        <is>
          <t>GÄVLEBORGS LÄN</t>
        </is>
      </c>
      <c r="G210" t="inlineStr">
        <is>
          <t>NORDANSTIG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46286</v>
      </c>
      <c r="F211" t="inlineStr">
        <is>
          <t>GÄVLEBORGS LÄN</t>
        </is>
      </c>
      <c r="G211" t="inlineStr">
        <is>
          <t>NORDANSTIG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61419-2024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45646</v>
      </c>
      <c r="E212" s="1" t="n">
        <v>46286</v>
      </c>
      <c r="F212" t="inlineStr">
        <is>
          <t>GÄVLEBORGS LÄN</t>
        </is>
      </c>
      <c r="G212" t="inlineStr">
        <is>
          <t>NORDANSTIG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45426</v>
      </c>
      <c r="E213" s="1" t="n">
        <v>46286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45176</v>
      </c>
      <c r="E214" s="1" t="n">
        <v>46286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45425</v>
      </c>
      <c r="E215" s="1" t="n">
        <v>46286</v>
      </c>
      <c r="F215" t="inlineStr">
        <is>
          <t>GÄVLEBORGS LÄN</t>
        </is>
      </c>
      <c r="G215" t="inlineStr">
        <is>
          <t>NORDANSTIG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46286</v>
      </c>
      <c r="F216" t="inlineStr">
        <is>
          <t>GÄVLEBORGS LÄN</t>
        </is>
      </c>
      <c r="G216" t="inlineStr">
        <is>
          <t>NORDANSTIG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45499</v>
      </c>
      <c r="E217" s="1" t="n">
        <v>46286</v>
      </c>
      <c r="F217" t="inlineStr">
        <is>
          <t>GÄVLEBORGS LÄN</t>
        </is>
      </c>
      <c r="G217" t="inlineStr">
        <is>
          <t>NORDANSTIG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44678</v>
      </c>
      <c r="E218" s="1" t="n">
        <v>46286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46286</v>
      </c>
      <c r="F219" t="inlineStr">
        <is>
          <t>GÄVLEBORGS LÄN</t>
        </is>
      </c>
      <c r="G219" t="inlineStr">
        <is>
          <t>NORDANSTIG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46286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55477-2024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45622</v>
      </c>
      <c r="E221" s="1" t="n">
        <v>46286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40078-2024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46286</v>
      </c>
      <c r="F222" t="inlineStr">
        <is>
          <t>GÄVLEBORGS LÄN</t>
        </is>
      </c>
      <c r="G222" t="inlineStr">
        <is>
          <t>NORDANSTIG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46286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45637</v>
      </c>
      <c r="E224" s="1" t="n">
        <v>46286</v>
      </c>
      <c r="F224" t="inlineStr">
        <is>
          <t>GÄVLEBORGS LÄN</t>
        </is>
      </c>
      <c r="G224" t="inlineStr">
        <is>
          <t>NORDANSTIG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46286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46286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55948-2024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45623</v>
      </c>
      <c r="E227" s="1" t="n">
        <v>46286</v>
      </c>
      <c r="F227" t="inlineStr">
        <is>
          <t>GÄVLEBORGS LÄN</t>
        </is>
      </c>
      <c r="G227" t="inlineStr">
        <is>
          <t>NORDANSTIG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45196</v>
      </c>
      <c r="E228" s="1" t="n">
        <v>46286</v>
      </c>
      <c r="F228" t="inlineStr">
        <is>
          <t>GÄVLEBORGS LÄN</t>
        </is>
      </c>
      <c r="G228" t="inlineStr">
        <is>
          <t>NORDANSTIG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45183</v>
      </c>
      <c r="E229" s="1" t="n">
        <v>46286</v>
      </c>
      <c r="F229" t="inlineStr">
        <is>
          <t>GÄVLEBORGS LÄN</t>
        </is>
      </c>
      <c r="G229" t="inlineStr">
        <is>
          <t>NORDANSTIG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46286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45236</v>
      </c>
      <c r="E231" s="1" t="n">
        <v>46286</v>
      </c>
      <c r="F231" t="inlineStr">
        <is>
          <t>GÄVLEBORGS LÄN</t>
        </is>
      </c>
      <c r="G231" t="inlineStr">
        <is>
          <t>NORDANSTIG</t>
        </is>
      </c>
      <c r="H231" t="inlineStr">
        <is>
          <t>SCA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59930-2024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45642</v>
      </c>
      <c r="E232" s="1" t="n">
        <v>46286</v>
      </c>
      <c r="F232" t="inlineStr">
        <is>
          <t>GÄVLEBORGS LÄN</t>
        </is>
      </c>
      <c r="G232" t="inlineStr">
        <is>
          <t>NORDANSTIG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46286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32350-2022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44781</v>
      </c>
      <c r="E234" s="1" t="n">
        <v>46286</v>
      </c>
      <c r="F234" t="inlineStr">
        <is>
          <t>GÄVLEBORGS LÄN</t>
        </is>
      </c>
      <c r="G234" t="inlineStr">
        <is>
          <t>NORDANSTIG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46286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44998</v>
      </c>
      <c r="E236" s="1" t="n">
        <v>46286</v>
      </c>
      <c r="F236" t="inlineStr">
        <is>
          <t>GÄVLEBORGS LÄN</t>
        </is>
      </c>
      <c r="G236" t="inlineStr">
        <is>
          <t>NORDANSTIG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44608</v>
      </c>
      <c r="E237" s="1" t="n">
        <v>46286</v>
      </c>
      <c r="F237" t="inlineStr">
        <is>
          <t>GÄVLEBORGS LÄN</t>
        </is>
      </c>
      <c r="G237" t="inlineStr">
        <is>
          <t>NORDANSTIG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46286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45758</v>
      </c>
      <c r="E239" s="1" t="n">
        <v>46286</v>
      </c>
      <c r="F239" t="inlineStr">
        <is>
          <t>GÄVLEBORGS LÄN</t>
        </is>
      </c>
      <c r="G239" t="inlineStr">
        <is>
          <t>NORDANSTIG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45120</v>
      </c>
      <c r="E240" s="1" t="n">
        <v>46286</v>
      </c>
      <c r="F240" t="inlineStr">
        <is>
          <t>GÄVLEBORGS LÄN</t>
        </is>
      </c>
      <c r="G240" t="inlineStr">
        <is>
          <t>NORDANSTIG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44811</v>
      </c>
      <c r="E241" s="1" t="n">
        <v>46286</v>
      </c>
      <c r="F241" t="inlineStr">
        <is>
          <t>GÄVLEBORGS LÄN</t>
        </is>
      </c>
      <c r="G241" t="inlineStr">
        <is>
          <t>NORDANSTIG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46286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45131</v>
      </c>
      <c r="E243" s="1" t="n">
        <v>46286</v>
      </c>
      <c r="F243" t="inlineStr">
        <is>
          <t>GÄVLEBORGS LÄN</t>
        </is>
      </c>
      <c r="G243" t="inlineStr">
        <is>
          <t>NORDANSTIG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46286</v>
      </c>
      <c r="F244" t="inlineStr">
        <is>
          <t>GÄVLEBORGS LÄN</t>
        </is>
      </c>
      <c r="G244" t="inlineStr">
        <is>
          <t>NORDANSTIG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46286</v>
      </c>
      <c r="F245" t="inlineStr">
        <is>
          <t>GÄVLEBORGS LÄN</t>
        </is>
      </c>
      <c r="G245" t="inlineStr">
        <is>
          <t>NORDANSTIG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45089</v>
      </c>
      <c r="E246" s="1" t="n">
        <v>46286</v>
      </c>
      <c r="F246" t="inlineStr">
        <is>
          <t>GÄVLEBORGS LÄN</t>
        </is>
      </c>
      <c r="G246" t="inlineStr">
        <is>
          <t>NORDANSTIG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44768</v>
      </c>
      <c r="E247" s="1" t="n">
        <v>46286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46286</v>
      </c>
      <c r="F248" t="inlineStr">
        <is>
          <t>GÄVLEBORGS LÄN</t>
        </is>
      </c>
      <c r="G248" t="inlineStr">
        <is>
          <t>NORDANSTIG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46286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45677</v>
      </c>
      <c r="E250" s="1" t="n">
        <v>46286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41701-2023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45176</v>
      </c>
      <c r="E251" s="1" t="n">
        <v>46286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46286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45184</v>
      </c>
      <c r="E253" s="1" t="n">
        <v>46286</v>
      </c>
      <c r="F253" t="inlineStr">
        <is>
          <t>GÄVLEBORGS LÄN</t>
        </is>
      </c>
      <c r="G253" t="inlineStr">
        <is>
          <t>NORDANSTIG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15973-2022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44664</v>
      </c>
      <c r="E254" s="1" t="n">
        <v>46286</v>
      </c>
      <c r="F254" t="inlineStr">
        <is>
          <t>GÄVLEBORGS LÄN</t>
        </is>
      </c>
      <c r="G254" t="inlineStr">
        <is>
          <t>NORDANSTIG</t>
        </is>
      </c>
      <c r="H254" t="inlineStr">
        <is>
          <t>SCA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49455-2024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45596</v>
      </c>
      <c r="E255" s="1" t="n">
        <v>46286</v>
      </c>
      <c r="F255" t="inlineStr">
        <is>
          <t>GÄVLEBORGS LÄN</t>
        </is>
      </c>
      <c r="G255" t="inlineStr">
        <is>
          <t>NORDANSTIG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46286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46286</v>
      </c>
      <c r="F257" t="inlineStr">
        <is>
          <t>GÄVLEBORGS LÄN</t>
        </is>
      </c>
      <c r="G257" t="inlineStr">
        <is>
          <t>NORDANSTIG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38610-2025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45884</v>
      </c>
      <c r="E258" s="1" t="n">
        <v>46286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46286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46286</v>
      </c>
      <c r="F260" t="inlineStr">
        <is>
          <t>GÄVLEBORGS LÄN</t>
        </is>
      </c>
      <c r="G260" t="inlineStr">
        <is>
          <t>NORDANSTIG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44573</v>
      </c>
      <c r="E261" s="1" t="n">
        <v>46286</v>
      </c>
      <c r="F261" t="inlineStr">
        <is>
          <t>GÄVLEBORGS LÄN</t>
        </is>
      </c>
      <c r="G261" t="inlineStr">
        <is>
          <t>NORDANSTIG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44945</v>
      </c>
      <c r="E262" s="1" t="n">
        <v>46286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63786-2025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46019</v>
      </c>
      <c r="E263" s="1" t="n">
        <v>46286</v>
      </c>
      <c r="F263" t="inlineStr">
        <is>
          <t>GÄVLEBORGS LÄN</t>
        </is>
      </c>
      <c r="G263" t="inlineStr">
        <is>
          <t>NORDANSTIG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45497</v>
      </c>
      <c r="E264" s="1" t="n">
        <v>46286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45223</v>
      </c>
      <c r="E265" s="1" t="n">
        <v>46286</v>
      </c>
      <c r="F265" t="inlineStr">
        <is>
          <t>GÄVLEBORGS LÄN</t>
        </is>
      </c>
      <c r="G265" t="inlineStr">
        <is>
          <t>NORDANSTIG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46033</v>
      </c>
      <c r="E266" s="1" t="n">
        <v>46286</v>
      </c>
      <c r="F266" t="inlineStr">
        <is>
          <t>GÄVLEBORGS LÄN</t>
        </is>
      </c>
      <c r="G266" t="inlineStr">
        <is>
          <t>NORDANSTIG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29401-2025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46286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46286</v>
      </c>
      <c r="F268" t="inlineStr">
        <is>
          <t>GÄVLEBORGS LÄN</t>
        </is>
      </c>
      <c r="G268" t="inlineStr">
        <is>
          <t>NORDANSTIG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52695-2024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45610</v>
      </c>
      <c r="E269" s="1" t="n">
        <v>46286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34370-2024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45525</v>
      </c>
      <c r="E270" s="1" t="n">
        <v>46286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45434</v>
      </c>
      <c r="E271" s="1" t="n">
        <v>46286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28711-2022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46286</v>
      </c>
      <c r="F272" t="inlineStr">
        <is>
          <t>GÄVLEBORGS LÄN</t>
        </is>
      </c>
      <c r="G272" t="inlineStr">
        <is>
          <t>NORDANSTIG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45044</v>
      </c>
      <c r="E273" s="1" t="n">
        <v>46286</v>
      </c>
      <c r="F273" t="inlineStr">
        <is>
          <t>GÄVLEBORGS LÄN</t>
        </is>
      </c>
      <c r="G273" t="inlineStr">
        <is>
          <t>NORDANSTIG</t>
        </is>
      </c>
      <c r="I273" t="n">
        <v>26.6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46286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46286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46286</v>
      </c>
      <c r="F276" t="inlineStr">
        <is>
          <t>GÄVLEBORGS LÄN</t>
        </is>
      </c>
      <c r="G276" t="inlineStr">
        <is>
          <t>NORDANSTIG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46286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46286</v>
      </c>
      <c r="F278" t="inlineStr">
        <is>
          <t>GÄVLEBORGS LÄN</t>
        </is>
      </c>
      <c r="G278" t="inlineStr">
        <is>
          <t>NORDANSTIG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46286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46286</v>
      </c>
      <c r="F280" t="inlineStr">
        <is>
          <t>GÄVLEBORGS LÄN</t>
        </is>
      </c>
      <c r="G280" t="inlineStr">
        <is>
          <t>NORDANSTIG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46286</v>
      </c>
      <c r="F281" t="inlineStr">
        <is>
          <t>GÄVLEBORGS LÄN</t>
        </is>
      </c>
      <c r="G281" t="inlineStr">
        <is>
          <t>NORDANSTIG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45232</v>
      </c>
      <c r="E282" s="1" t="n">
        <v>46286</v>
      </c>
      <c r="F282" t="inlineStr">
        <is>
          <t>GÄVLEBORGS LÄN</t>
        </is>
      </c>
      <c r="G282" t="inlineStr">
        <is>
          <t>NORDANSTIG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45855</v>
      </c>
      <c r="E283" s="1" t="n">
        <v>46286</v>
      </c>
      <c r="F283" t="inlineStr">
        <is>
          <t>GÄVLEBORGS LÄN</t>
        </is>
      </c>
      <c r="G283" t="inlineStr">
        <is>
          <t>NORDANSTIG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46286</v>
      </c>
      <c r="F284" t="inlineStr">
        <is>
          <t>GÄVLEBORGS LÄN</t>
        </is>
      </c>
      <c r="G284" t="inlineStr">
        <is>
          <t>NORDANSTIG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46286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46286</v>
      </c>
      <c r="F286" t="inlineStr">
        <is>
          <t>GÄVLEBORGS LÄN</t>
        </is>
      </c>
      <c r="G286" t="inlineStr">
        <is>
          <t>NORDANSTIG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46286</v>
      </c>
      <c r="F287" t="inlineStr">
        <is>
          <t>GÄVLEBORGS LÄN</t>
        </is>
      </c>
      <c r="G287" t="inlineStr">
        <is>
          <t>NORDANSTIG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46286</v>
      </c>
      <c r="F288" t="inlineStr">
        <is>
          <t>GÄVLEBORGS LÄN</t>
        </is>
      </c>
      <c r="G288" t="inlineStr">
        <is>
          <t>NORDANSTIG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45861</v>
      </c>
      <c r="E289" s="1" t="n">
        <v>46286</v>
      </c>
      <c r="F289" t="inlineStr">
        <is>
          <t>GÄVLEBORGS LÄN</t>
        </is>
      </c>
      <c r="G289" t="inlineStr">
        <is>
          <t>NORDANSTIG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46286</v>
      </c>
      <c r="F290" t="inlineStr">
        <is>
          <t>GÄVLEBORGS LÄN</t>
        </is>
      </c>
      <c r="G290" t="inlineStr">
        <is>
          <t>NORDANSTIG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46286</v>
      </c>
      <c r="F291" t="inlineStr">
        <is>
          <t>GÄVLEBORGS LÄN</t>
        </is>
      </c>
      <c r="G291" t="inlineStr">
        <is>
          <t>NORDANSTIG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46286</v>
      </c>
      <c r="F292" t="inlineStr">
        <is>
          <t>GÄVLEBORGS LÄN</t>
        </is>
      </c>
      <c r="G292" t="inlineStr">
        <is>
          <t>NORDANSTIG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46286</v>
      </c>
      <c r="F293" t="inlineStr">
        <is>
          <t>GÄVLEBORGS LÄN</t>
        </is>
      </c>
      <c r="G293" t="inlineStr">
        <is>
          <t>NORDANSTIG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46286</v>
      </c>
      <c r="F294" t="inlineStr">
        <is>
          <t>GÄVLEBORGS LÄN</t>
        </is>
      </c>
      <c r="G294" t="inlineStr">
        <is>
          <t>NORDANSTIG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46286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46286</v>
      </c>
      <c r="F296" t="inlineStr">
        <is>
          <t>GÄVLEBORGS LÄN</t>
        </is>
      </c>
      <c r="G296" t="inlineStr">
        <is>
          <t>NORDANSTIG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44886</v>
      </c>
      <c r="E297" s="1" t="n">
        <v>46286</v>
      </c>
      <c r="F297" t="inlineStr">
        <is>
          <t>GÄVLEBORGS LÄN</t>
        </is>
      </c>
      <c r="G297" t="inlineStr">
        <is>
          <t>NORDANSTIG</t>
        </is>
      </c>
      <c r="H297" t="inlineStr">
        <is>
          <t>SCA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38581-2024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46286</v>
      </c>
      <c r="F298" t="inlineStr">
        <is>
          <t>GÄVLEBORGS LÄN</t>
        </is>
      </c>
      <c r="G298" t="inlineStr">
        <is>
          <t>NORDANSTIG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46286</v>
      </c>
      <c r="F299" t="inlineStr">
        <is>
          <t>GÄVLEBORGS LÄN</t>
        </is>
      </c>
      <c r="G299" t="inlineStr">
        <is>
          <t>NORDANSTIG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46286</v>
      </c>
      <c r="F300" t="inlineStr">
        <is>
          <t>GÄVLEBORGS LÄN</t>
        </is>
      </c>
      <c r="G300" t="inlineStr">
        <is>
          <t>NORDANSTIG</t>
        </is>
      </c>
      <c r="H300" t="inlineStr">
        <is>
          <t>SCA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45509</v>
      </c>
      <c r="E301" s="1" t="n">
        <v>46286</v>
      </c>
      <c r="F301" t="inlineStr">
        <is>
          <t>GÄVLEBORGS LÄN</t>
        </is>
      </c>
      <c r="G301" t="inlineStr">
        <is>
          <t>NORDANSTIG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45904</v>
      </c>
      <c r="E302" s="1" t="n">
        <v>46286</v>
      </c>
      <c r="F302" t="inlineStr">
        <is>
          <t>GÄVLEBORGS LÄN</t>
        </is>
      </c>
      <c r="G302" t="inlineStr">
        <is>
          <t>NORDANSTIG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45904</v>
      </c>
      <c r="E303" s="1" t="n">
        <v>46286</v>
      </c>
      <c r="F303" t="inlineStr">
        <is>
          <t>GÄVLEBORGS LÄN</t>
        </is>
      </c>
      <c r="G303" t="inlineStr">
        <is>
          <t>NORDANSTIG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46286</v>
      </c>
      <c r="F304" t="inlineStr">
        <is>
          <t>GÄVLEBORGS LÄN</t>
        </is>
      </c>
      <c r="G304" t="inlineStr">
        <is>
          <t>NORDANSTIG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46286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46286</v>
      </c>
      <c r="F306" t="inlineStr">
        <is>
          <t>GÄVLEBORGS LÄN</t>
        </is>
      </c>
      <c r="G306" t="inlineStr">
        <is>
          <t>NORDANSTIG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52746-2022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44874</v>
      </c>
      <c r="E307" s="1" t="n">
        <v>46286</v>
      </c>
      <c r="F307" t="inlineStr">
        <is>
          <t>GÄVLEBORGS LÄN</t>
        </is>
      </c>
      <c r="G307" t="inlineStr">
        <is>
          <t>NORDANSTIG</t>
        </is>
      </c>
      <c r="H307" t="inlineStr">
        <is>
          <t>SCA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46286</v>
      </c>
      <c r="F308" t="inlineStr">
        <is>
          <t>GÄVLEBORGS LÄN</t>
        </is>
      </c>
      <c r="G308" t="inlineStr">
        <is>
          <t>NORDANSTIG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46026</v>
      </c>
      <c r="E309" s="1" t="n">
        <v>46286</v>
      </c>
      <c r="F309" t="inlineStr">
        <is>
          <t>GÄVLEBORGS LÄN</t>
        </is>
      </c>
      <c r="G309" t="inlineStr">
        <is>
          <t>NORDANSTIG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46286</v>
      </c>
      <c r="F310" t="inlineStr">
        <is>
          <t>GÄVLEBORGS LÄN</t>
        </is>
      </c>
      <c r="G310" t="inlineStr">
        <is>
          <t>NORDANSTIG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45951</v>
      </c>
      <c r="E311" s="1" t="n">
        <v>46286</v>
      </c>
      <c r="F311" t="inlineStr">
        <is>
          <t>GÄVLEBORGS LÄN</t>
        </is>
      </c>
      <c r="G311" t="inlineStr">
        <is>
          <t>NORDANSTIG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46286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46286</v>
      </c>
      <c r="F313" t="inlineStr">
        <is>
          <t>GÄVLEBORGS LÄN</t>
        </is>
      </c>
      <c r="G313" t="inlineStr">
        <is>
          <t>NORDANSTIG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46286</v>
      </c>
      <c r="F314" t="inlineStr">
        <is>
          <t>GÄVLEBORGS LÄN</t>
        </is>
      </c>
      <c r="G314" t="inlineStr">
        <is>
          <t>NORDANSTIG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46286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44833</v>
      </c>
      <c r="E316" s="1" t="n">
        <v>46286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46286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46286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44788</v>
      </c>
      <c r="E319" s="1" t="n">
        <v>46286</v>
      </c>
      <c r="F319" t="inlineStr">
        <is>
          <t>GÄVLEBORGS LÄN</t>
        </is>
      </c>
      <c r="G319" t="inlineStr">
        <is>
          <t>NORDANSTIG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46286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46286</v>
      </c>
      <c r="F321" t="inlineStr">
        <is>
          <t>GÄVLEBORGS LÄN</t>
        </is>
      </c>
      <c r="G321" t="inlineStr">
        <is>
          <t>NORDANSTIG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46054</v>
      </c>
      <c r="E322" s="1" t="n">
        <v>46286</v>
      </c>
      <c r="F322" t="inlineStr">
        <is>
          <t>GÄVLEBORGS LÄN</t>
        </is>
      </c>
      <c r="G322" t="inlineStr">
        <is>
          <t>NORDANSTIG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46286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46286</v>
      </c>
      <c r="F324" t="inlineStr">
        <is>
          <t>GÄVLEBORGS LÄN</t>
        </is>
      </c>
      <c r="G324" t="inlineStr">
        <is>
          <t>NORDANSTIG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46286</v>
      </c>
      <c r="F325" t="inlineStr">
        <is>
          <t>GÄVLEBORGS LÄN</t>
        </is>
      </c>
      <c r="G325" t="inlineStr">
        <is>
          <t>NORDANSTIG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46286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46286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46286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46286</v>
      </c>
      <c r="F329" t="inlineStr">
        <is>
          <t>GÄVLEBORGS LÄN</t>
        </is>
      </c>
      <c r="G329" t="inlineStr">
        <is>
          <t>NORDANSTIG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46286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46286</v>
      </c>
      <c r="F331" t="inlineStr">
        <is>
          <t>GÄVLEBORGS LÄN</t>
        </is>
      </c>
      <c r="G331" t="inlineStr">
        <is>
          <t>NORDANSTIG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7503-2022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44607</v>
      </c>
      <c r="E332" s="1" t="n">
        <v>46286</v>
      </c>
      <c r="F332" t="inlineStr">
        <is>
          <t>GÄVLEBORGS LÄN</t>
        </is>
      </c>
      <c r="G332" t="inlineStr">
        <is>
          <t>NORDANSTIG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44824</v>
      </c>
      <c r="E333" s="1" t="n">
        <v>46286</v>
      </c>
      <c r="F333" t="inlineStr">
        <is>
          <t>GÄVLEBORGS LÄN</t>
        </is>
      </c>
      <c r="G333" t="inlineStr">
        <is>
          <t>NORDANSTIG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46286</v>
      </c>
      <c r="F334" t="inlineStr">
        <is>
          <t>GÄVLEBORGS LÄN</t>
        </is>
      </c>
      <c r="G334" t="inlineStr">
        <is>
          <t>NORDANSTIG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44644</v>
      </c>
      <c r="E335" s="1" t="n">
        <v>46286</v>
      </c>
      <c r="F335" t="inlineStr">
        <is>
          <t>GÄVLEBORGS LÄN</t>
        </is>
      </c>
      <c r="G335" t="inlineStr">
        <is>
          <t>NORDANSTIG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45917</v>
      </c>
      <c r="E336" s="1" t="n">
        <v>46286</v>
      </c>
      <c r="F336" t="inlineStr">
        <is>
          <t>GÄVLEBORGS LÄN</t>
        </is>
      </c>
      <c r="G336" t="inlineStr">
        <is>
          <t>NORDANSTIG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46286</v>
      </c>
      <c r="F337" t="inlineStr">
        <is>
          <t>GÄVLEBORGS LÄN</t>
        </is>
      </c>
      <c r="G337" t="inlineStr">
        <is>
          <t>NORDANSTIG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45058-2025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46286</v>
      </c>
      <c r="F338" t="inlineStr">
        <is>
          <t>GÄVLEBORGS LÄN</t>
        </is>
      </c>
      <c r="G338" t="inlineStr">
        <is>
          <t>NORDANSTIG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46286</v>
      </c>
      <c r="F339" t="inlineStr">
        <is>
          <t>GÄVLEBORGS LÄN</t>
        </is>
      </c>
      <c r="G339" t="inlineStr">
        <is>
          <t>NORDANSTIG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45918</v>
      </c>
      <c r="E340" s="1" t="n">
        <v>46286</v>
      </c>
      <c r="F340" t="inlineStr">
        <is>
          <t>GÄVLEBORGS LÄN</t>
        </is>
      </c>
      <c r="G340" t="inlineStr">
        <is>
          <t>NORDANSTIG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46286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46286</v>
      </c>
      <c r="F342" t="inlineStr">
        <is>
          <t>GÄVLEBORGS LÄN</t>
        </is>
      </c>
      <c r="G342" t="inlineStr">
        <is>
          <t>NORDANSTIG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46286</v>
      </c>
      <c r="F343" t="inlineStr">
        <is>
          <t>GÄVLEBORGS LÄN</t>
        </is>
      </c>
      <c r="G343" t="inlineStr">
        <is>
          <t>NORDANSTIG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45789</v>
      </c>
      <c r="E344" s="1" t="n">
        <v>46286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55.6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45902-2025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45923</v>
      </c>
      <c r="E345" s="1" t="n">
        <v>46286</v>
      </c>
      <c r="F345" t="inlineStr">
        <is>
          <t>GÄVLEBORGS LÄN</t>
        </is>
      </c>
      <c r="G345" t="inlineStr">
        <is>
          <t>NORDANSTIG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46286</v>
      </c>
      <c r="F346" t="inlineStr">
        <is>
          <t>GÄVLEBORGS LÄN</t>
        </is>
      </c>
      <c r="G346" t="inlineStr">
        <is>
          <t>NORDANSTIG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46286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46286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46286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46286</v>
      </c>
      <c r="F350" t="inlineStr">
        <is>
          <t>GÄVLEBORGS LÄN</t>
        </is>
      </c>
      <c r="G350" t="inlineStr">
        <is>
          <t>NORDANSTIG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46286</v>
      </c>
      <c r="F351" t="inlineStr">
        <is>
          <t>GÄVLEBORGS LÄN</t>
        </is>
      </c>
      <c r="G351" t="inlineStr">
        <is>
          <t>NORDANSTIG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46286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46286</v>
      </c>
      <c r="F353" t="inlineStr">
        <is>
          <t>GÄVLEBORGS LÄN</t>
        </is>
      </c>
      <c r="G353" t="inlineStr">
        <is>
          <t>NORDANSTIG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59912-2024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45641</v>
      </c>
      <c r="E354" s="1" t="n">
        <v>46286</v>
      </c>
      <c r="F354" t="inlineStr">
        <is>
          <t>GÄVLEBORGS LÄN</t>
        </is>
      </c>
      <c r="G354" t="inlineStr">
        <is>
          <t>NORDANSTIG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59930-2024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45642</v>
      </c>
      <c r="E355" s="1" t="n">
        <v>46286</v>
      </c>
      <c r="F355" t="inlineStr">
        <is>
          <t>GÄVLEBORGS LÄN</t>
        </is>
      </c>
      <c r="G355" t="inlineStr">
        <is>
          <t>NORDANSTIG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21118-2026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46146</v>
      </c>
      <c r="E356" s="1" t="n">
        <v>46286</v>
      </c>
      <c r="F356" t="inlineStr">
        <is>
          <t>GÄVLEBORGS LÄN</t>
        </is>
      </c>
      <c r="G356" t="inlineStr">
        <is>
          <t>NORDANSTIG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46286</v>
      </c>
      <c r="F357" t="inlineStr">
        <is>
          <t>GÄVLEBORGS LÄN</t>
        </is>
      </c>
      <c r="G357" t="inlineStr">
        <is>
          <t>NORDANSTIG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44964</v>
      </c>
      <c r="E358" s="1" t="n">
        <v>46286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46119</v>
      </c>
      <c r="E359" s="1" t="n">
        <v>46286</v>
      </c>
      <c r="F359" t="inlineStr">
        <is>
          <t>GÄVLEBORGS LÄN</t>
        </is>
      </c>
      <c r="G359" t="inlineStr">
        <is>
          <t>NORDANSTIG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45579</v>
      </c>
      <c r="E360" s="1" t="n">
        <v>46286</v>
      </c>
      <c r="F360" t="inlineStr">
        <is>
          <t>GÄVLEBORGS LÄN</t>
        </is>
      </c>
      <c r="G360" t="inlineStr">
        <is>
          <t>NORDANSTIG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45936</v>
      </c>
      <c r="E361" s="1" t="n">
        <v>46286</v>
      </c>
      <c r="F361" t="inlineStr">
        <is>
          <t>GÄVLEBORGS LÄN</t>
        </is>
      </c>
      <c r="G361" t="inlineStr">
        <is>
          <t>NORDANSTIG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46286</v>
      </c>
      <c r="F362" t="inlineStr">
        <is>
          <t>GÄVLEBORGS LÄN</t>
        </is>
      </c>
      <c r="G362" t="inlineStr">
        <is>
          <t>NORDANSTIG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48715-2025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46286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46286</v>
      </c>
      <c r="F364" t="inlineStr">
        <is>
          <t>GÄVLEBORGS LÄN</t>
        </is>
      </c>
      <c r="G364" t="inlineStr">
        <is>
          <t>NORDANSTIG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46035</v>
      </c>
      <c r="E365" s="1" t="n">
        <v>46286</v>
      </c>
      <c r="F365" t="inlineStr">
        <is>
          <t>GÄVLEBORGS LÄN</t>
        </is>
      </c>
      <c r="G365" t="inlineStr">
        <is>
          <t>NORDANSTIG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46286</v>
      </c>
      <c r="F366" t="inlineStr">
        <is>
          <t>GÄVLEBORGS LÄN</t>
        </is>
      </c>
      <c r="G366" t="inlineStr">
        <is>
          <t>NORDANSTIG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46286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19569-2024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45429</v>
      </c>
      <c r="E368" s="1" t="n">
        <v>46286</v>
      </c>
      <c r="F368" t="inlineStr">
        <is>
          <t>GÄVLEBORGS LÄN</t>
        </is>
      </c>
      <c r="G368" t="inlineStr">
        <is>
          <t>NORDANSTIG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46286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46286</v>
      </c>
      <c r="F370" t="inlineStr">
        <is>
          <t>GÄVLEBORGS LÄN</t>
        </is>
      </c>
      <c r="G370" t="inlineStr">
        <is>
          <t>NORDANSTIG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46286</v>
      </c>
      <c r="F371" t="inlineStr">
        <is>
          <t>GÄVLEBORGS LÄN</t>
        </is>
      </c>
      <c r="G371" t="inlineStr">
        <is>
          <t>NORDANSTIG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46286</v>
      </c>
      <c r="F372" t="inlineStr">
        <is>
          <t>GÄVLEBORGS LÄN</t>
        </is>
      </c>
      <c r="G372" t="inlineStr">
        <is>
          <t>NORDANSTIG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46286</v>
      </c>
      <c r="F373" t="inlineStr">
        <is>
          <t>GÄVLEBORGS LÄN</t>
        </is>
      </c>
      <c r="G373" t="inlineStr">
        <is>
          <t>NORDANSTIG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46146</v>
      </c>
      <c r="E374" s="1" t="n">
        <v>46286</v>
      </c>
      <c r="F374" t="inlineStr">
        <is>
          <t>GÄVLEBORGS LÄN</t>
        </is>
      </c>
      <c r="G374" t="inlineStr">
        <is>
          <t>NORDANSTIG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46286</v>
      </c>
      <c r="F375" t="inlineStr">
        <is>
          <t>GÄVLEBORGS LÄN</t>
        </is>
      </c>
      <c r="G375" t="inlineStr">
        <is>
          <t>NORDANSTIG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46146</v>
      </c>
      <c r="E376" s="1" t="n">
        <v>46286</v>
      </c>
      <c r="F376" t="inlineStr">
        <is>
          <t>GÄVLEBORGS LÄN</t>
        </is>
      </c>
      <c r="G376" t="inlineStr">
        <is>
          <t>NORDANSTIG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46286</v>
      </c>
      <c r="F377" t="inlineStr">
        <is>
          <t>GÄVLEBORGS LÄN</t>
        </is>
      </c>
      <c r="G377" t="inlineStr">
        <is>
          <t>NORDANSTIG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46286</v>
      </c>
      <c r="F378" t="inlineStr">
        <is>
          <t>GÄVLEBORGS LÄN</t>
        </is>
      </c>
      <c r="G378" t="inlineStr">
        <is>
          <t>NORDANSTIG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46286</v>
      </c>
      <c r="F379" t="inlineStr">
        <is>
          <t>GÄVLEBORGS LÄN</t>
        </is>
      </c>
      <c r="G379" t="inlineStr">
        <is>
          <t>NORDANSTIG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46286</v>
      </c>
      <c r="F380" t="inlineStr">
        <is>
          <t>GÄVLEBORGS LÄN</t>
        </is>
      </c>
      <c r="G380" t="inlineStr">
        <is>
          <t>NORDANSTIG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46286</v>
      </c>
      <c r="F381" t="inlineStr">
        <is>
          <t>GÄVLEBORGS LÄN</t>
        </is>
      </c>
      <c r="G381" t="inlineStr">
        <is>
          <t>NORDANSTIG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46286</v>
      </c>
      <c r="F382" t="inlineStr">
        <is>
          <t>GÄVLEBORGS LÄN</t>
        </is>
      </c>
      <c r="G382" t="inlineStr">
        <is>
          <t>NORDANSTIG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46286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44915</v>
      </c>
      <c r="E384" s="1" t="n">
        <v>46286</v>
      </c>
      <c r="F384" t="inlineStr">
        <is>
          <t>GÄVLEBORGS LÄN</t>
        </is>
      </c>
      <c r="G384" t="inlineStr">
        <is>
          <t>NORDANSTIG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45042</v>
      </c>
      <c r="E385" s="1" t="n">
        <v>46286</v>
      </c>
      <c r="F385" t="inlineStr">
        <is>
          <t>GÄVLEBORGS LÄN</t>
        </is>
      </c>
      <c r="G385" t="inlineStr">
        <is>
          <t>NORDANSTIG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46286</v>
      </c>
      <c r="F386" t="inlineStr">
        <is>
          <t>GÄVLEBORGS LÄN</t>
        </is>
      </c>
      <c r="G386" t="inlineStr">
        <is>
          <t>NORDANSTIG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46286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46286</v>
      </c>
      <c r="F388" t="inlineStr">
        <is>
          <t>GÄVLEBORGS LÄN</t>
        </is>
      </c>
      <c r="G388" t="inlineStr">
        <is>
          <t>NORDANSTIG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46286</v>
      </c>
      <c r="F389" t="inlineStr">
        <is>
          <t>GÄVLEBORGS LÄN</t>
        </is>
      </c>
      <c r="G389" t="inlineStr">
        <is>
          <t>NORDANSTIG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46286</v>
      </c>
      <c r="F390" t="inlineStr">
        <is>
          <t>GÄVLEBORGS LÄN</t>
        </is>
      </c>
      <c r="G390" t="inlineStr">
        <is>
          <t>NORDANSTIG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46286</v>
      </c>
      <c r="F391" t="inlineStr">
        <is>
          <t>GÄVLEBORGS LÄN</t>
        </is>
      </c>
      <c r="G391" t="inlineStr">
        <is>
          <t>NORDANSTIG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46286</v>
      </c>
      <c r="F392" t="inlineStr">
        <is>
          <t>GÄVLEBORGS LÄN</t>
        </is>
      </c>
      <c r="G392" t="inlineStr">
        <is>
          <t>NORDANSTIG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46286</v>
      </c>
      <c r="F393" t="inlineStr">
        <is>
          <t>GÄVLEBORGS LÄN</t>
        </is>
      </c>
      <c r="G393" t="inlineStr">
        <is>
          <t>NORDANSTIG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45618</v>
      </c>
      <c r="E394" s="1" t="n">
        <v>46286</v>
      </c>
      <c r="F394" t="inlineStr">
        <is>
          <t>GÄVLEBORGS LÄN</t>
        </is>
      </c>
      <c r="G394" t="inlineStr">
        <is>
          <t>NORDANSTIG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45313</v>
      </c>
      <c r="E395" s="1" t="n">
        <v>46286</v>
      </c>
      <c r="F395" t="inlineStr">
        <is>
          <t>GÄVLEBORGS LÄN</t>
        </is>
      </c>
      <c r="G395" t="inlineStr">
        <is>
          <t>NORDANSTIG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8805-2025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45712</v>
      </c>
      <c r="E396" s="1" t="n">
        <v>46286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45089</v>
      </c>
      <c r="E397" s="1" t="n">
        <v>46286</v>
      </c>
      <c r="F397" t="inlineStr">
        <is>
          <t>GÄVLEBORGS LÄN</t>
        </is>
      </c>
      <c r="G397" t="inlineStr">
        <is>
          <t>NORDANSTIG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50818-2025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45946</v>
      </c>
      <c r="E398" s="1" t="n">
        <v>46286</v>
      </c>
      <c r="F398" t="inlineStr">
        <is>
          <t>GÄVLEBORGS LÄN</t>
        </is>
      </c>
      <c r="G398" t="inlineStr">
        <is>
          <t>NORDANSTIG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46286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45947</v>
      </c>
      <c r="E400" s="1" t="n">
        <v>46286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46286</v>
      </c>
      <c r="F401" t="inlineStr">
        <is>
          <t>GÄVLEBORGS LÄN</t>
        </is>
      </c>
      <c r="G401" t="inlineStr">
        <is>
          <t>NORDANSTIG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46286</v>
      </c>
      <c r="F402" t="inlineStr">
        <is>
          <t>GÄVLEBORGS LÄN</t>
        </is>
      </c>
      <c r="G402" t="inlineStr">
        <is>
          <t>NORDANSTIG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46286</v>
      </c>
      <c r="F403" t="inlineStr">
        <is>
          <t>GÄVLEBORGS LÄN</t>
        </is>
      </c>
      <c r="G403" t="inlineStr">
        <is>
          <t>NORDANSTIG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46149</v>
      </c>
      <c r="E404" s="1" t="n">
        <v>46286</v>
      </c>
      <c r="F404" t="inlineStr">
        <is>
          <t>GÄVLEBORGS LÄN</t>
        </is>
      </c>
      <c r="G404" t="inlineStr">
        <is>
          <t>NORDANSTIG</t>
        </is>
      </c>
      <c r="I404" t="n">
        <v>10.7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46286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46286</v>
      </c>
      <c r="F406" t="inlineStr">
        <is>
          <t>GÄVLEBORGS LÄN</t>
        </is>
      </c>
      <c r="G406" t="inlineStr">
        <is>
          <t>NORDANSTIG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46078</v>
      </c>
      <c r="E407" s="1" t="n">
        <v>46286</v>
      </c>
      <c r="F407" t="inlineStr">
        <is>
          <t>GÄVLEBORGS LÄN</t>
        </is>
      </c>
      <c r="G407" t="inlineStr">
        <is>
          <t>NORDANSTIG</t>
        </is>
      </c>
      <c r="I407" t="n">
        <v>10.9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46286</v>
      </c>
      <c r="F408" t="inlineStr">
        <is>
          <t>GÄVLEBORGS LÄN</t>
        </is>
      </c>
      <c r="G408" t="inlineStr">
        <is>
          <t>NORDANSTIG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45208</v>
      </c>
      <c r="E409" s="1" t="n">
        <v>46286</v>
      </c>
      <c r="F409" t="inlineStr">
        <is>
          <t>GÄVLEBORGS LÄN</t>
        </is>
      </c>
      <c r="G409" t="inlineStr">
        <is>
          <t>NORDANSTIG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45043</v>
      </c>
      <c r="E410" s="1" t="n">
        <v>46286</v>
      </c>
      <c r="F410" t="inlineStr">
        <is>
          <t>GÄVLEBORGS LÄN</t>
        </is>
      </c>
      <c r="G410" t="inlineStr">
        <is>
          <t>NORDANSTIG</t>
        </is>
      </c>
      <c r="I410" t="n">
        <v>11.3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46286</v>
      </c>
      <c r="F411" t="inlineStr">
        <is>
          <t>GÄVLEBORGS LÄN</t>
        </is>
      </c>
      <c r="G411" t="inlineStr">
        <is>
          <t>NORDANSTIG</t>
        </is>
      </c>
      <c r="I411" t="n">
        <v>30.9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45950</v>
      </c>
      <c r="E412" s="1" t="n">
        <v>46286</v>
      </c>
      <c r="F412" t="inlineStr">
        <is>
          <t>GÄVLEBORGS LÄN</t>
        </is>
      </c>
      <c r="G412" t="inlineStr">
        <is>
          <t>NORDANSTIG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42780-2022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44832</v>
      </c>
      <c r="E413" s="1" t="n">
        <v>46286</v>
      </c>
      <c r="F413" t="inlineStr">
        <is>
          <t>GÄVLEBORGS LÄN</t>
        </is>
      </c>
      <c r="G413" t="inlineStr">
        <is>
          <t>NORDANSTIG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51503-2025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45950</v>
      </c>
      <c r="E414" s="1" t="n">
        <v>46286</v>
      </c>
      <c r="F414" t="inlineStr">
        <is>
          <t>GÄVLEBORGS LÄN</t>
        </is>
      </c>
      <c r="G414" t="inlineStr">
        <is>
          <t>NORDANSTIG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45951</v>
      </c>
      <c r="E415" s="1" t="n">
        <v>46286</v>
      </c>
      <c r="F415" t="inlineStr">
        <is>
          <t>GÄVLEBORGS LÄN</t>
        </is>
      </c>
      <c r="G415" t="inlineStr">
        <is>
          <t>NORDANSTIG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51740-2023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46286</v>
      </c>
      <c r="F416" t="inlineStr">
        <is>
          <t>GÄVLEBORGS LÄN</t>
        </is>
      </c>
      <c r="G416" t="inlineStr">
        <is>
          <t>NORDANSTIG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18529-2022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44686</v>
      </c>
      <c r="E417" s="1" t="n">
        <v>46286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46286</v>
      </c>
      <c r="F418" t="inlineStr">
        <is>
          <t>GÄVLEBORGS LÄN</t>
        </is>
      </c>
      <c r="G418" t="inlineStr">
        <is>
          <t>NORDANSTIG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44601</v>
      </c>
      <c r="E419" s="1" t="n">
        <v>46286</v>
      </c>
      <c r="F419" t="inlineStr">
        <is>
          <t>GÄVLEBORGS LÄN</t>
        </is>
      </c>
      <c r="G419" t="inlineStr">
        <is>
          <t>NORDANSTIG</t>
        </is>
      </c>
      <c r="I419" t="n">
        <v>8.800000000000001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45741</v>
      </c>
      <c r="E420" s="1" t="n">
        <v>46286</v>
      </c>
      <c r="F420" t="inlineStr">
        <is>
          <t>GÄVLEBORGS LÄN</t>
        </is>
      </c>
      <c r="G420" t="inlineStr">
        <is>
          <t>NORDANSTIG</t>
        </is>
      </c>
      <c r="I420" t="n">
        <v>16.7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21157-2022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44704</v>
      </c>
      <c r="E421" s="1" t="n">
        <v>46286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46286</v>
      </c>
      <c r="F422" t="inlineStr">
        <is>
          <t>GÄVLEBORGS LÄN</t>
        </is>
      </c>
      <c r="G422" t="inlineStr">
        <is>
          <t>NORDANSTIG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45141</v>
      </c>
      <c r="E423" s="1" t="n">
        <v>46286</v>
      </c>
      <c r="F423" t="inlineStr">
        <is>
          <t>GÄVLEBORGS LÄN</t>
        </is>
      </c>
      <c r="G423" t="inlineStr">
        <is>
          <t>NORDANSTIG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45946</v>
      </c>
      <c r="E424" s="1" t="n">
        <v>46286</v>
      </c>
      <c r="F424" t="inlineStr">
        <is>
          <t>GÄVLEBORGS LÄN</t>
        </is>
      </c>
      <c r="G424" t="inlineStr">
        <is>
          <t>NORDANSTIG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46286</v>
      </c>
      <c r="F425" t="inlineStr">
        <is>
          <t>GÄVLEBORGS LÄN</t>
        </is>
      </c>
      <c r="G425" t="inlineStr">
        <is>
          <t>NORDANSTIG</t>
        </is>
      </c>
      <c r="I425" t="n">
        <v>26.9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14415-2022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44652</v>
      </c>
      <c r="E426" s="1" t="n">
        <v>46286</v>
      </c>
      <c r="F426" t="inlineStr">
        <is>
          <t>GÄVLEBORGS LÄN</t>
        </is>
      </c>
      <c r="G426" t="inlineStr">
        <is>
          <t>NORDANSTIG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45297</v>
      </c>
      <c r="E427" s="1" t="n">
        <v>46286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45624</v>
      </c>
      <c r="E428" s="1" t="n">
        <v>46286</v>
      </c>
      <c r="F428" t="inlineStr">
        <is>
          <t>GÄVLEBORGS LÄN</t>
        </is>
      </c>
      <c r="G428" t="inlineStr">
        <is>
          <t>NORDANSTIG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45729</v>
      </c>
      <c r="E429" s="1" t="n">
        <v>46286</v>
      </c>
      <c r="F429" t="inlineStr">
        <is>
          <t>GÄVLEBORGS LÄN</t>
        </is>
      </c>
      <c r="G429" t="inlineStr">
        <is>
          <t>NORDANSTIG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45743</v>
      </c>
      <c r="E430" s="1" t="n">
        <v>46286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46286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53360-2025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45959</v>
      </c>
      <c r="E432" s="1" t="n">
        <v>46286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45960</v>
      </c>
      <c r="E433" s="1" t="n">
        <v>46286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46286</v>
      </c>
      <c r="F434" t="inlineStr">
        <is>
          <t>GÄVLEBORGS LÄN</t>
        </is>
      </c>
      <c r="G434" t="inlineStr">
        <is>
          <t>NORDANSTIG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54373-2025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46286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46286</v>
      </c>
      <c r="F436" t="inlineStr">
        <is>
          <t>GÄVLEBORGS LÄN</t>
        </is>
      </c>
      <c r="G436" t="inlineStr">
        <is>
          <t>NORDANSTIG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32622-2022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44783</v>
      </c>
      <c r="E437" s="1" t="n">
        <v>46286</v>
      </c>
      <c r="F437" t="inlineStr">
        <is>
          <t>GÄVLEBORGS LÄN</t>
        </is>
      </c>
      <c r="G437" t="inlineStr">
        <is>
          <t>NORDANSTIG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46286</v>
      </c>
      <c r="F438" t="inlineStr">
        <is>
          <t>GÄVLEBORGS LÄN</t>
        </is>
      </c>
      <c r="G438" t="inlineStr">
        <is>
          <t>NORDANSTIG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46286</v>
      </c>
      <c r="F439" t="inlineStr">
        <is>
          <t>GÄVLEBORGS LÄN</t>
        </is>
      </c>
      <c r="G439" t="inlineStr">
        <is>
          <t>NORDANSTIG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46042</v>
      </c>
      <c r="E440" s="1" t="n">
        <v>46286</v>
      </c>
      <c r="F440" t="inlineStr">
        <is>
          <t>GÄVLEBORGS LÄN</t>
        </is>
      </c>
      <c r="G440" t="inlineStr">
        <is>
          <t>NORDANSTIG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38298-2024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45545</v>
      </c>
      <c r="E441" s="1" t="n">
        <v>46286</v>
      </c>
      <c r="F441" t="inlineStr">
        <is>
          <t>GÄVLEBORGS LÄN</t>
        </is>
      </c>
      <c r="G441" t="inlineStr">
        <is>
          <t>NORDANSTIG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36464-2024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45537</v>
      </c>
      <c r="E442" s="1" t="n">
        <v>46286</v>
      </c>
      <c r="F442" t="inlineStr">
        <is>
          <t>GÄVLEBORGS LÄN</t>
        </is>
      </c>
      <c r="G442" t="inlineStr">
        <is>
          <t>NORDANSTIG</t>
        </is>
      </c>
      <c r="H442" t="inlineStr">
        <is>
          <t>SCA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63145-2023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45273</v>
      </c>
      <c r="E443" s="1" t="n">
        <v>46286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45748</v>
      </c>
      <c r="E444" s="1" t="n">
        <v>46286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55453-2025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46286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45971</v>
      </c>
      <c r="E446" s="1" t="n">
        <v>46286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22621-2026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46155</v>
      </c>
      <c r="E447" s="1" t="n">
        <v>46286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46100</v>
      </c>
      <c r="E448" s="1" t="n">
        <v>46286</v>
      </c>
      <c r="F448" t="inlineStr">
        <is>
          <t>GÄVLEBORGS LÄN</t>
        </is>
      </c>
      <c r="G448" t="inlineStr">
        <is>
          <t>NORDANSTIG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46026</v>
      </c>
      <c r="E449" s="1" t="n">
        <v>46286</v>
      </c>
      <c r="F449" t="inlineStr">
        <is>
          <t>GÄVLEBORGS LÄN</t>
        </is>
      </c>
      <c r="G449" t="inlineStr">
        <is>
          <t>NORDANSTIG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46286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44616</v>
      </c>
      <c r="E451" s="1" t="n">
        <v>46286</v>
      </c>
      <c r="F451" t="inlineStr">
        <is>
          <t>GÄVLEBORGS LÄN</t>
        </is>
      </c>
      <c r="G451" t="inlineStr">
        <is>
          <t>NORDANSTIG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55186-2025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45968</v>
      </c>
      <c r="E452" s="1" t="n">
        <v>46286</v>
      </c>
      <c r="F452" t="inlineStr">
        <is>
          <t>GÄVLEBORGS LÄN</t>
        </is>
      </c>
      <c r="G452" t="inlineStr">
        <is>
          <t>NORDANSTIG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46286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45020</v>
      </c>
      <c r="E454" s="1" t="n">
        <v>46286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45020</v>
      </c>
      <c r="E455" s="1" t="n">
        <v>46286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46286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55964-2025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46286</v>
      </c>
      <c r="F457" t="inlineStr">
        <is>
          <t>GÄVLEBORGS LÄN</t>
        </is>
      </c>
      <c r="G457" t="inlineStr">
        <is>
          <t>NORDANSTIG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55955-2025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45973</v>
      </c>
      <c r="E458" s="1" t="n">
        <v>46286</v>
      </c>
      <c r="F458" t="inlineStr">
        <is>
          <t>GÄVLEBORGS LÄN</t>
        </is>
      </c>
      <c r="G458" t="inlineStr">
        <is>
          <t>NORDANSTIG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44987</v>
      </c>
      <c r="E459" s="1" t="n">
        <v>46286</v>
      </c>
      <c r="F459" t="inlineStr">
        <is>
          <t>GÄVLEBORGS LÄN</t>
        </is>
      </c>
      <c r="G459" t="inlineStr">
        <is>
          <t>NORDANSTIG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46286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46286</v>
      </c>
      <c r="F461" t="inlineStr">
        <is>
          <t>GÄVLEBORGS LÄN</t>
        </is>
      </c>
      <c r="G461" t="inlineStr">
        <is>
          <t>NORDANSTIG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56056-2025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46286</v>
      </c>
      <c r="F462" t="inlineStr">
        <is>
          <t>GÄVLEBORGS LÄN</t>
        </is>
      </c>
      <c r="G462" t="inlineStr">
        <is>
          <t>NORDANSTIG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46286</v>
      </c>
      <c r="F463" t="inlineStr">
        <is>
          <t>GÄVLEBORGS LÄN</t>
        </is>
      </c>
      <c r="G463" t="inlineStr">
        <is>
          <t>NORDANSTIG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19231-2024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45428</v>
      </c>
      <c r="E464" s="1" t="n">
        <v>46286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46286</v>
      </c>
      <c r="F465" t="inlineStr">
        <is>
          <t>GÄVLEBORGS LÄN</t>
        </is>
      </c>
      <c r="G465" t="inlineStr">
        <is>
          <t>NORDANSTIG</t>
        </is>
      </c>
      <c r="I465" t="n">
        <v>15.6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45607</v>
      </c>
      <c r="E466" s="1" t="n">
        <v>46286</v>
      </c>
      <c r="F466" t="inlineStr">
        <is>
          <t>GÄVLEBORGS LÄN</t>
        </is>
      </c>
      <c r="G466" t="inlineStr">
        <is>
          <t>NORDANSTIG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56357-2025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46286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56191-2025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46286</v>
      </c>
      <c r="F468" t="inlineStr">
        <is>
          <t>GÄVLEBORGS LÄN</t>
        </is>
      </c>
      <c r="G468" t="inlineStr">
        <is>
          <t>NORDANSTIG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45979</v>
      </c>
      <c r="E469" s="1" t="n">
        <v>46286</v>
      </c>
      <c r="F469" t="inlineStr">
        <is>
          <t>GÄVLEBORGS LÄN</t>
        </is>
      </c>
      <c r="G469" t="inlineStr">
        <is>
          <t>NORDANSTIG</t>
        </is>
      </c>
      <c r="H469" t="inlineStr">
        <is>
          <t>SCA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57866-2024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45631</v>
      </c>
      <c r="E470" s="1" t="n">
        <v>46286</v>
      </c>
      <c r="F470" t="inlineStr">
        <is>
          <t>GÄVLEBORGS LÄN</t>
        </is>
      </c>
      <c r="G470" t="inlineStr">
        <is>
          <t>NORDANSTIG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54713-2024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45618</v>
      </c>
      <c r="E471" s="1" t="n">
        <v>46286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38451-2024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45546</v>
      </c>
      <c r="E472" s="1" t="n">
        <v>46286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45981</v>
      </c>
      <c r="E473" s="1" t="n">
        <v>46286</v>
      </c>
      <c r="F473" t="inlineStr">
        <is>
          <t>GÄVLEBORGS LÄN</t>
        </is>
      </c>
      <c r="G473" t="inlineStr">
        <is>
          <t>NORDANSTIG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64835-2021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44512</v>
      </c>
      <c r="E474" s="1" t="n">
        <v>46286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57558-2025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45980</v>
      </c>
      <c r="E475" s="1" t="n">
        <v>46286</v>
      </c>
      <c r="F475" t="inlineStr">
        <is>
          <t>GÄVLEBORGS LÄN</t>
        </is>
      </c>
      <c r="G475" t="inlineStr">
        <is>
          <t>NORDANSTIG</t>
        </is>
      </c>
      <c r="H475" t="inlineStr">
        <is>
          <t>SCA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57559-2025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45980</v>
      </c>
      <c r="E476" s="1" t="n">
        <v>46286</v>
      </c>
      <c r="F476" t="inlineStr">
        <is>
          <t>GÄVLEBORGS LÄN</t>
        </is>
      </c>
      <c r="G476" t="inlineStr">
        <is>
          <t>NORDANSTIG</t>
        </is>
      </c>
      <c r="H476" t="inlineStr">
        <is>
          <t>SCA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46286</v>
      </c>
      <c r="F477" t="inlineStr">
        <is>
          <t>GÄVLEBORGS LÄN</t>
        </is>
      </c>
      <c r="G477" t="inlineStr">
        <is>
          <t>NORDANSTIG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5981-2026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46052</v>
      </c>
      <c r="E478" s="1" t="n">
        <v>46286</v>
      </c>
      <c r="F478" t="inlineStr">
        <is>
          <t>GÄVLEBORGS LÄN</t>
        </is>
      </c>
      <c r="G478" t="inlineStr">
        <is>
          <t>NORDANSTIG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58522-2025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46286</v>
      </c>
      <c r="F479" t="inlineStr">
        <is>
          <t>GÄVLEBORGS LÄN</t>
        </is>
      </c>
      <c r="G479" t="inlineStr">
        <is>
          <t>NORDANSTIG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45628</v>
      </c>
      <c r="E480" s="1" t="n">
        <v>46286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37972-2022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44811</v>
      </c>
      <c r="E481" s="1" t="n">
        <v>46286</v>
      </c>
      <c r="F481" t="inlineStr">
        <is>
          <t>GÄVLEBORGS LÄN</t>
        </is>
      </c>
      <c r="G481" t="inlineStr">
        <is>
          <t>NORDANSTIG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51222-2024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46286</v>
      </c>
      <c r="F482" t="inlineStr">
        <is>
          <t>GÄVLEBORGS LÄN</t>
        </is>
      </c>
      <c r="G482" t="inlineStr">
        <is>
          <t>NORDANSTIG</t>
        </is>
      </c>
      <c r="I482" t="n">
        <v>15.1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51230-2024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45603</v>
      </c>
      <c r="E483" s="1" t="n">
        <v>46286</v>
      </c>
      <c r="F483" t="inlineStr">
        <is>
          <t>GÄVLEBORGS LÄN</t>
        </is>
      </c>
      <c r="G483" t="inlineStr">
        <is>
          <t>NORDANSTIG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33974-2022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44790</v>
      </c>
      <c r="E484" s="1" t="n">
        <v>46286</v>
      </c>
      <c r="F484" t="inlineStr">
        <is>
          <t>GÄVLEBORGS LÄN</t>
        </is>
      </c>
      <c r="G484" t="inlineStr">
        <is>
          <t>NORDANSTIG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46286</v>
      </c>
      <c r="F485" t="inlineStr">
        <is>
          <t>GÄVLEBORGS LÄN</t>
        </is>
      </c>
      <c r="G485" t="inlineStr">
        <is>
          <t>NORDANSTIG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22733-2026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46157</v>
      </c>
      <c r="E486" s="1" t="n">
        <v>46286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58533-2025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46286</v>
      </c>
      <c r="F487" t="inlineStr">
        <is>
          <t>GÄVLEBORGS LÄN</t>
        </is>
      </c>
      <c r="G487" t="inlineStr">
        <is>
          <t>NORDANSTIG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46286</v>
      </c>
      <c r="F488" t="inlineStr">
        <is>
          <t>GÄVLEBORGS LÄN</t>
        </is>
      </c>
      <c r="G488" t="inlineStr">
        <is>
          <t>NORDANSTIG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46286</v>
      </c>
      <c r="F489" t="inlineStr">
        <is>
          <t>GÄVLEBORGS LÄN</t>
        </is>
      </c>
      <c r="G489" t="inlineStr">
        <is>
          <t>NORDANSTIG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45986</v>
      </c>
      <c r="E490" s="1" t="n">
        <v>46286</v>
      </c>
      <c r="F490" t="inlineStr">
        <is>
          <t>GÄVLEBORGS LÄN</t>
        </is>
      </c>
      <c r="G490" t="inlineStr">
        <is>
          <t>NORDANSTIG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15088-2024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45399</v>
      </c>
      <c r="E491" s="1" t="n">
        <v>46286</v>
      </c>
      <c r="F491" t="inlineStr">
        <is>
          <t>GÄVLEBORGS LÄN</t>
        </is>
      </c>
      <c r="G491" t="inlineStr">
        <is>
          <t>NORDANSTIG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58749-2024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45635</v>
      </c>
      <c r="E492" s="1" t="n">
        <v>46286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34502-2024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46286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46286</v>
      </c>
      <c r="F494" t="inlineStr">
        <is>
          <t>GÄVLEBORGS LÄN</t>
        </is>
      </c>
      <c r="G494" t="inlineStr">
        <is>
          <t>NORDANSTIG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46286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59008-2025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45987</v>
      </c>
      <c r="E496" s="1" t="n">
        <v>46286</v>
      </c>
      <c r="F496" t="inlineStr">
        <is>
          <t>GÄVLEBORGS LÄN</t>
        </is>
      </c>
      <c r="G496" t="inlineStr">
        <is>
          <t>NORDANSTIG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46286</v>
      </c>
      <c r="F497" t="inlineStr">
        <is>
          <t>GÄVLEBORGS LÄN</t>
        </is>
      </c>
      <c r="G497" t="inlineStr">
        <is>
          <t>NORDANSTIG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46160</v>
      </c>
      <c r="E498" s="1" t="n">
        <v>46286</v>
      </c>
      <c r="F498" t="inlineStr">
        <is>
          <t>GÄVLEBORGS LÄN</t>
        </is>
      </c>
      <c r="G498" t="inlineStr">
        <is>
          <t>NORDANSTIG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59997-2025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45993</v>
      </c>
      <c r="E499" s="1" t="n">
        <v>46286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45622</v>
      </c>
      <c r="E500" s="1" t="n">
        <v>46286</v>
      </c>
      <c r="F500" t="inlineStr">
        <is>
          <t>GÄVLEBORGS LÄN</t>
        </is>
      </c>
      <c r="G500" t="inlineStr">
        <is>
          <t>NORDANSTIG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55538-2024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45622</v>
      </c>
      <c r="E501" s="1" t="n">
        <v>46286</v>
      </c>
      <c r="F501" t="inlineStr">
        <is>
          <t>GÄVLEBORGS LÄN</t>
        </is>
      </c>
      <c r="G501" t="inlineStr">
        <is>
          <t>NORDANSTIG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46286</v>
      </c>
      <c r="F502" t="inlineStr">
        <is>
          <t>GÄVLEBORGS LÄN</t>
        </is>
      </c>
      <c r="G502" t="inlineStr">
        <is>
          <t>NORDANSTIG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45670</v>
      </c>
      <c r="E503" s="1" t="n">
        <v>46286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65039-2023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45287</v>
      </c>
      <c r="E504" s="1" t="n">
        <v>46286</v>
      </c>
      <c r="F504" t="inlineStr">
        <is>
          <t>GÄVLEBORGS LÄN</t>
        </is>
      </c>
      <c r="G504" t="inlineStr">
        <is>
          <t>NORDANSTIG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23770-2024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45455</v>
      </c>
      <c r="E505" s="1" t="n">
        <v>46286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44596</v>
      </c>
      <c r="E506" s="1" t="n">
        <v>46286</v>
      </c>
      <c r="F506" t="inlineStr">
        <is>
          <t>GÄVLEBORGS LÄN</t>
        </is>
      </c>
      <c r="G506" t="inlineStr">
        <is>
          <t>NORDANSTIG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46286</v>
      </c>
      <c r="F507" t="inlineStr">
        <is>
          <t>GÄVLEBORGS LÄN</t>
        </is>
      </c>
      <c r="G507" t="inlineStr">
        <is>
          <t>NORDANSTIG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46286</v>
      </c>
      <c r="F508" t="inlineStr">
        <is>
          <t>GÄVLEBORGS LÄN</t>
        </is>
      </c>
      <c r="G508" t="inlineStr">
        <is>
          <t>NORDANSTIG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31899-2022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44777</v>
      </c>
      <c r="E509" s="1" t="n">
        <v>46286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46286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42796-2024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45566</v>
      </c>
      <c r="E511" s="1" t="n">
        <v>46286</v>
      </c>
      <c r="F511" t="inlineStr">
        <is>
          <t>GÄVLEBORGS LÄN</t>
        </is>
      </c>
      <c r="G511" t="inlineStr">
        <is>
          <t>NORDANSTIG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46136</v>
      </c>
      <c r="E512" s="1" t="n">
        <v>46286</v>
      </c>
      <c r="F512" t="inlineStr">
        <is>
          <t>GÄVLEBORGS LÄN</t>
        </is>
      </c>
      <c r="G512" t="inlineStr">
        <is>
          <t>NORDANSTIG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45758</v>
      </c>
      <c r="E513" s="1" t="n">
        <v>46286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46286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45686</v>
      </c>
      <c r="E515" s="1" t="n">
        <v>46286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13.4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46286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16434-2026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46286</v>
      </c>
      <c r="F517" t="inlineStr">
        <is>
          <t>GÄVLEBORGS LÄN</t>
        </is>
      </c>
      <c r="G517" t="inlineStr">
        <is>
          <t>NORDANSTIG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46286</v>
      </c>
      <c r="F518" t="inlineStr">
        <is>
          <t>GÄVLEBORGS LÄN</t>
        </is>
      </c>
      <c r="G518" t="inlineStr">
        <is>
          <t>NORDANSTIG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45999</v>
      </c>
      <c r="E519" s="1" t="n">
        <v>46286</v>
      </c>
      <c r="F519" t="inlineStr">
        <is>
          <t>GÄVLEBORGS LÄN</t>
        </is>
      </c>
      <c r="G519" t="inlineStr">
        <is>
          <t>NORDANSTIG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73748-2021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44552</v>
      </c>
      <c r="E520" s="1" t="n">
        <v>46286</v>
      </c>
      <c r="F520" t="inlineStr">
        <is>
          <t>GÄVLEBORGS LÄN</t>
        </is>
      </c>
      <c r="G520" t="inlineStr">
        <is>
          <t>NORDANSTIG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51387-2024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45604</v>
      </c>
      <c r="E521" s="1" t="n">
        <v>46286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46286</v>
      </c>
      <c r="F522" t="inlineStr">
        <is>
          <t>GÄVLEBORGS LÄN</t>
        </is>
      </c>
      <c r="G522" t="inlineStr">
        <is>
          <t>NORDANSTIG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46164</v>
      </c>
      <c r="E523" s="1" t="n">
        <v>46286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46286</v>
      </c>
      <c r="F524" t="inlineStr">
        <is>
          <t>GÄVLEBORGS LÄN</t>
        </is>
      </c>
      <c r="G524" t="inlineStr">
        <is>
          <t>NORDANSTIG</t>
        </is>
      </c>
      <c r="I524" t="n">
        <v>18.1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61072-2025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46286</v>
      </c>
      <c r="F525" t="inlineStr">
        <is>
          <t>GÄVLEBORGS LÄN</t>
        </is>
      </c>
      <c r="G525" t="inlineStr">
        <is>
          <t>NORDANSTIG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35115-2022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44797</v>
      </c>
      <c r="E526" s="1" t="n">
        <v>46286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61871-2025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46286</v>
      </c>
      <c r="F527" t="inlineStr">
        <is>
          <t>GÄVLEBORGS LÄN</t>
        </is>
      </c>
      <c r="G527" t="inlineStr">
        <is>
          <t>NORDANSTIG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45532</v>
      </c>
      <c r="E528" s="1" t="n">
        <v>46286</v>
      </c>
      <c r="F528" t="inlineStr">
        <is>
          <t>GÄVLEBORGS LÄN</t>
        </is>
      </c>
      <c r="G528" t="inlineStr">
        <is>
          <t>NORDANSTIG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38159-2022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44812</v>
      </c>
      <c r="E529" s="1" t="n">
        <v>46286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46286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50657-2024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46286</v>
      </c>
      <c r="F531" t="inlineStr">
        <is>
          <t>GÄVLEBORGS LÄN</t>
        </is>
      </c>
      <c r="G531" t="inlineStr">
        <is>
          <t>NORDANSTIG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46286</v>
      </c>
      <c r="F532" t="inlineStr">
        <is>
          <t>GÄVLEBORGS LÄN</t>
        </is>
      </c>
      <c r="G532" t="inlineStr">
        <is>
          <t>NORDANSTIG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46286</v>
      </c>
      <c r="F533" t="inlineStr">
        <is>
          <t>GÄVLEBORGS LÄN</t>
        </is>
      </c>
      <c r="G533" t="inlineStr">
        <is>
          <t>NORDANSTIG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46286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23900-2026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46167</v>
      </c>
      <c r="E535" s="1" t="n">
        <v>46286</v>
      </c>
      <c r="F535" t="inlineStr">
        <is>
          <t>GÄVLEBORGS LÄN</t>
        </is>
      </c>
      <c r="G535" t="inlineStr">
        <is>
          <t>NORDANSTIG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30978-2024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45499</v>
      </c>
      <c r="E536" s="1" t="n">
        <v>46286</v>
      </c>
      <c r="F536" t="inlineStr">
        <is>
          <t>GÄVLEBORGS LÄN</t>
        </is>
      </c>
      <c r="G536" t="inlineStr">
        <is>
          <t>NORDANSTIG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45140</v>
      </c>
      <c r="E537" s="1" t="n">
        <v>46286</v>
      </c>
      <c r="F537" t="inlineStr">
        <is>
          <t>GÄVLEBORGS LÄN</t>
        </is>
      </c>
      <c r="G537" t="inlineStr">
        <is>
          <t>NORDANSTIG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24265-2026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46169</v>
      </c>
      <c r="E538" s="1" t="n">
        <v>46286</v>
      </c>
      <c r="F538" t="inlineStr">
        <is>
          <t>GÄVLEBORGS LÄN</t>
        </is>
      </c>
      <c r="G538" t="inlineStr">
        <is>
          <t>NORDANSTIG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62833-2025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46008</v>
      </c>
      <c r="E539" s="1" t="n">
        <v>46286</v>
      </c>
      <c r="F539" t="inlineStr">
        <is>
          <t>GÄVLEBORGS LÄN</t>
        </is>
      </c>
      <c r="G539" t="inlineStr">
        <is>
          <t>NORDANSTIG</t>
        </is>
      </c>
      <c r="H539" t="inlineStr">
        <is>
          <t>SCA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45231</v>
      </c>
      <c r="E540" s="1" t="n">
        <v>46286</v>
      </c>
      <c r="F540" t="inlineStr">
        <is>
          <t>GÄVLEBORGS LÄN</t>
        </is>
      </c>
      <c r="G540" t="inlineStr">
        <is>
          <t>NORDANSTIG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45671</v>
      </c>
      <c r="E541" s="1" t="n">
        <v>46286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51541-2025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45950</v>
      </c>
      <c r="E542" s="1" t="n">
        <v>46286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46286</v>
      </c>
      <c r="F543" t="inlineStr">
        <is>
          <t>GÄVLEBORGS LÄN</t>
        </is>
      </c>
      <c r="G543" t="inlineStr">
        <is>
          <t>NORDANSTIG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35070-2022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44797</v>
      </c>
      <c r="E544" s="1" t="n">
        <v>46286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24178-2026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46168</v>
      </c>
      <c r="E545" s="1" t="n">
        <v>46286</v>
      </c>
      <c r="F545" t="inlineStr">
        <is>
          <t>GÄVLEBORGS LÄN</t>
        </is>
      </c>
      <c r="G545" t="inlineStr">
        <is>
          <t>NORDANSTIG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46286</v>
      </c>
      <c r="F546" t="inlineStr">
        <is>
          <t>GÄVLEBORGS LÄN</t>
        </is>
      </c>
      <c r="G546" t="inlineStr">
        <is>
          <t>NORDANSTIG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63986-2025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46021</v>
      </c>
      <c r="E547" s="1" t="n">
        <v>46286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46024</v>
      </c>
      <c r="E548" s="1" t="n">
        <v>46286</v>
      </c>
      <c r="F548" t="inlineStr">
        <is>
          <t>GÄVLEBORGS LÄN</t>
        </is>
      </c>
      <c r="G548" t="inlineStr">
        <is>
          <t>NORDANSTIG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46026</v>
      </c>
      <c r="E549" s="1" t="n">
        <v>46286</v>
      </c>
      <c r="F549" t="inlineStr">
        <is>
          <t>GÄVLEBORGS LÄN</t>
        </is>
      </c>
      <c r="G549" t="inlineStr">
        <is>
          <t>NORDANSTIG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46286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44960</v>
      </c>
      <c r="E551" s="1" t="n">
        <v>46286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46286</v>
      </c>
      <c r="F552" t="inlineStr">
        <is>
          <t>GÄVLEBORGS LÄN</t>
        </is>
      </c>
      <c r="G552" t="inlineStr">
        <is>
          <t>NORDANSTIG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45170</v>
      </c>
      <c r="E553" s="1" t="n">
        <v>46286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46286</v>
      </c>
      <c r="F554" t="inlineStr">
        <is>
          <t>GÄVLEBORGS LÄN</t>
        </is>
      </c>
      <c r="G554" t="inlineStr">
        <is>
          <t>NORDANSTIG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32652-2023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45121</v>
      </c>
      <c r="E555" s="1" t="n">
        <v>46286</v>
      </c>
      <c r="F555" t="inlineStr">
        <is>
          <t>GÄVLEBORGS LÄN</t>
        </is>
      </c>
      <c r="G555" t="inlineStr">
        <is>
          <t>NORDANSTIG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46286</v>
      </c>
      <c r="F556" t="inlineStr">
        <is>
          <t>GÄVLEBORGS LÄN</t>
        </is>
      </c>
      <c r="G556" t="inlineStr">
        <is>
          <t>NORDANSTIG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46286</v>
      </c>
      <c r="F557" t="inlineStr">
        <is>
          <t>GÄVLEBORGS LÄN</t>
        </is>
      </c>
      <c r="G557" t="inlineStr">
        <is>
          <t>NORDANSTIG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46286</v>
      </c>
      <c r="F558" t="inlineStr">
        <is>
          <t>GÄVLEBORGS LÄN</t>
        </is>
      </c>
      <c r="G558" t="inlineStr">
        <is>
          <t>NORDANSTIG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46286</v>
      </c>
      <c r="F559" t="inlineStr">
        <is>
          <t>GÄVLEBORGS LÄN</t>
        </is>
      </c>
      <c r="G559" t="inlineStr">
        <is>
          <t>NORDANSTIG</t>
        </is>
      </c>
      <c r="I559" t="n">
        <v>12.7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46286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46035</v>
      </c>
      <c r="E561" s="1" t="n">
        <v>46286</v>
      </c>
      <c r="F561" t="inlineStr">
        <is>
          <t>GÄVLEBORGS LÄN</t>
        </is>
      </c>
      <c r="G561" t="inlineStr">
        <is>
          <t>NORDANSTIG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46286</v>
      </c>
      <c r="F562" t="inlineStr">
        <is>
          <t>GÄVLEBORGS LÄN</t>
        </is>
      </c>
      <c r="G562" t="inlineStr">
        <is>
          <t>NORDANSTIG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46286</v>
      </c>
      <c r="F563" t="inlineStr">
        <is>
          <t>GÄVLEBORGS LÄN</t>
        </is>
      </c>
      <c r="G563" t="inlineStr">
        <is>
          <t>NORDANSTIG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46286</v>
      </c>
      <c r="F564" t="inlineStr">
        <is>
          <t>GÄVLEBORGS LÄN</t>
        </is>
      </c>
      <c r="G564" t="inlineStr">
        <is>
          <t>NORDANSTIG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20747-2023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45058</v>
      </c>
      <c r="E565" s="1" t="n">
        <v>46286</v>
      </c>
      <c r="F565" t="inlineStr">
        <is>
          <t>GÄVLEBORGS LÄN</t>
        </is>
      </c>
      <c r="G565" t="inlineStr">
        <is>
          <t>NORDANSTIG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46286</v>
      </c>
      <c r="F566" t="inlineStr">
        <is>
          <t>GÄVLEBORGS LÄN</t>
        </is>
      </c>
      <c r="G566" t="inlineStr">
        <is>
          <t>NORDANSTIG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45541</v>
      </c>
      <c r="E567" s="1" t="n">
        <v>46286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46037</v>
      </c>
      <c r="E568" s="1" t="n">
        <v>46286</v>
      </c>
      <c r="F568" t="inlineStr">
        <is>
          <t>GÄVLEBORGS LÄN</t>
        </is>
      </c>
      <c r="G568" t="inlineStr">
        <is>
          <t>NORDANSTIG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46286</v>
      </c>
      <c r="F569" t="inlineStr">
        <is>
          <t>GÄVLEBORGS LÄN</t>
        </is>
      </c>
      <c r="G569" t="inlineStr">
        <is>
          <t>NORDANSTIG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46286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46286</v>
      </c>
      <c r="F571" t="inlineStr">
        <is>
          <t>GÄVLEBORGS LÄN</t>
        </is>
      </c>
      <c r="G571" t="inlineStr">
        <is>
          <t>NORDANSTIG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45757</v>
      </c>
      <c r="E572" s="1" t="n">
        <v>46286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46286</v>
      </c>
      <c r="F573" t="inlineStr">
        <is>
          <t>GÄVLEBORGS LÄN</t>
        </is>
      </c>
      <c r="G573" t="inlineStr">
        <is>
          <t>NORDANSTIG</t>
        </is>
      </c>
      <c r="I573" t="n">
        <v>21.1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46039</v>
      </c>
      <c r="E574" s="1" t="n">
        <v>46286</v>
      </c>
      <c r="F574" t="inlineStr">
        <is>
          <t>GÄVLEBORGS LÄN</t>
        </is>
      </c>
      <c r="G574" t="inlineStr">
        <is>
          <t>NORDANSTIG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45373</v>
      </c>
      <c r="E575" s="1" t="n">
        <v>46286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46286</v>
      </c>
      <c r="F576" t="inlineStr">
        <is>
          <t>GÄVLEBORGS LÄN</t>
        </is>
      </c>
      <c r="G576" t="inlineStr">
        <is>
          <t>NORDANSTIG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58912-2024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45636</v>
      </c>
      <c r="E577" s="1" t="n">
        <v>46286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46286</v>
      </c>
      <c r="F578" t="inlineStr">
        <is>
          <t>GÄVLEBORGS LÄN</t>
        </is>
      </c>
      <c r="G578" t="inlineStr">
        <is>
          <t>NORDANSTIG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46286</v>
      </c>
      <c r="F579" t="inlineStr">
        <is>
          <t>GÄVLEBORGS LÄN</t>
        </is>
      </c>
      <c r="G579" t="inlineStr">
        <is>
          <t>NORDANSTIG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46286</v>
      </c>
      <c r="F580" t="inlineStr">
        <is>
          <t>GÄVLEBORGS LÄN</t>
        </is>
      </c>
      <c r="G580" t="inlineStr">
        <is>
          <t>NORDANSTIG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46043</v>
      </c>
      <c r="E581" s="1" t="n">
        <v>46286</v>
      </c>
      <c r="F581" t="inlineStr">
        <is>
          <t>GÄVLEBORGS LÄN</t>
        </is>
      </c>
      <c r="G581" t="inlineStr">
        <is>
          <t>NORDANSTIG</t>
        </is>
      </c>
      <c r="I581" t="n">
        <v>24.7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46286</v>
      </c>
      <c r="F582" t="inlineStr">
        <is>
          <t>GÄVLEBORGS LÄN</t>
        </is>
      </c>
      <c r="G582" t="inlineStr">
        <is>
          <t>NORDANSTIG</t>
        </is>
      </c>
      <c r="I582" t="n">
        <v>10.1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46286</v>
      </c>
      <c r="F583" t="inlineStr">
        <is>
          <t>GÄVLEBORGS LÄN</t>
        </is>
      </c>
      <c r="G583" t="inlineStr">
        <is>
          <t>NORDANSTIG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46286</v>
      </c>
      <c r="F584" t="inlineStr">
        <is>
          <t>GÄVLEBORGS LÄN</t>
        </is>
      </c>
      <c r="G584" t="inlineStr">
        <is>
          <t>NORDANSTIG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46286</v>
      </c>
      <c r="F585" t="inlineStr">
        <is>
          <t>GÄVLEBORGS LÄN</t>
        </is>
      </c>
      <c r="G585" t="inlineStr">
        <is>
          <t>NORDANSTIG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46042</v>
      </c>
      <c r="E586" s="1" t="n">
        <v>46286</v>
      </c>
      <c r="F586" t="inlineStr">
        <is>
          <t>GÄVLEBORGS LÄN</t>
        </is>
      </c>
      <c r="G586" t="inlineStr">
        <is>
          <t>NORDANSTIG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46286</v>
      </c>
      <c r="F587" t="inlineStr">
        <is>
          <t>GÄVLEBORGS LÄN</t>
        </is>
      </c>
      <c r="G587" t="inlineStr">
        <is>
          <t>NORDANSTIG</t>
        </is>
      </c>
      <c r="I587" t="n">
        <v>11.3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46286</v>
      </c>
      <c r="F588" t="inlineStr">
        <is>
          <t>GÄVLEBORGS LÄN</t>
        </is>
      </c>
      <c r="G588" t="inlineStr">
        <is>
          <t>NORDANSTIG</t>
        </is>
      </c>
      <c r="I588" t="n">
        <v>8.4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46029</v>
      </c>
      <c r="E589" s="1" t="n">
        <v>46286</v>
      </c>
      <c r="F589" t="inlineStr">
        <is>
          <t>GÄVLEBORGS LÄN</t>
        </is>
      </c>
      <c r="G589" t="inlineStr">
        <is>
          <t>NORDANSTIG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46286</v>
      </c>
      <c r="F590" t="inlineStr">
        <is>
          <t>GÄVLEBORGS LÄN</t>
        </is>
      </c>
      <c r="G590" t="inlineStr">
        <is>
          <t>NORDANSTIG</t>
        </is>
      </c>
      <c r="I590" t="n">
        <v>11.5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17052-2023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45034</v>
      </c>
      <c r="E591" s="1" t="n">
        <v>46286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8.6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18988-2022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44690</v>
      </c>
      <c r="E592" s="1" t="n">
        <v>46286</v>
      </c>
      <c r="F592" t="inlineStr">
        <is>
          <t>GÄVLEBORGS LÄN</t>
        </is>
      </c>
      <c r="G592" t="inlineStr">
        <is>
          <t>NORDANSTIG</t>
        </is>
      </c>
      <c r="I592" t="n">
        <v>9.300000000000001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46286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4128-2026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46286</v>
      </c>
      <c r="F594" t="inlineStr">
        <is>
          <t>GÄVLEBORGS LÄN</t>
        </is>
      </c>
      <c r="G594" t="inlineStr">
        <is>
          <t>NORDANSTIG</t>
        </is>
      </c>
      <c r="I594" t="n">
        <v>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46044</v>
      </c>
      <c r="E595" s="1" t="n">
        <v>46286</v>
      </c>
      <c r="F595" t="inlineStr">
        <is>
          <t>GÄVLEBORGS LÄN</t>
        </is>
      </c>
      <c r="G595" t="inlineStr">
        <is>
          <t>NORDANSTIG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46044</v>
      </c>
      <c r="E596" s="1" t="n">
        <v>46286</v>
      </c>
      <c r="F596" t="inlineStr">
        <is>
          <t>GÄVLEBORGS LÄN</t>
        </is>
      </c>
      <c r="G596" t="inlineStr">
        <is>
          <t>NORDANSTIG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4370-2026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46286</v>
      </c>
      <c r="F597" t="inlineStr">
        <is>
          <t>GÄVLEBORGS LÄN</t>
        </is>
      </c>
      <c r="G597" t="inlineStr">
        <is>
          <t>NORDANSTIG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46286</v>
      </c>
      <c r="F598" t="inlineStr">
        <is>
          <t>GÄVLEBORGS LÄN</t>
        </is>
      </c>
      <c r="G598" t="inlineStr">
        <is>
          <t>NORDANSTIG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46286</v>
      </c>
      <c r="F599" t="inlineStr">
        <is>
          <t>GÄVLEBORGS LÄN</t>
        </is>
      </c>
      <c r="G599" t="inlineStr">
        <is>
          <t>NORDANSTIG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46286</v>
      </c>
      <c r="F600" t="inlineStr">
        <is>
          <t>GÄVLEBORGS LÄN</t>
        </is>
      </c>
      <c r="G600" t="inlineStr">
        <is>
          <t>NORDANSTIG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46286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46286</v>
      </c>
      <c r="F602" t="inlineStr">
        <is>
          <t>GÄVLEBORGS LÄN</t>
        </is>
      </c>
      <c r="G602" t="inlineStr">
        <is>
          <t>NORDANSTIG</t>
        </is>
      </c>
      <c r="I602" t="n">
        <v>15.3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46171</v>
      </c>
      <c r="E603" s="1" t="n">
        <v>46286</v>
      </c>
      <c r="F603" t="inlineStr">
        <is>
          <t>GÄVLEBORGS LÄN</t>
        </is>
      </c>
      <c r="G603" t="inlineStr">
        <is>
          <t>NORDANSTIG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46286</v>
      </c>
      <c r="F604" t="inlineStr">
        <is>
          <t>GÄVLEBORGS LÄN</t>
        </is>
      </c>
      <c r="G604" t="inlineStr">
        <is>
          <t>NORDANSTIG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46286</v>
      </c>
      <c r="F605" t="inlineStr">
        <is>
          <t>GÄVLEBORGS LÄN</t>
        </is>
      </c>
      <c r="G605" t="inlineStr">
        <is>
          <t>NORDANSTIG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3819-2026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46286</v>
      </c>
      <c r="F606" t="inlineStr">
        <is>
          <t>GÄVLEBORGS LÄN</t>
        </is>
      </c>
      <c r="G606" t="inlineStr">
        <is>
          <t>NORDANSTIG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46286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46286</v>
      </c>
      <c r="F608" t="inlineStr">
        <is>
          <t>GÄVLEBORGS LÄN</t>
        </is>
      </c>
      <c r="G608" t="inlineStr">
        <is>
          <t>NORDANSTIG</t>
        </is>
      </c>
      <c r="I608" t="n">
        <v>15.3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25166-2026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46175</v>
      </c>
      <c r="E609" s="1" t="n">
        <v>46286</v>
      </c>
      <c r="F609" t="inlineStr">
        <is>
          <t>GÄVLEBORGS LÄN</t>
        </is>
      </c>
      <c r="G609" t="inlineStr">
        <is>
          <t>NORDANSTIG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4695-2026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46286</v>
      </c>
      <c r="F610" t="inlineStr">
        <is>
          <t>GÄVLEBORGS LÄN</t>
        </is>
      </c>
      <c r="G610" t="inlineStr">
        <is>
          <t>NORDANSTIG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46286</v>
      </c>
      <c r="F611" t="inlineStr">
        <is>
          <t>GÄVLEBORGS LÄN</t>
        </is>
      </c>
      <c r="G611" t="inlineStr">
        <is>
          <t>NORDANSTIG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46175</v>
      </c>
      <c r="E612" s="1" t="n">
        <v>46286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46136</v>
      </c>
      <c r="E613" s="1" t="n">
        <v>46286</v>
      </c>
      <c r="F613" t="inlineStr">
        <is>
          <t>GÄVLEBORGS LÄN</t>
        </is>
      </c>
      <c r="G613" t="inlineStr">
        <is>
          <t>NORDANSTIG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46286</v>
      </c>
      <c r="F614" t="inlineStr">
        <is>
          <t>GÄVLEBORGS LÄN</t>
        </is>
      </c>
      <c r="G614" t="inlineStr">
        <is>
          <t>NORDANSTIG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46286</v>
      </c>
      <c r="F615" t="inlineStr">
        <is>
          <t>GÄVLEBORGS LÄN</t>
        </is>
      </c>
      <c r="G615" t="inlineStr">
        <is>
          <t>NORDANSTIG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46286</v>
      </c>
      <c r="F616" t="inlineStr">
        <is>
          <t>GÄVLEBORGS LÄN</t>
        </is>
      </c>
      <c r="G616" t="inlineStr">
        <is>
          <t>NORDANSTIG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45140</v>
      </c>
      <c r="E617" s="1" t="n">
        <v>46286</v>
      </c>
      <c r="F617" t="inlineStr">
        <is>
          <t>GÄVLEBORGS LÄN</t>
        </is>
      </c>
      <c r="G617" t="inlineStr">
        <is>
          <t>NORDANSTIG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46286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46050</v>
      </c>
      <c r="E619" s="1" t="n">
        <v>46286</v>
      </c>
      <c r="F619" t="inlineStr">
        <is>
          <t>GÄVLEBORGS LÄN</t>
        </is>
      </c>
      <c r="G619" t="inlineStr">
        <is>
          <t>NORDANSTIG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46050</v>
      </c>
      <c r="E620" s="1" t="n">
        <v>46286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46286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5603-2026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46286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46286</v>
      </c>
      <c r="F623" t="inlineStr">
        <is>
          <t>GÄVLEBORGS LÄN</t>
        </is>
      </c>
      <c r="G623" t="inlineStr">
        <is>
          <t>NORDANSTIG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46053</v>
      </c>
      <c r="E624" s="1" t="n">
        <v>46286</v>
      </c>
      <c r="F624" t="inlineStr">
        <is>
          <t>GÄVLEBORGS LÄN</t>
        </is>
      </c>
      <c r="G624" t="inlineStr">
        <is>
          <t>NORDANSTIG</t>
        </is>
      </c>
      <c r="I624" t="n">
        <v>45.3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6279-2026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46286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46286</v>
      </c>
      <c r="F626" t="inlineStr">
        <is>
          <t>GÄVLEBORGS LÄN</t>
        </is>
      </c>
      <c r="G626" t="inlineStr">
        <is>
          <t>NORDANSTIG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46286</v>
      </c>
      <c r="F627" t="inlineStr">
        <is>
          <t>GÄVLEBORGS LÄN</t>
        </is>
      </c>
      <c r="G627" t="inlineStr">
        <is>
          <t>NORDANSTIG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46286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46286</v>
      </c>
      <c r="F629" t="inlineStr">
        <is>
          <t>GÄVLEBORGS LÄN</t>
        </is>
      </c>
      <c r="G629" t="inlineStr">
        <is>
          <t>NORDANSTIG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46286</v>
      </c>
      <c r="F630" t="inlineStr">
        <is>
          <t>GÄVLEBORGS LÄN</t>
        </is>
      </c>
      <c r="G630" t="inlineStr">
        <is>
          <t>NORDANSTIG</t>
        </is>
      </c>
      <c r="I630" t="n">
        <v>10.2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47876-2023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45204</v>
      </c>
      <c r="E631" s="1" t="n">
        <v>46286</v>
      </c>
      <c r="F631" t="inlineStr">
        <is>
          <t>GÄVLEBORGS LÄN</t>
        </is>
      </c>
      <c r="G631" t="inlineStr">
        <is>
          <t>NORDANSTIG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46053</v>
      </c>
      <c r="E632" s="1" t="n">
        <v>46286</v>
      </c>
      <c r="F632" t="inlineStr">
        <is>
          <t>GÄVLEBORGS LÄN</t>
        </is>
      </c>
      <c r="G632" t="inlineStr">
        <is>
          <t>NORDANSTIG</t>
        </is>
      </c>
      <c r="I632" t="n">
        <v>9.1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46042</v>
      </c>
      <c r="E633" s="1" t="n">
        <v>46286</v>
      </c>
      <c r="F633" t="inlineStr">
        <is>
          <t>GÄVLEBORGS LÄN</t>
        </is>
      </c>
      <c r="G633" t="inlineStr">
        <is>
          <t>NORDANSTIG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57863-2024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45631</v>
      </c>
      <c r="E634" s="1" t="n">
        <v>46286</v>
      </c>
      <c r="F634" t="inlineStr">
        <is>
          <t>GÄVLEBORGS LÄN</t>
        </is>
      </c>
      <c r="G634" t="inlineStr">
        <is>
          <t>NORDANSTIG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46056</v>
      </c>
      <c r="E635" s="1" t="n">
        <v>46286</v>
      </c>
      <c r="F635" t="inlineStr">
        <is>
          <t>GÄVLEBORGS LÄN</t>
        </is>
      </c>
      <c r="G635" t="inlineStr">
        <is>
          <t>NORDANSTIG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46286</v>
      </c>
      <c r="F636" t="inlineStr">
        <is>
          <t>GÄVLEBORGS LÄN</t>
        </is>
      </c>
      <c r="G636" t="inlineStr">
        <is>
          <t>NORDANSTIG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46057</v>
      </c>
      <c r="E637" s="1" t="n">
        <v>46286</v>
      </c>
      <c r="F637" t="inlineStr">
        <is>
          <t>GÄVLEBORGS LÄN</t>
        </is>
      </c>
      <c r="G637" t="inlineStr">
        <is>
          <t>NORDANSTIG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46057</v>
      </c>
      <c r="E638" s="1" t="n">
        <v>46286</v>
      </c>
      <c r="F638" t="inlineStr">
        <is>
          <t>GÄVLEBORGS LÄN</t>
        </is>
      </c>
      <c r="G638" t="inlineStr">
        <is>
          <t>NORDANSTIG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44930</v>
      </c>
      <c r="E639" s="1" t="n">
        <v>46286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44938</v>
      </c>
      <c r="E640" s="1" t="n">
        <v>46286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46057</v>
      </c>
      <c r="E641" s="1" t="n">
        <v>46286</v>
      </c>
      <c r="F641" t="inlineStr">
        <is>
          <t>GÄVLEBORGS LÄN</t>
        </is>
      </c>
      <c r="G641" t="inlineStr">
        <is>
          <t>NORDANSTIG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46286</v>
      </c>
      <c r="F642" t="inlineStr">
        <is>
          <t>GÄVLEBORGS LÄN</t>
        </is>
      </c>
      <c r="G642" t="inlineStr">
        <is>
          <t>NORDANSTIG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45297</v>
      </c>
      <c r="E643" s="1" t="n">
        <v>46286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11113-2026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46079</v>
      </c>
      <c r="E644" s="1" t="n">
        <v>46286</v>
      </c>
      <c r="F644" t="inlineStr">
        <is>
          <t>GÄVLEBORGS LÄN</t>
        </is>
      </c>
      <c r="G644" t="inlineStr">
        <is>
          <t>NORDANSTIG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46286</v>
      </c>
      <c r="F645" t="inlineStr">
        <is>
          <t>GÄVLEBORGS LÄN</t>
        </is>
      </c>
      <c r="G645" t="inlineStr">
        <is>
          <t>NORDANSTIG</t>
        </is>
      </c>
      <c r="H645" t="inlineStr">
        <is>
          <t>SCA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5479-2023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44960</v>
      </c>
      <c r="E646" s="1" t="n">
        <v>46286</v>
      </c>
      <c r="F646" t="inlineStr">
        <is>
          <t>GÄVLEBORGS LÄN</t>
        </is>
      </c>
      <c r="G646" t="inlineStr">
        <is>
          <t>NORDANSTIG</t>
        </is>
      </c>
      <c r="I646" t="n">
        <v>17.6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25704-2026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46286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46286</v>
      </c>
      <c r="F648" t="inlineStr">
        <is>
          <t>GÄVLEBORGS LÄN</t>
        </is>
      </c>
      <c r="G648" t="inlineStr">
        <is>
          <t>NORDANSTIG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7783-2026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46062</v>
      </c>
      <c r="E649" s="1" t="n">
        <v>46286</v>
      </c>
      <c r="F649" t="inlineStr">
        <is>
          <t>GÄVLEBORGS LÄN</t>
        </is>
      </c>
      <c r="G649" t="inlineStr">
        <is>
          <t>NORDANSTIG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7831-2026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46286</v>
      </c>
      <c r="F650" t="inlineStr">
        <is>
          <t>GÄVLEBORGS LÄN</t>
        </is>
      </c>
      <c r="G650" t="inlineStr">
        <is>
          <t>NORDANSTIG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7863-2026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46286</v>
      </c>
      <c r="F651" t="inlineStr">
        <is>
          <t>GÄVLEBORGS LÄN</t>
        </is>
      </c>
      <c r="G651" t="inlineStr">
        <is>
          <t>NORDANSTIG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46286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35.4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10137-2024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45364</v>
      </c>
      <c r="E653" s="1" t="n">
        <v>46286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7691-2026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46286</v>
      </c>
      <c r="F654" t="inlineStr">
        <is>
          <t>GÄVLEBORGS LÄN</t>
        </is>
      </c>
      <c r="G654" t="inlineStr">
        <is>
          <t>NORDANSTIG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45539</v>
      </c>
      <c r="E655" s="1" t="n">
        <v>46286</v>
      </c>
      <c r="F655" t="inlineStr">
        <is>
          <t>GÄVLEBORGS LÄN</t>
        </is>
      </c>
      <c r="G655" t="inlineStr">
        <is>
          <t>NORDANSTIG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25931-2026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46179</v>
      </c>
      <c r="E656" s="1" t="n">
        <v>46286</v>
      </c>
      <c r="F656" t="inlineStr">
        <is>
          <t>GÄVLEBORGS LÄN</t>
        </is>
      </c>
      <c r="G656" t="inlineStr">
        <is>
          <t>NORDANSTIG</t>
        </is>
      </c>
      <c r="I656" t="n">
        <v>8.4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25633-2026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46286</v>
      </c>
      <c r="F657" t="inlineStr">
        <is>
          <t>GÄVLEBORGS LÄN</t>
        </is>
      </c>
      <c r="G657" t="inlineStr">
        <is>
          <t>NORDANSTIG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7944-2026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46063</v>
      </c>
      <c r="E658" s="1" t="n">
        <v>46286</v>
      </c>
      <c r="F658" t="inlineStr">
        <is>
          <t>GÄVLEBORGS LÄN</t>
        </is>
      </c>
      <c r="G658" t="inlineStr">
        <is>
          <t>NORDANSTIG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7772-2026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46286</v>
      </c>
      <c r="F659" t="inlineStr">
        <is>
          <t>GÄVLEBORGS LÄN</t>
        </is>
      </c>
      <c r="G659" t="inlineStr">
        <is>
          <t>NORDANSTIG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7928-2026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46063</v>
      </c>
      <c r="E660" s="1" t="n">
        <v>46286</v>
      </c>
      <c r="F660" t="inlineStr">
        <is>
          <t>GÄVLEBORGS LÄN</t>
        </is>
      </c>
      <c r="G660" t="inlineStr">
        <is>
          <t>NORDANSTIG</t>
        </is>
      </c>
      <c r="I660" t="n">
        <v>13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46064</v>
      </c>
      <c r="E661" s="1" t="n">
        <v>46286</v>
      </c>
      <c r="F661" t="inlineStr">
        <is>
          <t>GÄVLEBORGS LÄN</t>
        </is>
      </c>
      <c r="G661" t="inlineStr">
        <is>
          <t>NORDANSTIG</t>
        </is>
      </c>
      <c r="I661" t="n">
        <v>10.5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8281-2026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46286</v>
      </c>
      <c r="F662" t="inlineStr">
        <is>
          <t>GÄVLEBORGS LÄN</t>
        </is>
      </c>
      <c r="G662" t="inlineStr">
        <is>
          <t>NORDANSTIG</t>
        </is>
      </c>
      <c r="I662" t="n">
        <v>38.1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9131-2024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45358</v>
      </c>
      <c r="E663" s="1" t="n">
        <v>46286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8407-2026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46286</v>
      </c>
      <c r="F664" t="inlineStr">
        <is>
          <t>GÄVLEBORGS LÄN</t>
        </is>
      </c>
      <c r="G664" t="inlineStr">
        <is>
          <t>NORDANSTIG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46064</v>
      </c>
      <c r="E665" s="1" t="n">
        <v>46286</v>
      </c>
      <c r="F665" t="inlineStr">
        <is>
          <t>GÄVLEBORGS LÄN</t>
        </is>
      </c>
      <c r="G665" t="inlineStr">
        <is>
          <t>NORDANSTIG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46286</v>
      </c>
      <c r="F666" t="inlineStr">
        <is>
          <t>GÄVLEBORGS LÄN</t>
        </is>
      </c>
      <c r="G666" t="inlineStr">
        <is>
          <t>NORDANSTIG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16640-2025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45754</v>
      </c>
      <c r="E667" s="1" t="n">
        <v>46286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46286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46286</v>
      </c>
      <c r="F669" t="inlineStr">
        <is>
          <t>GÄVLEBORGS LÄN</t>
        </is>
      </c>
      <c r="G669" t="inlineStr">
        <is>
          <t>NORDANSTIG</t>
        </is>
      </c>
      <c r="I669" t="n">
        <v>19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44952</v>
      </c>
      <c r="E670" s="1" t="n">
        <v>46286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9032-2026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46286</v>
      </c>
      <c r="F671" t="inlineStr">
        <is>
          <t>GÄVLEBORGS LÄN</t>
        </is>
      </c>
      <c r="G671" t="inlineStr">
        <is>
          <t>NORDANSTIG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8711-2026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46066</v>
      </c>
      <c r="E672" s="1" t="n">
        <v>46286</v>
      </c>
      <c r="F672" t="inlineStr">
        <is>
          <t>GÄVLEBORGS LÄN</t>
        </is>
      </c>
      <c r="G672" t="inlineStr">
        <is>
          <t>NORDANSTIG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8998-2026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46069</v>
      </c>
      <c r="E673" s="1" t="n">
        <v>46286</v>
      </c>
      <c r="F673" t="inlineStr">
        <is>
          <t>GÄVLEBORGS LÄN</t>
        </is>
      </c>
      <c r="G673" t="inlineStr">
        <is>
          <t>NORDANSTIG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11627-2026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46084</v>
      </c>
      <c r="E674" s="1" t="n">
        <v>46286</v>
      </c>
      <c r="F674" t="inlineStr">
        <is>
          <t>GÄVLEBORGS LÄN</t>
        </is>
      </c>
      <c r="G674" t="inlineStr">
        <is>
          <t>NORDANSTIG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46066</v>
      </c>
      <c r="E675" s="1" t="n">
        <v>46286</v>
      </c>
      <c r="F675" t="inlineStr">
        <is>
          <t>GÄVLEBORGS LÄN</t>
        </is>
      </c>
      <c r="G675" t="inlineStr">
        <is>
          <t>NORDANSTIG</t>
        </is>
      </c>
      <c r="H675" t="inlineStr">
        <is>
          <t>Naturvårdsverket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46069</v>
      </c>
      <c r="E676" s="1" t="n">
        <v>46286</v>
      </c>
      <c r="F676" t="inlineStr">
        <is>
          <t>GÄVLEBORGS LÄN</t>
        </is>
      </c>
      <c r="G676" t="inlineStr">
        <is>
          <t>NORDANSTIG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9425-2026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46286</v>
      </c>
      <c r="F677" t="inlineStr">
        <is>
          <t>GÄVLEBORGS LÄN</t>
        </is>
      </c>
      <c r="G677" t="inlineStr">
        <is>
          <t>NORDANSTIG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46286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9496-2026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46071</v>
      </c>
      <c r="E679" s="1" t="n">
        <v>46286</v>
      </c>
      <c r="F679" t="inlineStr">
        <is>
          <t>GÄVLEBORGS LÄN</t>
        </is>
      </c>
      <c r="G679" t="inlineStr">
        <is>
          <t>NORDANSTIG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9500-2026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46286</v>
      </c>
      <c r="F680" t="inlineStr">
        <is>
          <t>GÄVLEBORGS LÄN</t>
        </is>
      </c>
      <c r="G680" t="inlineStr">
        <is>
          <t>NORDANSTIG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9590-2026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46286</v>
      </c>
      <c r="F681" t="inlineStr">
        <is>
          <t>GÄVLEBORGS LÄN</t>
        </is>
      </c>
      <c r="G681" t="inlineStr">
        <is>
          <t>NORDANSTIG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9204-2026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46070</v>
      </c>
      <c r="E682" s="1" t="n">
        <v>46286</v>
      </c>
      <c r="F682" t="inlineStr">
        <is>
          <t>GÄVLEBORGS LÄN</t>
        </is>
      </c>
      <c r="G682" t="inlineStr">
        <is>
          <t>NORDANSTIG</t>
        </is>
      </c>
      <c r="I682" t="n">
        <v>15.6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9340-2026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46070</v>
      </c>
      <c r="E683" s="1" t="n">
        <v>46286</v>
      </c>
      <c r="F683" t="inlineStr">
        <is>
          <t>GÄVLEBORGS LÄN</t>
        </is>
      </c>
      <c r="G683" t="inlineStr">
        <is>
          <t>NORDANSTIG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26044-2026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46181</v>
      </c>
      <c r="E684" s="1" t="n">
        <v>46286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9516-2026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46286</v>
      </c>
      <c r="F685" t="inlineStr">
        <is>
          <t>GÄVLEBORGS LÄN</t>
        </is>
      </c>
      <c r="G685" t="inlineStr">
        <is>
          <t>NORDANSTIG</t>
        </is>
      </c>
      <c r="I685" t="n">
        <v>12.2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46286</v>
      </c>
      <c r="F686" t="inlineStr">
        <is>
          <t>GÄVLEBORGS LÄN</t>
        </is>
      </c>
      <c r="G686" t="inlineStr">
        <is>
          <t>NORDANSTIG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9361-2026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46070</v>
      </c>
      <c r="E687" s="1" t="n">
        <v>46286</v>
      </c>
      <c r="F687" t="inlineStr">
        <is>
          <t>GÄVLEBORGS LÄN</t>
        </is>
      </c>
      <c r="G687" t="inlineStr">
        <is>
          <t>NORDANSTIG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46376-2024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45582</v>
      </c>
      <c r="E688" s="1" t="n">
        <v>46286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9969-2026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46073</v>
      </c>
      <c r="E689" s="1" t="n">
        <v>46286</v>
      </c>
      <c r="F689" t="inlineStr">
        <is>
          <t>GÄVLEBORGS LÄN</t>
        </is>
      </c>
      <c r="G689" t="inlineStr">
        <is>
          <t>NORDANSTIG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26238-2026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46182</v>
      </c>
      <c r="E690" s="1" t="n">
        <v>46286</v>
      </c>
      <c r="F690" t="inlineStr">
        <is>
          <t>GÄVLEBORGS LÄN</t>
        </is>
      </c>
      <c r="G690" t="inlineStr">
        <is>
          <t>NORDANSTIG</t>
        </is>
      </c>
      <c r="H690" t="inlineStr">
        <is>
          <t>SCA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9780-2026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46286</v>
      </c>
      <c r="F691" t="inlineStr">
        <is>
          <t>GÄVLEBORGS LÄN</t>
        </is>
      </c>
      <c r="G691" t="inlineStr">
        <is>
          <t>NORDANSTIG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9685-2026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46286</v>
      </c>
      <c r="F692" t="inlineStr">
        <is>
          <t>GÄVLEBORGS LÄN</t>
        </is>
      </c>
      <c r="G692" t="inlineStr">
        <is>
          <t>NORDANSTIG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46073</v>
      </c>
      <c r="E693" s="1" t="n">
        <v>46286</v>
      </c>
      <c r="F693" t="inlineStr">
        <is>
          <t>GÄVLEBORGS LÄN</t>
        </is>
      </c>
      <c r="G693" t="inlineStr">
        <is>
          <t>NORDANSTIG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46286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46286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22547-2022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44713</v>
      </c>
      <c r="E696" s="1" t="n">
        <v>46286</v>
      </c>
      <c r="F696" t="inlineStr">
        <is>
          <t>GÄVLEBORGS LÄN</t>
        </is>
      </c>
      <c r="G696" t="inlineStr">
        <is>
          <t>NORDANSTIG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10310-2026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46286</v>
      </c>
      <c r="F697" t="inlineStr">
        <is>
          <t>GÄVLEBORGS LÄN</t>
        </is>
      </c>
      <c r="G697" t="inlineStr">
        <is>
          <t>NORDANSTIG</t>
        </is>
      </c>
      <c r="I697" t="n">
        <v>7.8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30816-2022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44765</v>
      </c>
      <c r="E698" s="1" t="n">
        <v>46286</v>
      </c>
      <c r="F698" t="inlineStr">
        <is>
          <t>GÄVLEBORGS LÄN</t>
        </is>
      </c>
      <c r="G698" t="inlineStr">
        <is>
          <t>NORDANSTIG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9883-2026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46073</v>
      </c>
      <c r="E699" s="1" t="n">
        <v>46286</v>
      </c>
      <c r="F699" t="inlineStr">
        <is>
          <t>GÄVLEBORGS LÄN</t>
        </is>
      </c>
      <c r="G699" t="inlineStr">
        <is>
          <t>NORDANSTIG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46286</v>
      </c>
      <c r="F700" t="inlineStr">
        <is>
          <t>GÄVLEBORGS LÄN</t>
        </is>
      </c>
      <c r="G700" t="inlineStr">
        <is>
          <t>NORDANSTIG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46286</v>
      </c>
      <c r="F701" t="inlineStr">
        <is>
          <t>GÄVLEBORGS LÄN</t>
        </is>
      </c>
      <c r="G701" t="inlineStr">
        <is>
          <t>NORDANSTIG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10655-2026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46078</v>
      </c>
      <c r="E702" s="1" t="n">
        <v>46286</v>
      </c>
      <c r="F702" t="inlineStr">
        <is>
          <t>GÄVLEBORGS LÄN</t>
        </is>
      </c>
      <c r="G702" t="inlineStr">
        <is>
          <t>NORDANSTIG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38342-2024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46286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10993-2026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46079</v>
      </c>
      <c r="E704" s="1" t="n">
        <v>46286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46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10984-2026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46079</v>
      </c>
      <c r="E705" s="1" t="n">
        <v>46286</v>
      </c>
      <c r="F705" t="inlineStr">
        <is>
          <t>GÄVLEBORGS LÄN</t>
        </is>
      </c>
      <c r="G705" t="inlineStr">
        <is>
          <t>NORDANSTIG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46286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11307-2026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46080</v>
      </c>
      <c r="E707" s="1" t="n">
        <v>46286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11713-2026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46084</v>
      </c>
      <c r="E708" s="1" t="n">
        <v>46286</v>
      </c>
      <c r="F708" t="inlineStr">
        <is>
          <t>GÄVLEBORGS LÄN</t>
        </is>
      </c>
      <c r="G708" t="inlineStr">
        <is>
          <t>NORDANSTIG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26634-2026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46286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11586-2026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46084</v>
      </c>
      <c r="E710" s="1" t="n">
        <v>46286</v>
      </c>
      <c r="F710" t="inlineStr">
        <is>
          <t>GÄVLEBORGS LÄN</t>
        </is>
      </c>
      <c r="G710" t="inlineStr">
        <is>
          <t>NORDANSTIG</t>
        </is>
      </c>
      <c r="I710" t="n">
        <v>10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11592-2026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46084</v>
      </c>
      <c r="E711" s="1" t="n">
        <v>46286</v>
      </c>
      <c r="F711" t="inlineStr">
        <is>
          <t>GÄVLEBORGS LÄN</t>
        </is>
      </c>
      <c r="G711" t="inlineStr">
        <is>
          <t>NORDANSTIG</t>
        </is>
      </c>
      <c r="I711" t="n">
        <v>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27183-2026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46286</v>
      </c>
      <c r="F712" t="inlineStr">
        <is>
          <t>GÄVLEBORGS LÄN</t>
        </is>
      </c>
      <c r="G712" t="inlineStr">
        <is>
          <t>NORDANSTIG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11578-2026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46084</v>
      </c>
      <c r="E713" s="1" t="n">
        <v>46286</v>
      </c>
      <c r="F713" t="inlineStr">
        <is>
          <t>GÄVLEBORGS LÄN</t>
        </is>
      </c>
      <c r="G713" t="inlineStr">
        <is>
          <t>NORDANSTIG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46286</v>
      </c>
      <c r="F714" t="inlineStr">
        <is>
          <t>GÄVLEBORGS LÄN</t>
        </is>
      </c>
      <c r="G714" t="inlineStr">
        <is>
          <t>NORDANSTIG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11581-2026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46084</v>
      </c>
      <c r="E715" s="1" t="n">
        <v>46286</v>
      </c>
      <c r="F715" t="inlineStr">
        <is>
          <t>GÄVLEBORGS LÄN</t>
        </is>
      </c>
      <c r="G715" t="inlineStr">
        <is>
          <t>NORDANSTIG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59297-2024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46286</v>
      </c>
      <c r="F716" t="inlineStr">
        <is>
          <t>GÄVLEBORGS LÄN</t>
        </is>
      </c>
      <c r="G716" t="inlineStr">
        <is>
          <t>NORDANSTIG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46286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25.3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21473-2023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45063</v>
      </c>
      <c r="E718" s="1" t="n">
        <v>46286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12085-2026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46086</v>
      </c>
      <c r="E719" s="1" t="n">
        <v>46286</v>
      </c>
      <c r="F719" t="inlineStr">
        <is>
          <t>GÄVLEBORGS LÄN</t>
        </is>
      </c>
      <c r="G719" t="inlineStr">
        <is>
          <t>NORDANSTIG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46286</v>
      </c>
      <c r="F720" t="inlineStr">
        <is>
          <t>GÄVLEBORGS LÄN</t>
        </is>
      </c>
      <c r="G720" t="inlineStr">
        <is>
          <t>NORDANSTIG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27149-2026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46286</v>
      </c>
      <c r="F721" t="inlineStr">
        <is>
          <t>GÄVLEBORGS LÄN</t>
        </is>
      </c>
      <c r="G721" t="inlineStr">
        <is>
          <t>NORDANSTIG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27114-2026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46286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36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46286</v>
      </c>
      <c r="F723" t="inlineStr">
        <is>
          <t>GÄVLEBORGS LÄN</t>
        </is>
      </c>
      <c r="G723" t="inlineStr">
        <is>
          <t>NORDANSTIG</t>
        </is>
      </c>
      <c r="I723" t="n">
        <v>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12328-2026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46087</v>
      </c>
      <c r="E724" s="1" t="n">
        <v>46286</v>
      </c>
      <c r="F724" t="inlineStr">
        <is>
          <t>GÄVLEBORGS LÄN</t>
        </is>
      </c>
      <c r="G724" t="inlineStr">
        <is>
          <t>NORDANSTIG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27150-2026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46188</v>
      </c>
      <c r="E725" s="1" t="n">
        <v>46286</v>
      </c>
      <c r="F725" t="inlineStr">
        <is>
          <t>GÄVLEBORGS LÄN</t>
        </is>
      </c>
      <c r="G725" t="inlineStr">
        <is>
          <t>NORDANSTIG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45037</v>
      </c>
      <c r="E726" s="1" t="n">
        <v>46286</v>
      </c>
      <c r="F726" t="inlineStr">
        <is>
          <t>GÄVLEBORGS LÄN</t>
        </is>
      </c>
      <c r="G726" t="inlineStr">
        <is>
          <t>NORDANSTIG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36025-2023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46286</v>
      </c>
      <c r="F727" t="inlineStr">
        <is>
          <t>GÄVLEBORGS LÄN</t>
        </is>
      </c>
      <c r="G727" t="inlineStr">
        <is>
          <t>NORDANSTIG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12334-2026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46087</v>
      </c>
      <c r="E728" s="1" t="n">
        <v>46286</v>
      </c>
      <c r="F728" t="inlineStr">
        <is>
          <t>GÄVLEBORGS LÄN</t>
        </is>
      </c>
      <c r="G728" t="inlineStr">
        <is>
          <t>NORDANSTIG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41616-2023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45175</v>
      </c>
      <c r="E729" s="1" t="n">
        <v>46286</v>
      </c>
      <c r="F729" t="inlineStr">
        <is>
          <t>GÄVLEBORGS LÄN</t>
        </is>
      </c>
      <c r="G729" t="inlineStr">
        <is>
          <t>NORDANSTIG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57976-2022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44900</v>
      </c>
      <c r="E730" s="1" t="n">
        <v>46286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57983-2022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44900</v>
      </c>
      <c r="E731" s="1" t="n">
        <v>46286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26838-2026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46286</v>
      </c>
      <c r="F732" t="inlineStr">
        <is>
          <t>GÄVLEBORGS LÄN</t>
        </is>
      </c>
      <c r="G732" t="inlineStr">
        <is>
          <t>NORDANSTIG</t>
        </is>
      </c>
      <c r="H732" t="inlineStr">
        <is>
          <t>SCA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21187-2022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44704</v>
      </c>
      <c r="E733" s="1" t="n">
        <v>46286</v>
      </c>
      <c r="F733" t="inlineStr">
        <is>
          <t>GÄVLEBORGS LÄN</t>
        </is>
      </c>
      <c r="G733" t="inlineStr">
        <is>
          <t>NORDANSTIG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27236-2026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46188</v>
      </c>
      <c r="E734" s="1" t="n">
        <v>46286</v>
      </c>
      <c r="F734" t="inlineStr">
        <is>
          <t>GÄVLEBORGS LÄN</t>
        </is>
      </c>
      <c r="G734" t="inlineStr">
        <is>
          <t>NORDANSTIG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51806-2024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45607</v>
      </c>
      <c r="E735" s="1" t="n">
        <v>46286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51821-2024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45607</v>
      </c>
      <c r="E736" s="1" t="n">
        <v>46286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54156-2024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45616</v>
      </c>
      <c r="E737" s="1" t="n">
        <v>46286</v>
      </c>
      <c r="F737" t="inlineStr">
        <is>
          <t>GÄVLEBORGS LÄN</t>
        </is>
      </c>
      <c r="G737" t="inlineStr">
        <is>
          <t>NORDANSTIG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46090</v>
      </c>
      <c r="E738" s="1" t="n">
        <v>46286</v>
      </c>
      <c r="F738" t="inlineStr">
        <is>
          <t>GÄVLEBORGS LÄN</t>
        </is>
      </c>
      <c r="G738" t="inlineStr">
        <is>
          <t>NORDANSTIG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12552-2026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46286</v>
      </c>
      <c r="F739" t="inlineStr">
        <is>
          <t>GÄVLEBORGS LÄN</t>
        </is>
      </c>
      <c r="G739" t="inlineStr">
        <is>
          <t>NORDANSTIG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48212-2024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46286</v>
      </c>
      <c r="F740" t="inlineStr">
        <is>
          <t>GÄVLEBORGS LÄN</t>
        </is>
      </c>
      <c r="G740" t="inlineStr">
        <is>
          <t>NORDANSTIG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12956-2026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46092</v>
      </c>
      <c r="E741" s="1" t="n">
        <v>46286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46031</v>
      </c>
      <c r="E742" s="1" t="n">
        <v>46286</v>
      </c>
      <c r="F742" t="inlineStr">
        <is>
          <t>GÄVLEBORGS LÄN</t>
        </is>
      </c>
      <c r="G742" t="inlineStr">
        <is>
          <t>NORDANSTIG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30630-2022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44763</v>
      </c>
      <c r="E743" s="1" t="n">
        <v>46286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38241-2024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45545</v>
      </c>
      <c r="E744" s="1" t="n">
        <v>46286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36960-2023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45154</v>
      </c>
      <c r="E745" s="1" t="n">
        <v>46286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31270-2024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45504</v>
      </c>
      <c r="E746" s="1" t="n">
        <v>46286</v>
      </c>
      <c r="F746" t="inlineStr">
        <is>
          <t>GÄVLEBORGS LÄN</t>
        </is>
      </c>
      <c r="G746" t="inlineStr">
        <is>
          <t>NORDANSTIG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13218-2026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46093</v>
      </c>
      <c r="E747" s="1" t="n">
        <v>46286</v>
      </c>
      <c r="F747" t="inlineStr">
        <is>
          <t>GÄVLEBORGS LÄN</t>
        </is>
      </c>
      <c r="G747" t="inlineStr">
        <is>
          <t>NORDANSTIG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41773-2025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45902</v>
      </c>
      <c r="E748" s="1" t="n">
        <v>46286</v>
      </c>
      <c r="F748" t="inlineStr">
        <is>
          <t>GÄVLEBORGS LÄN</t>
        </is>
      </c>
      <c r="G748" t="inlineStr">
        <is>
          <t>NORDANSTIG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51438-2023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45219</v>
      </c>
      <c r="E749" s="1" t="n">
        <v>46286</v>
      </c>
      <c r="F749" t="inlineStr">
        <is>
          <t>GÄVLEBORGS LÄN</t>
        </is>
      </c>
      <c r="G749" t="inlineStr">
        <is>
          <t>NORDANSTIG</t>
        </is>
      </c>
      <c r="H749" t="inlineStr">
        <is>
          <t>SCA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45695</v>
      </c>
      <c r="E750" s="1" t="n">
        <v>46286</v>
      </c>
      <c r="F750" t="inlineStr">
        <is>
          <t>GÄVLEBORGS LÄN</t>
        </is>
      </c>
      <c r="G750" t="inlineStr">
        <is>
          <t>NORDANSTIG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13822-2026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46098</v>
      </c>
      <c r="E751" s="1" t="n">
        <v>46286</v>
      </c>
      <c r="F751" t="inlineStr">
        <is>
          <t>GÄVLEBORGS LÄN</t>
        </is>
      </c>
      <c r="G751" t="inlineStr">
        <is>
          <t>NORDANSTIG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13823-2026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46286</v>
      </c>
      <c r="F752" t="inlineStr">
        <is>
          <t>GÄVLEBORGS LÄN</t>
        </is>
      </c>
      <c r="G752" t="inlineStr">
        <is>
          <t>NORDANSTIG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13978-2026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46098</v>
      </c>
      <c r="E753" s="1" t="n">
        <v>46286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13647-2026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46286</v>
      </c>
      <c r="F754" t="inlineStr">
        <is>
          <t>GÄVLEBORGS LÄN</t>
        </is>
      </c>
      <c r="G754" t="inlineStr">
        <is>
          <t>NORDANSTIG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17482-2022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44679</v>
      </c>
      <c r="E755" s="1" t="n">
        <v>46286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13982-2026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46098</v>
      </c>
      <c r="E756" s="1" t="n">
        <v>46286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46099</v>
      </c>
      <c r="E757" s="1" t="n">
        <v>46286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54519-2024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45617</v>
      </c>
      <c r="E758" s="1" t="n">
        <v>46286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14244-2026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46099</v>
      </c>
      <c r="E759" s="1" t="n">
        <v>46286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27975-2026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46195</v>
      </c>
      <c r="E760" s="1" t="n">
        <v>46286</v>
      </c>
      <c r="F760" t="inlineStr">
        <is>
          <t>GÄVLEBORGS LÄN</t>
        </is>
      </c>
      <c r="G760" t="inlineStr">
        <is>
          <t>NORDANSTIG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11087-2022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44628</v>
      </c>
      <c r="E761" s="1" t="n">
        <v>46286</v>
      </c>
      <c r="F761" t="inlineStr">
        <is>
          <t>GÄVLEBORGS LÄN</t>
        </is>
      </c>
      <c r="G761" t="inlineStr">
        <is>
          <t>NORDANSTIG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46196</v>
      </c>
      <c r="E762" s="1" t="n">
        <v>46286</v>
      </c>
      <c r="F762" t="inlineStr">
        <is>
          <t>GÄVLEBORGS LÄN</t>
        </is>
      </c>
      <c r="G762" t="inlineStr">
        <is>
          <t>NORDANSTIG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52006-2024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45607</v>
      </c>
      <c r="E763" s="1" t="n">
        <v>46286</v>
      </c>
      <c r="F763" t="inlineStr">
        <is>
          <t>GÄVLEBORGS LÄN</t>
        </is>
      </c>
      <c r="G763" t="inlineStr">
        <is>
          <t>NORDANSTIG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27976-2026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46195</v>
      </c>
      <c r="E764" s="1" t="n">
        <v>46286</v>
      </c>
      <c r="F764" t="inlineStr">
        <is>
          <t>GÄVLEBORGS LÄN</t>
        </is>
      </c>
      <c r="G764" t="inlineStr">
        <is>
          <t>NORDANSTIG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27981-2026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46195</v>
      </c>
      <c r="E765" s="1" t="n">
        <v>46286</v>
      </c>
      <c r="F765" t="inlineStr">
        <is>
          <t>GÄVLEBORGS LÄN</t>
        </is>
      </c>
      <c r="G765" t="inlineStr">
        <is>
          <t>NORDANSTIG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46286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28370-2026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46286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54401-2024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45617</v>
      </c>
      <c r="E768" s="1" t="n">
        <v>46286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15009-2026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46286</v>
      </c>
      <c r="F769" t="inlineStr">
        <is>
          <t>GÄVLEBORGS LÄN</t>
        </is>
      </c>
      <c r="G769" t="inlineStr">
        <is>
          <t>NORDANSTIG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15010-2026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46286</v>
      </c>
      <c r="F770" t="inlineStr">
        <is>
          <t>GÄVLEBORGS LÄN</t>
        </is>
      </c>
      <c r="G770" t="inlineStr">
        <is>
          <t>NORDANSTIG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18020-2026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46125</v>
      </c>
      <c r="E771" s="1" t="n">
        <v>46286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10042-2025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45719</v>
      </c>
      <c r="E772" s="1" t="n">
        <v>46286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28777-2026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46286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12266-2025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45729</v>
      </c>
      <c r="E774" s="1" t="n">
        <v>46286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26728-2022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44739</v>
      </c>
      <c r="E775" s="1" t="n">
        <v>46286</v>
      </c>
      <c r="F775" t="inlineStr">
        <is>
          <t>GÄVLEBORGS LÄN</t>
        </is>
      </c>
      <c r="G775" t="inlineStr">
        <is>
          <t>NORDANSTIG</t>
        </is>
      </c>
      <c r="I775" t="n">
        <v>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44500-2024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45574</v>
      </c>
      <c r="E776" s="1" t="n">
        <v>46286</v>
      </c>
      <c r="F776" t="inlineStr">
        <is>
          <t>GÄVLEBORGS LÄN</t>
        </is>
      </c>
      <c r="G776" t="inlineStr">
        <is>
          <t>NORDANSTIG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41074-2023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45173</v>
      </c>
      <c r="E777" s="1" t="n">
        <v>46286</v>
      </c>
      <c r="F777" t="inlineStr">
        <is>
          <t>GÄVLEBORGS LÄN</t>
        </is>
      </c>
      <c r="G777" t="inlineStr">
        <is>
          <t>NORDANSTIG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46286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28724-2026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46286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28739-2026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46198</v>
      </c>
      <c r="E780" s="1" t="n">
        <v>46286</v>
      </c>
      <c r="F780" t="inlineStr">
        <is>
          <t>GÄVLEBORGS LÄN</t>
        </is>
      </c>
      <c r="G780" t="inlineStr">
        <is>
          <t>NORDANSTIG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46286</v>
      </c>
      <c r="F781" t="inlineStr">
        <is>
          <t>GÄVLEBORGS LÄN</t>
        </is>
      </c>
      <c r="G781" t="inlineStr">
        <is>
          <t>NORDANSTIG</t>
        </is>
      </c>
      <c r="I781" t="n">
        <v>11.2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60675-2024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45644</v>
      </c>
      <c r="E782" s="1" t="n">
        <v>46286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28529-2026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46286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1802-2023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44938</v>
      </c>
      <c r="E784" s="1" t="n">
        <v>46286</v>
      </c>
      <c r="F784" t="inlineStr">
        <is>
          <t>GÄVLEBORGS LÄN</t>
        </is>
      </c>
      <c r="G784" t="inlineStr">
        <is>
          <t>NORDANSTIG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16291-2026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46111</v>
      </c>
      <c r="E785" s="1" t="n">
        <v>46286</v>
      </c>
      <c r="F785" t="inlineStr">
        <is>
          <t>GÄVLEBORGS LÄN</t>
        </is>
      </c>
      <c r="G785" t="inlineStr">
        <is>
          <t>NORDANSTIG</t>
        </is>
      </c>
      <c r="H785" t="inlineStr">
        <is>
          <t>Kommuner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16184-2026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46111</v>
      </c>
      <c r="E786" s="1" t="n">
        <v>46286</v>
      </c>
      <c r="F786" t="inlineStr">
        <is>
          <t>GÄVLEBORGS LÄN</t>
        </is>
      </c>
      <c r="G786" t="inlineStr">
        <is>
          <t>NORDANSTIG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28734-2026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46286</v>
      </c>
      <c r="F787" t="inlineStr">
        <is>
          <t>GÄVLEBORGS LÄN</t>
        </is>
      </c>
      <c r="G787" t="inlineStr">
        <is>
          <t>NORDANSTIG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16294-2026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46286</v>
      </c>
      <c r="F788" t="inlineStr">
        <is>
          <t>GÄVLEBORGS LÄN</t>
        </is>
      </c>
      <c r="G788" t="inlineStr">
        <is>
          <t>NORDANSTIG</t>
        </is>
      </c>
      <c r="H788" t="inlineStr">
        <is>
          <t>Kommuner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43893-2023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45187</v>
      </c>
      <c r="E789" s="1" t="n">
        <v>46286</v>
      </c>
      <c r="F789" t="inlineStr">
        <is>
          <t>GÄVLEBORGS LÄN</t>
        </is>
      </c>
      <c r="G789" t="inlineStr">
        <is>
          <t>NORDANSTIG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16687-2026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46286</v>
      </c>
      <c r="F790" t="inlineStr">
        <is>
          <t>GÄVLEBORGS LÄN</t>
        </is>
      </c>
      <c r="G790" t="inlineStr">
        <is>
          <t>NORDANSTIG</t>
        </is>
      </c>
      <c r="I790" t="n">
        <v>6.3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16449-2026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46286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34.8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16528-2026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46112</v>
      </c>
      <c r="E792" s="1" t="n">
        <v>46286</v>
      </c>
      <c r="F792" t="inlineStr">
        <is>
          <t>GÄVLEBORGS LÄN</t>
        </is>
      </c>
      <c r="G792" t="inlineStr">
        <is>
          <t>NORDANSTIG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46286</v>
      </c>
      <c r="F793" t="inlineStr">
        <is>
          <t>GÄVLEBORGS LÄN</t>
        </is>
      </c>
      <c r="G793" t="inlineStr">
        <is>
          <t>NORDANSTIG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16436-2026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46286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42.1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16310-2026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46286</v>
      </c>
      <c r="F795" t="inlineStr">
        <is>
          <t>GÄVLEBORGS LÄN</t>
        </is>
      </c>
      <c r="G795" t="inlineStr">
        <is>
          <t>NORDANSTIG</t>
        </is>
      </c>
      <c r="H795" t="inlineStr">
        <is>
          <t>Kommuner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21153-2023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45062</v>
      </c>
      <c r="E796" s="1" t="n">
        <v>46286</v>
      </c>
      <c r="F796" t="inlineStr">
        <is>
          <t>GÄVLEBORGS LÄN</t>
        </is>
      </c>
      <c r="G796" t="inlineStr">
        <is>
          <t>NORDANSTIG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16703-2026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46286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16756-2026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46113</v>
      </c>
      <c r="E798" s="1" t="n">
        <v>46286</v>
      </c>
      <c r="F798" t="inlineStr">
        <is>
          <t>GÄVLEBORGS LÄN</t>
        </is>
      </c>
      <c r="G798" t="inlineStr">
        <is>
          <t>NORDANSTIG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17201-2026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46118</v>
      </c>
      <c r="E799" s="1" t="n">
        <v>46286</v>
      </c>
      <c r="F799" t="inlineStr">
        <is>
          <t>GÄVLEBORGS LÄN</t>
        </is>
      </c>
      <c r="G799" t="inlineStr">
        <is>
          <t>NORDANSTIG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17494-2026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46120</v>
      </c>
      <c r="E800" s="1" t="n">
        <v>46286</v>
      </c>
      <c r="F800" t="inlineStr">
        <is>
          <t>GÄVLEBORGS LÄN</t>
        </is>
      </c>
      <c r="G800" t="inlineStr">
        <is>
          <t>NORDANSTIG</t>
        </is>
      </c>
      <c r="I800" t="n">
        <v>16.3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46286</v>
      </c>
      <c r="F801" t="inlineStr">
        <is>
          <t>GÄVLEBORGS LÄN</t>
        </is>
      </c>
      <c r="G801" t="inlineStr">
        <is>
          <t>NORDANSTIG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17281-2026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46286</v>
      </c>
      <c r="F802" t="inlineStr">
        <is>
          <t>GÄVLEBORGS LÄN</t>
        </is>
      </c>
      <c r="G802" t="inlineStr">
        <is>
          <t>NORDANSTIG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4001-2023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44952</v>
      </c>
      <c r="E803" s="1" t="n">
        <v>46286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44952</v>
      </c>
      <c r="E804" s="1" t="n">
        <v>46286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17490-2026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46120</v>
      </c>
      <c r="E805" s="1" t="n">
        <v>46286</v>
      </c>
      <c r="F805" t="inlineStr">
        <is>
          <t>GÄVLEBORGS LÄN</t>
        </is>
      </c>
      <c r="G805" t="inlineStr">
        <is>
          <t>NORDANSTIG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17286-2026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46119</v>
      </c>
      <c r="E806" s="1" t="n">
        <v>46286</v>
      </c>
      <c r="F806" t="inlineStr">
        <is>
          <t>GÄVLEBORGS LÄN</t>
        </is>
      </c>
      <c r="G806" t="inlineStr">
        <is>
          <t>NORDANSTIG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17487-2026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46120</v>
      </c>
      <c r="E807" s="1" t="n">
        <v>46286</v>
      </c>
      <c r="F807" t="inlineStr">
        <is>
          <t>GÄVLEBORGS LÄN</t>
        </is>
      </c>
      <c r="G807" t="inlineStr">
        <is>
          <t>NORDANSTIG</t>
        </is>
      </c>
      <c r="I807" t="n">
        <v>9.800000000000001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17489-2026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46120</v>
      </c>
      <c r="E808" s="1" t="n">
        <v>46286</v>
      </c>
      <c r="F808" t="inlineStr">
        <is>
          <t>GÄVLEBORGS LÄN</t>
        </is>
      </c>
      <c r="G808" t="inlineStr">
        <is>
          <t>NORDANSTIG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17498-2026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46120</v>
      </c>
      <c r="E809" s="1" t="n">
        <v>46286</v>
      </c>
      <c r="F809" t="inlineStr">
        <is>
          <t>GÄVLEBORGS LÄN</t>
        </is>
      </c>
      <c r="G809" t="inlineStr">
        <is>
          <t>NORDANSTIG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17500-2026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46120</v>
      </c>
      <c r="E810" s="1" t="n">
        <v>46286</v>
      </c>
      <c r="F810" t="inlineStr">
        <is>
          <t>GÄVLEBORGS LÄN</t>
        </is>
      </c>
      <c r="G810" t="inlineStr">
        <is>
          <t>NORDANSTIG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32602-2024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45513</v>
      </c>
      <c r="E811" s="1" t="n">
        <v>46286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17492-2026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46120</v>
      </c>
      <c r="E812" s="1" t="n">
        <v>46286</v>
      </c>
      <c r="F812" t="inlineStr">
        <is>
          <t>GÄVLEBORGS LÄN</t>
        </is>
      </c>
      <c r="G812" t="inlineStr">
        <is>
          <t>NORDANSTIG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73389-2021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44551</v>
      </c>
      <c r="E813" s="1" t="n">
        <v>46286</v>
      </c>
      <c r="F813" t="inlineStr">
        <is>
          <t>GÄVLEBORGS LÄN</t>
        </is>
      </c>
      <c r="G813" t="inlineStr">
        <is>
          <t>NORDANSTIG</t>
        </is>
      </c>
      <c r="I813" t="n">
        <v>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34913-2023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45142</v>
      </c>
      <c r="E814" s="1" t="n">
        <v>46286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34918-2023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45142</v>
      </c>
      <c r="E815" s="1" t="n">
        <v>46286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17872-2026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46122</v>
      </c>
      <c r="E816" s="1" t="n">
        <v>46286</v>
      </c>
      <c r="F816" t="inlineStr">
        <is>
          <t>GÄVLEBORGS LÄN</t>
        </is>
      </c>
      <c r="G816" t="inlineStr">
        <is>
          <t>NORDANSTIG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29162-2026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46202</v>
      </c>
      <c r="E817" s="1" t="n">
        <v>46286</v>
      </c>
      <c r="F817" t="inlineStr">
        <is>
          <t>GÄVLEBORGS LÄN</t>
        </is>
      </c>
      <c r="G817" t="inlineStr">
        <is>
          <t>NORDANSTIG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32938-2026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46286</v>
      </c>
      <c r="F818" t="inlineStr">
        <is>
          <t>GÄVLEBORGS LÄN</t>
        </is>
      </c>
      <c r="G818" t="inlineStr">
        <is>
          <t>NORDANSTIG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18385-2026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46126</v>
      </c>
      <c r="E819" s="1" t="n">
        <v>46286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45462</v>
      </c>
      <c r="E820" s="1" t="n">
        <v>46286</v>
      </c>
      <c r="F820" t="inlineStr">
        <is>
          <t>GÄVLEBORGS LÄN</t>
        </is>
      </c>
      <c r="G820" t="inlineStr">
        <is>
          <t>NORDANSTIG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18282-2026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46126</v>
      </c>
      <c r="E821" s="1" t="n">
        <v>46286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43.6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7796-2026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46062</v>
      </c>
      <c r="E822" s="1" t="n">
        <v>46286</v>
      </c>
      <c r="F822" t="inlineStr">
        <is>
          <t>GÄVLEBORGS LÄN</t>
        </is>
      </c>
      <c r="G822" t="inlineStr">
        <is>
          <t>NORDANSTIG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18153-2026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46125</v>
      </c>
      <c r="E823" s="1" t="n">
        <v>46286</v>
      </c>
      <c r="F823" t="inlineStr">
        <is>
          <t>GÄVLEBORGS LÄN</t>
        </is>
      </c>
      <c r="G823" t="inlineStr">
        <is>
          <t>NORDANSTIG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18236-2026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46126</v>
      </c>
      <c r="E824" s="1" t="n">
        <v>46286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25200-2022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44729</v>
      </c>
      <c r="E825" s="1" t="n">
        <v>46286</v>
      </c>
      <c r="F825" t="inlineStr">
        <is>
          <t>GÄVLEBORGS LÄN</t>
        </is>
      </c>
      <c r="G825" t="inlineStr">
        <is>
          <t>NORDANSTIG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14501-2026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46286</v>
      </c>
      <c r="F826" t="inlineStr">
        <is>
          <t>GÄVLEBORGS LÄN</t>
        </is>
      </c>
      <c r="G826" t="inlineStr">
        <is>
          <t>NORDANSTIG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19569-2025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45770</v>
      </c>
      <c r="E827" s="1" t="n">
        <v>46286</v>
      </c>
      <c r="F827" t="inlineStr">
        <is>
          <t>GÄVLEBORGS LÄN</t>
        </is>
      </c>
      <c r="G827" t="inlineStr">
        <is>
          <t>NORDANSTIG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51250-2022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44868</v>
      </c>
      <c r="E828" s="1" t="n">
        <v>46286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32917-2026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46286</v>
      </c>
      <c r="F829" t="inlineStr">
        <is>
          <t>GÄVLEBORGS LÄN</t>
        </is>
      </c>
      <c r="G829" t="inlineStr">
        <is>
          <t>NORDANSTIG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19367-2026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46133</v>
      </c>
      <c r="E830" s="1" t="n">
        <v>46286</v>
      </c>
      <c r="F830" t="inlineStr">
        <is>
          <t>GÄVLEBORGS LÄN</t>
        </is>
      </c>
      <c r="G830" t="inlineStr">
        <is>
          <t>NORDANSTIG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18531-2026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46127</v>
      </c>
      <c r="E831" s="1" t="n">
        <v>46286</v>
      </c>
      <c r="F831" t="inlineStr">
        <is>
          <t>GÄVLEBORGS LÄN</t>
        </is>
      </c>
      <c r="G831" t="inlineStr">
        <is>
          <t>NORDANSTIG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58870-2023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45252</v>
      </c>
      <c r="E832" s="1" t="n">
        <v>46286</v>
      </c>
      <c r="F832" t="inlineStr">
        <is>
          <t>GÄVLEBORGS LÄN</t>
        </is>
      </c>
      <c r="G832" t="inlineStr">
        <is>
          <t>NORDANSTIG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51091-2024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45603</v>
      </c>
      <c r="E833" s="1" t="n">
        <v>46286</v>
      </c>
      <c r="F833" t="inlineStr">
        <is>
          <t>GÄVLEBORGS LÄN</t>
        </is>
      </c>
      <c r="G833" t="inlineStr">
        <is>
          <t>NORDANSTIG</t>
        </is>
      </c>
      <c r="H833" t="inlineStr">
        <is>
          <t>SCA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30130-2024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45489</v>
      </c>
      <c r="E834" s="1" t="n">
        <v>46286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25402-2024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45463</v>
      </c>
      <c r="E835" s="1" t="n">
        <v>46286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54385-2024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45617</v>
      </c>
      <c r="E836" s="1" t="n">
        <v>46286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52206-2022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44869</v>
      </c>
      <c r="E837" s="1" t="n">
        <v>46286</v>
      </c>
      <c r="F837" t="inlineStr">
        <is>
          <t>GÄVLEBORGS LÄN</t>
        </is>
      </c>
      <c r="G837" t="inlineStr">
        <is>
          <t>NORDANSTIG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16659-2026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46112</v>
      </c>
      <c r="E838" s="1" t="n">
        <v>46286</v>
      </c>
      <c r="F838" t="inlineStr">
        <is>
          <t>GÄVLEBORGS LÄN</t>
        </is>
      </c>
      <c r="G838" t="inlineStr">
        <is>
          <t>NORDANSTIG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4556-2025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45687</v>
      </c>
      <c r="E839" s="1" t="n">
        <v>46286</v>
      </c>
      <c r="F839" t="inlineStr">
        <is>
          <t>GÄVLEBORGS LÄN</t>
        </is>
      </c>
      <c r="G839" t="inlineStr">
        <is>
          <t>NORDANSTIG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19896-2025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45771</v>
      </c>
      <c r="E840" s="1" t="n">
        <v>46286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12398-2023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44999</v>
      </c>
      <c r="E841" s="1" t="n">
        <v>46286</v>
      </c>
      <c r="F841" t="inlineStr">
        <is>
          <t>GÄVLEBORGS LÄN</t>
        </is>
      </c>
      <c r="G841" t="inlineStr">
        <is>
          <t>NORDANSTIG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19682-2026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46134</v>
      </c>
      <c r="E842" s="1" t="n">
        <v>46286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6324-2023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44965</v>
      </c>
      <c r="E843" s="1" t="n">
        <v>46286</v>
      </c>
      <c r="F843" t="inlineStr">
        <is>
          <t>GÄVLEBORGS LÄN</t>
        </is>
      </c>
      <c r="G843" t="inlineStr">
        <is>
          <t>NORDANSTIG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19679-2026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46286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2105-2023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44939</v>
      </c>
      <c r="E845" s="1" t="n">
        <v>46286</v>
      </c>
      <c r="F845" t="inlineStr">
        <is>
          <t>GÄVLEBORGS LÄN</t>
        </is>
      </c>
      <c r="G845" t="inlineStr">
        <is>
          <t>NORDANSTIG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59851-2024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45639</v>
      </c>
      <c r="E846" s="1" t="n">
        <v>46286</v>
      </c>
      <c r="F846" t="inlineStr">
        <is>
          <t>GÄVLEBORGS LÄN</t>
        </is>
      </c>
      <c r="G846" t="inlineStr">
        <is>
          <t>NORDANSTIG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15464-2023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45020</v>
      </c>
      <c r="E847" s="1" t="n">
        <v>46286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62619-2023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45271</v>
      </c>
      <c r="E848" s="1" t="n">
        <v>46286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60285-2024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45642</v>
      </c>
      <c r="E849" s="1" t="n">
        <v>46286</v>
      </c>
      <c r="F849" t="inlineStr">
        <is>
          <t>GÄVLEBORGS LÄN</t>
        </is>
      </c>
      <c r="G849" t="inlineStr">
        <is>
          <t>NORDANSTIG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19982-2026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46136</v>
      </c>
      <c r="E850" s="1" t="n">
        <v>46286</v>
      </c>
      <c r="F850" t="inlineStr">
        <is>
          <t>GÄVLEBORGS LÄN</t>
        </is>
      </c>
      <c r="G850" t="inlineStr">
        <is>
          <t>NORDANSTIG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1057-2026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46286</v>
      </c>
      <c r="F851" t="inlineStr">
        <is>
          <t>GÄVLEBORGS LÄN</t>
        </is>
      </c>
      <c r="G851" t="inlineStr">
        <is>
          <t>NORDANSTIG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9976-2026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46073</v>
      </c>
      <c r="E852" s="1" t="n">
        <v>46286</v>
      </c>
      <c r="F852" t="inlineStr">
        <is>
          <t>GÄVLEBORGS LÄN</t>
        </is>
      </c>
      <c r="G852" t="inlineStr">
        <is>
          <t>NORDANSTIG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58162-2024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45632</v>
      </c>
      <c r="E853" s="1" t="n">
        <v>46286</v>
      </c>
      <c r="F853" t="inlineStr">
        <is>
          <t>GÄVLEBORGS LÄN</t>
        </is>
      </c>
      <c r="G853" t="inlineStr">
        <is>
          <t>NORDANSTIG</t>
        </is>
      </c>
      <c r="H853" t="inlineStr">
        <is>
          <t>Kyrkan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64034-2025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46021</v>
      </c>
      <c r="E854" s="1" t="n">
        <v>46286</v>
      </c>
      <c r="F854" t="inlineStr">
        <is>
          <t>GÄVLEBORGS LÄN</t>
        </is>
      </c>
      <c r="G854" t="inlineStr">
        <is>
          <t>NORDANSTIG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72820-2021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44547</v>
      </c>
      <c r="E855" s="1" t="n">
        <v>46286</v>
      </c>
      <c r="F855" t="inlineStr">
        <is>
          <t>GÄVLEBORGS LÄN</t>
        </is>
      </c>
      <c r="G855" t="inlineStr">
        <is>
          <t>NORDANSTIG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51930-2023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45223</v>
      </c>
      <c r="E856" s="1" t="n">
        <v>46286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4414-2022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44589</v>
      </c>
      <c r="E857" s="1" t="n">
        <v>46286</v>
      </c>
      <c r="F857" t="inlineStr">
        <is>
          <t>GÄVLEBORGS LÄN</t>
        </is>
      </c>
      <c r="G857" t="inlineStr">
        <is>
          <t>NORDANSTIG</t>
        </is>
      </c>
      <c r="I857" t="n">
        <v>12.6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29733-2026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46204</v>
      </c>
      <c r="E858" s="1" t="n">
        <v>46286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8.800000000000001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48636-2024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45593</v>
      </c>
      <c r="E859" s="1" t="n">
        <v>46286</v>
      </c>
      <c r="F859" t="inlineStr">
        <is>
          <t>GÄVLEBORGS LÄN</t>
        </is>
      </c>
      <c r="G859" t="inlineStr">
        <is>
          <t>NORDANSTIG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9884-2023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44985</v>
      </c>
      <c r="E860" s="1" t="n">
        <v>46286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55694-2024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45622</v>
      </c>
      <c r="E861" s="1" t="n">
        <v>46286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30263-2026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46286</v>
      </c>
      <c r="F862" t="inlineStr">
        <is>
          <t>GÄVLEBORGS LÄN</t>
        </is>
      </c>
      <c r="G862" t="inlineStr">
        <is>
          <t>NORDANSTIG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11434-2024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45372</v>
      </c>
      <c r="E863" s="1" t="n">
        <v>46286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15226-2023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45019</v>
      </c>
      <c r="E864" s="1" t="n">
        <v>46286</v>
      </c>
      <c r="F864" t="inlineStr">
        <is>
          <t>GÄVLEBORGS LÄN</t>
        </is>
      </c>
      <c r="G864" t="inlineStr">
        <is>
          <t>NORDANSTIG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19566-2025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45770</v>
      </c>
      <c r="E865" s="1" t="n">
        <v>46286</v>
      </c>
      <c r="F865" t="inlineStr">
        <is>
          <t>GÄVLEBORGS LÄN</t>
        </is>
      </c>
      <c r="G865" t="inlineStr">
        <is>
          <t>NORDANSTIG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30259-2026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46206</v>
      </c>
      <c r="E866" s="1" t="n">
        <v>46286</v>
      </c>
      <c r="F866" t="inlineStr">
        <is>
          <t>GÄVLEBORGS LÄN</t>
        </is>
      </c>
      <c r="G866" t="inlineStr">
        <is>
          <t>NORDANSTIG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30267-2026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46206</v>
      </c>
      <c r="E867" s="1" t="n">
        <v>46286</v>
      </c>
      <c r="F867" t="inlineStr">
        <is>
          <t>GÄVLEBORGS LÄN</t>
        </is>
      </c>
      <c r="G867" t="inlineStr">
        <is>
          <t>NORDANSTIG</t>
        </is>
      </c>
      <c r="I867" t="n">
        <v>8.1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33884-2026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46251</v>
      </c>
      <c r="E868" s="1" t="n">
        <v>46286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23369-2022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44720</v>
      </c>
      <c r="E869" s="1" t="n">
        <v>46286</v>
      </c>
      <c r="F869" t="inlineStr">
        <is>
          <t>GÄVLEBORGS LÄN</t>
        </is>
      </c>
      <c r="G869" t="inlineStr">
        <is>
          <t>NORDANSTIG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12607-2024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45382</v>
      </c>
      <c r="E870" s="1" t="n">
        <v>46286</v>
      </c>
      <c r="F870" t="inlineStr">
        <is>
          <t>GÄVLEBORGS LÄN</t>
        </is>
      </c>
      <c r="G870" t="inlineStr">
        <is>
          <t>NORDANSTIG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45310-2022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44844</v>
      </c>
      <c r="E871" s="1" t="n">
        <v>46286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6820-2023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44967</v>
      </c>
      <c r="E872" s="1" t="n">
        <v>46286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2592-2023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44943</v>
      </c>
      <c r="E873" s="1" t="n">
        <v>46286</v>
      </c>
      <c r="F873" t="inlineStr">
        <is>
          <t>GÄVLEBORGS LÄN</t>
        </is>
      </c>
      <c r="G873" t="inlineStr">
        <is>
          <t>NORDANSTIG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34229-2026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46253</v>
      </c>
      <c r="E874" s="1" t="n">
        <v>46286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30431-2026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46209</v>
      </c>
      <c r="E875" s="1" t="n">
        <v>46286</v>
      </c>
      <c r="F875" t="inlineStr">
        <is>
          <t>GÄVLEBORGS LÄN</t>
        </is>
      </c>
      <c r="G875" t="inlineStr">
        <is>
          <t>NORDANSTIG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43075-2024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45567</v>
      </c>
      <c r="E876" s="1" t="n">
        <v>46286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58891-2024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45636</v>
      </c>
      <c r="E877" s="1" t="n">
        <v>46286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56351-2024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45624</v>
      </c>
      <c r="E878" s="1" t="n">
        <v>46286</v>
      </c>
      <c r="F878" t="inlineStr">
        <is>
          <t>GÄVLEBORGS LÄN</t>
        </is>
      </c>
      <c r="G878" t="inlineStr">
        <is>
          <t>NORDANSTIG</t>
        </is>
      </c>
      <c r="I878" t="n">
        <v>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30428-2026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46209</v>
      </c>
      <c r="E879" s="1" t="n">
        <v>46286</v>
      </c>
      <c r="F879" t="inlineStr">
        <is>
          <t>GÄVLEBORGS LÄN</t>
        </is>
      </c>
      <c r="G879" t="inlineStr">
        <is>
          <t>NORDANSTIG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58112-2024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45632</v>
      </c>
      <c r="E880" s="1" t="n">
        <v>46286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30390-2026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46209</v>
      </c>
      <c r="E881" s="1" t="n">
        <v>46286</v>
      </c>
      <c r="F881" t="inlineStr">
        <is>
          <t>GÄVLEBORGS LÄN</t>
        </is>
      </c>
      <c r="G881" t="inlineStr">
        <is>
          <t>NORDANSTIG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46209</v>
      </c>
      <c r="E882" s="1" t="n">
        <v>46286</v>
      </c>
      <c r="F882" t="inlineStr">
        <is>
          <t>GÄVLEBORGS LÄN</t>
        </is>
      </c>
      <c r="G882" t="inlineStr">
        <is>
          <t>NORDANSTIG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46253</v>
      </c>
      <c r="E883" s="1" t="n">
        <v>46286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34248-2026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46253</v>
      </c>
      <c r="E884" s="1" t="n">
        <v>46286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34212-2026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46253</v>
      </c>
      <c r="E885" s="1" t="n">
        <v>46286</v>
      </c>
      <c r="F885" t="inlineStr">
        <is>
          <t>GÄVLEBORGS LÄN</t>
        </is>
      </c>
      <c r="G885" t="inlineStr">
        <is>
          <t>NORDANSTIG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18525-2025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45763</v>
      </c>
      <c r="E886" s="1" t="n">
        <v>46286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62816-2023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45271</v>
      </c>
      <c r="E887" s="1" t="n">
        <v>46286</v>
      </c>
      <c r="F887" t="inlineStr">
        <is>
          <t>GÄVLEBORGS LÄN</t>
        </is>
      </c>
      <c r="G887" t="inlineStr">
        <is>
          <t>NORDANSTIG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31365-2026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46213</v>
      </c>
      <c r="E888" s="1" t="n">
        <v>46286</v>
      </c>
      <c r="F888" t="inlineStr">
        <is>
          <t>GÄVLEBORGS LÄN</t>
        </is>
      </c>
      <c r="G888" t="inlineStr">
        <is>
          <t>NORDANSTIG</t>
        </is>
      </c>
      <c r="I888" t="n">
        <v>4.8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31366-2026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46213</v>
      </c>
      <c r="E889" s="1" t="n">
        <v>46286</v>
      </c>
      <c r="F889" t="inlineStr">
        <is>
          <t>GÄVLEBORGS LÄN</t>
        </is>
      </c>
      <c r="G889" t="inlineStr">
        <is>
          <t>NORDANSTIG</t>
        </is>
      </c>
      <c r="I889" t="n">
        <v>9.6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37295-2022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44808</v>
      </c>
      <c r="E890" s="1" t="n">
        <v>46286</v>
      </c>
      <c r="F890" t="inlineStr">
        <is>
          <t>GÄVLEBORGS LÄN</t>
        </is>
      </c>
      <c r="G890" t="inlineStr">
        <is>
          <t>NORDANSTIG</t>
        </is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34542-2026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46255</v>
      </c>
      <c r="E891" s="1" t="n">
        <v>46286</v>
      </c>
      <c r="F891" t="inlineStr">
        <is>
          <t>GÄVLEBORGS LÄN</t>
        </is>
      </c>
      <c r="G891" t="inlineStr">
        <is>
          <t>NORDANSTIG</t>
        </is>
      </c>
      <c r="I891" t="n">
        <v>3.4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15385-2023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45019</v>
      </c>
      <c r="E892" s="1" t="n">
        <v>46286</v>
      </c>
      <c r="F892" t="inlineStr">
        <is>
          <t>GÄVLEBORGS LÄN</t>
        </is>
      </c>
      <c r="G892" t="inlineStr">
        <is>
          <t>NORDANSTIG</t>
        </is>
      </c>
      <c r="I892" t="n">
        <v>5.9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7149-2022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44603</v>
      </c>
      <c r="E893" s="1" t="n">
        <v>46286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55531-2024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45622</v>
      </c>
      <c r="E894" s="1" t="n">
        <v>46286</v>
      </c>
      <c r="F894" t="inlineStr">
        <is>
          <t>GÄVLEBORGS LÄN</t>
        </is>
      </c>
      <c r="G894" t="inlineStr">
        <is>
          <t>NORDANSTIG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34475-2026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46254</v>
      </c>
      <c r="E895" s="1" t="n">
        <v>46286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7013-2023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44967</v>
      </c>
      <c r="E896" s="1" t="n">
        <v>46286</v>
      </c>
      <c r="F896" t="inlineStr">
        <is>
          <t>GÄVLEBORGS LÄN</t>
        </is>
      </c>
      <c r="G896" t="inlineStr">
        <is>
          <t>NORDANSTIG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7014-2023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44967</v>
      </c>
      <c r="E897" s="1" t="n">
        <v>46286</v>
      </c>
      <c r="F897" t="inlineStr">
        <is>
          <t>GÄVLEBORGS LÄN</t>
        </is>
      </c>
      <c r="G897" t="inlineStr">
        <is>
          <t>NORDANSTIG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37974-2024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45544</v>
      </c>
      <c r="E898" s="1" t="n">
        <v>46286</v>
      </c>
      <c r="F898" t="inlineStr">
        <is>
          <t>GÄVLEBORGS LÄN</t>
        </is>
      </c>
      <c r="G898" t="inlineStr">
        <is>
          <t>NORDANSTIG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54524-2024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45617</v>
      </c>
      <c r="E899" s="1" t="n">
        <v>46286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8646-2026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46066</v>
      </c>
      <c r="E900" s="1" t="n">
        <v>46286</v>
      </c>
      <c r="F900" t="inlineStr">
        <is>
          <t>GÄVLEBORGS LÄN</t>
        </is>
      </c>
      <c r="G900" t="inlineStr">
        <is>
          <t>NORDANSTIG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59422-2022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44907</v>
      </c>
      <c r="E901" s="1" t="n">
        <v>46286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34998-2026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46259</v>
      </c>
      <c r="E902" s="1" t="n">
        <v>46286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4.6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37031-2024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45539</v>
      </c>
      <c r="E903" s="1" t="n">
        <v>46286</v>
      </c>
      <c r="F903" t="inlineStr">
        <is>
          <t>GÄVLEBORGS LÄN</t>
        </is>
      </c>
      <c r="G903" t="inlineStr">
        <is>
          <t>NORDANSTIG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34999-2026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46259</v>
      </c>
      <c r="E904" s="1" t="n">
        <v>46286</v>
      </c>
      <c r="F904" t="inlineStr">
        <is>
          <t>GÄVLEBORGS LÄN</t>
        </is>
      </c>
      <c r="G904" t="inlineStr">
        <is>
          <t>NORDANSTIG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51380-2024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45604</v>
      </c>
      <c r="E905" s="1" t="n">
        <v>46286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51988-2024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45607</v>
      </c>
      <c r="E906" s="1" t="n">
        <v>46286</v>
      </c>
      <c r="F906" t="inlineStr">
        <is>
          <t>GÄVLEBORGS LÄN</t>
        </is>
      </c>
      <c r="G906" t="inlineStr">
        <is>
          <t>NORDANSTIG</t>
        </is>
      </c>
      <c r="I906" t="n">
        <v>4.8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38346-2024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45545</v>
      </c>
      <c r="E907" s="1" t="n">
        <v>46286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30899-2026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46213</v>
      </c>
      <c r="E908" s="1" t="n">
        <v>46286</v>
      </c>
      <c r="F908" t="inlineStr">
        <is>
          <t>GÄVLEBORGS LÄN</t>
        </is>
      </c>
      <c r="G908" t="inlineStr">
        <is>
          <t>NORDANSTIG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34693-2026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46258</v>
      </c>
      <c r="E909" s="1" t="n">
        <v>46286</v>
      </c>
      <c r="F909" t="inlineStr">
        <is>
          <t>GÄVLEBORGS LÄN</t>
        </is>
      </c>
      <c r="G909" t="inlineStr">
        <is>
          <t>NORDANSTIG</t>
        </is>
      </c>
      <c r="I909" t="n">
        <v>9.199999999999999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46043</v>
      </c>
      <c r="E910" s="1" t="n">
        <v>46286</v>
      </c>
      <c r="F910" t="inlineStr">
        <is>
          <t>GÄVLEBORGS LÄN</t>
        </is>
      </c>
      <c r="G910" t="inlineStr">
        <is>
          <t>NORDANSTIG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26671-2026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46286</v>
      </c>
      <c r="F911" t="inlineStr">
        <is>
          <t>GÄVLEBORGS LÄN</t>
        </is>
      </c>
      <c r="G911" t="inlineStr">
        <is>
          <t>NORDANSTIG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18322-2024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45422</v>
      </c>
      <c r="E912" s="1" t="n">
        <v>46286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54685-2024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45618</v>
      </c>
      <c r="E913" s="1" t="n">
        <v>46286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23417-2023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45076</v>
      </c>
      <c r="E914" s="1" t="n">
        <v>46286</v>
      </c>
      <c r="F914" t="inlineStr">
        <is>
          <t>GÄVLEBORGS LÄN</t>
        </is>
      </c>
      <c r="G914" t="inlineStr">
        <is>
          <t>NORDANSTIG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21085-2024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45439</v>
      </c>
      <c r="E915" s="1" t="n">
        <v>46286</v>
      </c>
      <c r="F915" t="inlineStr">
        <is>
          <t>GÄVLEBORGS LÄN</t>
        </is>
      </c>
      <c r="G915" t="inlineStr">
        <is>
          <t>NORDANSTIG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26700-2026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46184</v>
      </c>
      <c r="E916" s="1" t="n">
        <v>46286</v>
      </c>
      <c r="F916" t="inlineStr">
        <is>
          <t>GÄVLEBORGS LÄN</t>
        </is>
      </c>
      <c r="G916" t="inlineStr">
        <is>
          <t>NORDANSTIG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26696-2026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46286</v>
      </c>
      <c r="F917" t="inlineStr">
        <is>
          <t>GÄVLEBORGS LÄN</t>
        </is>
      </c>
      <c r="G917" t="inlineStr">
        <is>
          <t>NORDANSTIG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20512-2022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44699</v>
      </c>
      <c r="E918" s="1" t="n">
        <v>46286</v>
      </c>
      <c r="F918" t="inlineStr">
        <is>
          <t>GÄVLEBORGS LÄN</t>
        </is>
      </c>
      <c r="G918" t="inlineStr">
        <is>
          <t>NORDANSTIG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8898-2024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45357</v>
      </c>
      <c r="E919" s="1" t="n">
        <v>46286</v>
      </c>
      <c r="F919" t="inlineStr">
        <is>
          <t>GÄVLEBORGS LÄN</t>
        </is>
      </c>
      <c r="G919" t="inlineStr">
        <is>
          <t>NORDANSTIG</t>
        </is>
      </c>
      <c r="I919" t="n">
        <v>8.199999999999999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41620-2023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45175</v>
      </c>
      <c r="E920" s="1" t="n">
        <v>46286</v>
      </c>
      <c r="F920" t="inlineStr">
        <is>
          <t>GÄVLEBORGS LÄN</t>
        </is>
      </c>
      <c r="G920" t="inlineStr">
        <is>
          <t>NORDANSTIG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12764-2025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45733</v>
      </c>
      <c r="E921" s="1" t="n">
        <v>46286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35342-2026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46261</v>
      </c>
      <c r="E922" s="1" t="n">
        <v>46286</v>
      </c>
      <c r="F922" t="inlineStr">
        <is>
          <t>GÄVLEBORGS LÄN</t>
        </is>
      </c>
      <c r="G922" t="inlineStr">
        <is>
          <t>NORDANSTIG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53691-2024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45615</v>
      </c>
      <c r="E923" s="1" t="n">
        <v>46286</v>
      </c>
      <c r="F923" t="inlineStr">
        <is>
          <t>GÄVLEBORGS LÄN</t>
        </is>
      </c>
      <c r="G923" t="inlineStr">
        <is>
          <t>NORDANSTIG</t>
        </is>
      </c>
      <c r="I923" t="n">
        <v>3.8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6093-2023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44964</v>
      </c>
      <c r="E924" s="1" t="n">
        <v>46286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31422-2026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46220</v>
      </c>
      <c r="E925" s="1" t="n">
        <v>46286</v>
      </c>
      <c r="F925" t="inlineStr">
        <is>
          <t>GÄVLEBORGS LÄN</t>
        </is>
      </c>
      <c r="G925" t="inlineStr">
        <is>
          <t>NORDANSTIG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31385-2026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46220</v>
      </c>
      <c r="E926" s="1" t="n">
        <v>46286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59799-2022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44908</v>
      </c>
      <c r="E927" s="1" t="n">
        <v>46286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35782-2026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46265</v>
      </c>
      <c r="E928" s="1" t="n">
        <v>46286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18332-2024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45422</v>
      </c>
      <c r="E929" s="1" t="n">
        <v>46286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35546-2026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46262</v>
      </c>
      <c r="E930" s="1" t="n">
        <v>46286</v>
      </c>
      <c r="F930" t="inlineStr">
        <is>
          <t>GÄVLEBORGS LÄN</t>
        </is>
      </c>
      <c r="G930" t="inlineStr">
        <is>
          <t>NORDANSTIG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31406-2026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46220</v>
      </c>
      <c r="E931" s="1" t="n">
        <v>46286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31423-2026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46220</v>
      </c>
      <c r="E932" s="1" t="n">
        <v>46286</v>
      </c>
      <c r="F932" t="inlineStr">
        <is>
          <t>GÄVLEBORGS LÄN</t>
        </is>
      </c>
      <c r="G932" t="inlineStr">
        <is>
          <t>NORDANSTIG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31571-2024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45506</v>
      </c>
      <c r="E933" s="1" t="n">
        <v>46286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5.7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5411-2022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44595</v>
      </c>
      <c r="E934" s="1" t="n">
        <v>46286</v>
      </c>
      <c r="F934" t="inlineStr">
        <is>
          <t>GÄVLEBORGS LÄN</t>
        </is>
      </c>
      <c r="G934" t="inlineStr">
        <is>
          <t>NORDANSTIG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55450-2024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46286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55498-2024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45622</v>
      </c>
      <c r="E936" s="1" t="n">
        <v>46286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41957-2023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45177</v>
      </c>
      <c r="E937" s="1" t="n">
        <v>46286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10069-2025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45719</v>
      </c>
      <c r="E938" s="1" t="n">
        <v>46286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60839-2023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45260</v>
      </c>
      <c r="E939" s="1" t="n">
        <v>46286</v>
      </c>
      <c r="F939" t="inlineStr">
        <is>
          <t>GÄVLEBORGS LÄN</t>
        </is>
      </c>
      <c r="G939" t="inlineStr">
        <is>
          <t>NORDANSTIG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45687</v>
      </c>
      <c r="E940" s="1" t="n">
        <v>46286</v>
      </c>
      <c r="F940" t="inlineStr">
        <is>
          <t>GÄVLEBORGS LÄN</t>
        </is>
      </c>
      <c r="G940" t="inlineStr">
        <is>
          <t>NORDANSTIG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14402-2025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45741</v>
      </c>
      <c r="E941" s="1" t="n">
        <v>46286</v>
      </c>
      <c r="F941" t="inlineStr">
        <is>
          <t>GÄVLEBORGS LÄN</t>
        </is>
      </c>
      <c r="G941" t="inlineStr">
        <is>
          <t>NORDANSTIG</t>
        </is>
      </c>
      <c r="I941" t="n">
        <v>17.1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31538-2026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46223</v>
      </c>
      <c r="E942" s="1" t="n">
        <v>46286</v>
      </c>
      <c r="F942" t="inlineStr">
        <is>
          <t>GÄVLEBORGS LÄN</t>
        </is>
      </c>
      <c r="G942" t="inlineStr">
        <is>
          <t>NORDANSTIG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48832-2022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44859</v>
      </c>
      <c r="E943" s="1" t="n">
        <v>46286</v>
      </c>
      <c r="F943" t="inlineStr">
        <is>
          <t>GÄVLEBORGS LÄN</t>
        </is>
      </c>
      <c r="G943" t="inlineStr">
        <is>
          <t>NORDANSTIG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31500-2026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46223</v>
      </c>
      <c r="E944" s="1" t="n">
        <v>46286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6.2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38332-2024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45545</v>
      </c>
      <c r="E945" s="1" t="n">
        <v>46286</v>
      </c>
      <c r="F945" t="inlineStr">
        <is>
          <t>GÄVLEBORGS LÄN</t>
        </is>
      </c>
      <c r="G945" t="inlineStr">
        <is>
          <t>NORDANSTIG</t>
        </is>
      </c>
      <c r="I945" t="n">
        <v>11.5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62089-2021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44502</v>
      </c>
      <c r="E946" s="1" t="n">
        <v>46286</v>
      </c>
      <c r="F946" t="inlineStr">
        <is>
          <t>GÄVLEBORGS LÄN</t>
        </is>
      </c>
      <c r="G946" t="inlineStr">
        <is>
          <t>NORDANSTIG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32827-2023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45124</v>
      </c>
      <c r="E947" s="1" t="n">
        <v>46286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33535-2022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44789</v>
      </c>
      <c r="E948" s="1" t="n">
        <v>46286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33559-2022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46286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30078-2024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45489</v>
      </c>
      <c r="E950" s="1" t="n">
        <v>46286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46286</v>
      </c>
      <c r="F951" t="inlineStr">
        <is>
          <t>GÄVLEBORGS LÄN</t>
        </is>
      </c>
      <c r="G951" t="inlineStr">
        <is>
          <t>NORDANSTIG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59043-2024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45636</v>
      </c>
      <c r="E952" s="1" t="n">
        <v>46286</v>
      </c>
      <c r="F952" t="inlineStr">
        <is>
          <t>GÄVLEBORGS LÄN</t>
        </is>
      </c>
      <c r="G952" t="inlineStr">
        <is>
          <t>NORDANSTIG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62495-2025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46007</v>
      </c>
      <c r="E953" s="1" t="n">
        <v>46286</v>
      </c>
      <c r="F953" t="inlineStr">
        <is>
          <t>GÄVLEBORGS LÄN</t>
        </is>
      </c>
      <c r="G953" t="inlineStr">
        <is>
          <t>NORDANSTIG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18680-2025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45763</v>
      </c>
      <c r="E954" s="1" t="n">
        <v>46286</v>
      </c>
      <c r="F954" t="inlineStr">
        <is>
          <t>GÄVLEBORGS LÄN</t>
        </is>
      </c>
      <c r="G954" t="inlineStr">
        <is>
          <t>NORDANSTIG</t>
        </is>
      </c>
      <c r="I954" t="n">
        <v>9.4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46226</v>
      </c>
      <c r="E955" s="1" t="n">
        <v>46286</v>
      </c>
      <c r="F955" t="inlineStr">
        <is>
          <t>GÄVLEBORGS LÄN</t>
        </is>
      </c>
      <c r="G955" t="inlineStr">
        <is>
          <t>NORDANSTIG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36432-2026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46269</v>
      </c>
      <c r="E956" s="1" t="n">
        <v>46286</v>
      </c>
      <c r="F956" t="inlineStr">
        <is>
          <t>GÄVLEBORGS LÄN</t>
        </is>
      </c>
      <c r="G956" t="inlineStr">
        <is>
          <t>NORDANSTIG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62496-2025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46007</v>
      </c>
      <c r="E957" s="1" t="n">
        <v>46286</v>
      </c>
      <c r="F957" t="inlineStr">
        <is>
          <t>GÄVLEBORGS LÄN</t>
        </is>
      </c>
      <c r="G957" t="inlineStr">
        <is>
          <t>NORDANSTIG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31708-2026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46226</v>
      </c>
      <c r="E958" s="1" t="n">
        <v>46286</v>
      </c>
      <c r="F958" t="inlineStr">
        <is>
          <t>GÄVLEBORGS LÄN</t>
        </is>
      </c>
      <c r="G958" t="inlineStr">
        <is>
          <t>NORDANSTIG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20876-2025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45777</v>
      </c>
      <c r="E959" s="1" t="n">
        <v>46286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31732-2026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46227</v>
      </c>
      <c r="E960" s="1" t="n">
        <v>46286</v>
      </c>
      <c r="F960" t="inlineStr">
        <is>
          <t>GÄVLEBORGS LÄN</t>
        </is>
      </c>
      <c r="G960" t="inlineStr">
        <is>
          <t>NORDANSTIG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18707-2025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45763</v>
      </c>
      <c r="E961" s="1" t="n">
        <v>46286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18716-2025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45763</v>
      </c>
      <c r="E962" s="1" t="n">
        <v>46286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21725-2025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45783</v>
      </c>
      <c r="E963" s="1" t="n">
        <v>46286</v>
      </c>
      <c r="F963" t="inlineStr">
        <is>
          <t>GÄVLEBORGS LÄN</t>
        </is>
      </c>
      <c r="G963" t="inlineStr">
        <is>
          <t>NORDANSTIG</t>
        </is>
      </c>
      <c r="I963" t="n">
        <v>6.4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37028-2026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46273</v>
      </c>
      <c r="E964" s="1" t="n">
        <v>46286</v>
      </c>
      <c r="F964" t="inlineStr">
        <is>
          <t>GÄVLEBORGS LÄN</t>
        </is>
      </c>
      <c r="G964" t="inlineStr">
        <is>
          <t>NORDANSTIG</t>
        </is>
      </c>
      <c r="H964" t="inlineStr">
        <is>
          <t>SCA</t>
        </is>
      </c>
      <c r="I964" t="n">
        <v>6.9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36825-2026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46272</v>
      </c>
      <c r="E965" s="1" t="n">
        <v>46286</v>
      </c>
      <c r="F965" t="inlineStr">
        <is>
          <t>GÄVLEBORGS LÄN</t>
        </is>
      </c>
      <c r="G965" t="inlineStr">
        <is>
          <t>NORDANSTIG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37013-2026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46273</v>
      </c>
      <c r="E966" s="1" t="n">
        <v>46286</v>
      </c>
      <c r="F966" t="inlineStr">
        <is>
          <t>GÄVLEBORGS LÄN</t>
        </is>
      </c>
      <c r="G966" t="inlineStr">
        <is>
          <t>NORDANSTIG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12389-2023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44999</v>
      </c>
      <c r="E967" s="1" t="n">
        <v>46286</v>
      </c>
      <c r="F967" t="inlineStr">
        <is>
          <t>GÄVLEBORGS LÄN</t>
        </is>
      </c>
      <c r="G967" t="inlineStr">
        <is>
          <t>NORDANSTIG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36714-2026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46286</v>
      </c>
      <c r="F968" t="inlineStr">
        <is>
          <t>GÄVLEBORGS LÄN</t>
        </is>
      </c>
      <c r="G968" t="inlineStr">
        <is>
          <t>NORDANSTIG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37016-2026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46273</v>
      </c>
      <c r="E969" s="1" t="n">
        <v>46286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30879-2024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45498</v>
      </c>
      <c r="E970" s="1" t="n">
        <v>46286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21928-2025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45784</v>
      </c>
      <c r="E971" s="1" t="n">
        <v>46286</v>
      </c>
      <c r="F971" t="inlineStr">
        <is>
          <t>GÄVLEBORGS LÄN</t>
        </is>
      </c>
      <c r="G971" t="inlineStr">
        <is>
          <t>NORDANSTIG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37454-2026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46275</v>
      </c>
      <c r="E972" s="1" t="n">
        <v>46286</v>
      </c>
      <c r="F972" t="inlineStr">
        <is>
          <t>GÄVLEBORGS LÄN</t>
        </is>
      </c>
      <c r="G972" t="inlineStr">
        <is>
          <t>NORDANSTIG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37241-2026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46274</v>
      </c>
      <c r="E973" s="1" t="n">
        <v>46286</v>
      </c>
      <c r="F973" t="inlineStr">
        <is>
          <t>GÄVLEBORGS LÄN</t>
        </is>
      </c>
      <c r="G973" t="inlineStr">
        <is>
          <t>NORDANSTIG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37135-2026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46274</v>
      </c>
      <c r="E974" s="1" t="n">
        <v>46286</v>
      </c>
      <c r="F974" t="inlineStr">
        <is>
          <t>GÄVLEBORGS LÄN</t>
        </is>
      </c>
      <c r="G974" t="inlineStr">
        <is>
          <t>NORDANSTIG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31894-2026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46231</v>
      </c>
      <c r="E975" s="1" t="n">
        <v>46286</v>
      </c>
      <c r="F975" t="inlineStr">
        <is>
          <t>GÄVLEBORGS LÄN</t>
        </is>
      </c>
      <c r="G975" t="inlineStr">
        <is>
          <t>NORDANSTIG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32470-2023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45120</v>
      </c>
      <c r="E976" s="1" t="n">
        <v>46286</v>
      </c>
      <c r="F976" t="inlineStr">
        <is>
          <t>GÄVLEBORGS LÄN</t>
        </is>
      </c>
      <c r="G976" t="inlineStr">
        <is>
          <t>NORDANSTIG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32092-2026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46234</v>
      </c>
      <c r="E977" s="1" t="n">
        <v>46286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22310-2025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45786</v>
      </c>
      <c r="E978" s="1" t="n">
        <v>46286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27.9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22319-2025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45786</v>
      </c>
      <c r="E979" s="1" t="n">
        <v>46286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67879-2021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44525</v>
      </c>
      <c r="E980" s="1" t="n">
        <v>46286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33414-2022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44788</v>
      </c>
      <c r="E981" s="1" t="n">
        <v>46286</v>
      </c>
      <c r="F981" t="inlineStr">
        <is>
          <t>GÄVLEBORGS LÄN</t>
        </is>
      </c>
      <c r="G981" t="inlineStr">
        <is>
          <t>NORDANSTIG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17678-2025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46286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37977-2026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46280</v>
      </c>
      <c r="E983" s="1" t="n">
        <v>46286</v>
      </c>
      <c r="F983" t="inlineStr">
        <is>
          <t>GÄVLEBORGS LÄN</t>
        </is>
      </c>
      <c r="G983" t="inlineStr">
        <is>
          <t>NORDANSTIG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23072-2025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45790</v>
      </c>
      <c r="E984" s="1" t="n">
        <v>46286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23119-2025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45791</v>
      </c>
      <c r="E985" s="1" t="n">
        <v>46286</v>
      </c>
      <c r="F985" t="inlineStr">
        <is>
          <t>GÄVLEBORGS LÄN</t>
        </is>
      </c>
      <c r="G985" t="inlineStr">
        <is>
          <t>NORDANSTIG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37979-2026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46280</v>
      </c>
      <c r="E986" s="1" t="n">
        <v>46286</v>
      </c>
      <c r="F986" t="inlineStr">
        <is>
          <t>GÄVLEBORGS LÄN</t>
        </is>
      </c>
      <c r="G986" t="inlineStr">
        <is>
          <t>NORDANSTIG</t>
        </is>
      </c>
      <c r="I986" t="n">
        <v>6.5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23154-2025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45791</v>
      </c>
      <c r="E987" s="1" t="n">
        <v>46286</v>
      </c>
      <c r="F987" t="inlineStr">
        <is>
          <t>GÄVLEBORGS LÄN</t>
        </is>
      </c>
      <c r="G987" t="inlineStr">
        <is>
          <t>NORDANSTIG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23122-2025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45791</v>
      </c>
      <c r="E988" s="1" t="n">
        <v>46286</v>
      </c>
      <c r="F988" t="inlineStr">
        <is>
          <t>GÄVLEBORGS LÄN</t>
        </is>
      </c>
      <c r="G988" t="inlineStr">
        <is>
          <t>NORDANSTIG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16616-2025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45754</v>
      </c>
      <c r="E989" s="1" t="n">
        <v>46286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20137-2023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45055</v>
      </c>
      <c r="E990" s="1" t="n">
        <v>46286</v>
      </c>
      <c r="F990" t="inlineStr">
        <is>
          <t>GÄVLEBORGS LÄN</t>
        </is>
      </c>
      <c r="G990" t="inlineStr">
        <is>
          <t>NORDANSTIG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32340-2026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46238</v>
      </c>
      <c r="E991" s="1" t="n">
        <v>46286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23791-2025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45793</v>
      </c>
      <c r="E992" s="1" t="n">
        <v>46286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54803-2023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45236</v>
      </c>
      <c r="E993" s="1" t="n">
        <v>46286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23623-2025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45792</v>
      </c>
      <c r="E994" s="1" t="n">
        <v>46286</v>
      </c>
      <c r="F994" t="inlineStr">
        <is>
          <t>GÄVLEBORGS LÄN</t>
        </is>
      </c>
      <c r="G994" t="inlineStr">
        <is>
          <t>NORDANSTIG</t>
        </is>
      </c>
      <c r="I994" t="n">
        <v>12.9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23788-2025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45793</v>
      </c>
      <c r="E995" s="1" t="n">
        <v>46286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23993-2025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46286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45312-2023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45191</v>
      </c>
      <c r="E997" s="1" t="n">
        <v>46286</v>
      </c>
      <c r="F997" t="inlineStr">
        <is>
          <t>GÄVLEBORGS LÄN</t>
        </is>
      </c>
      <c r="G997" t="inlineStr">
        <is>
          <t>NORDANSTIG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32726-2026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46241</v>
      </c>
      <c r="E998" s="1" t="n">
        <v>46286</v>
      </c>
      <c r="F998" t="inlineStr">
        <is>
          <t>GÄVLEBORGS LÄN</t>
        </is>
      </c>
      <c r="G998" t="inlineStr">
        <is>
          <t>NORDANSTIG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24101-2025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45796</v>
      </c>
      <c r="E999" s="1" t="n">
        <v>46286</v>
      </c>
      <c r="F999" t="inlineStr">
        <is>
          <t>GÄVLEBORGS LÄN</t>
        </is>
      </c>
      <c r="G999" t="inlineStr">
        <is>
          <t>NORDANSTIG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43523-2024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45569</v>
      </c>
      <c r="E1000" s="1" t="n">
        <v>46286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38548-2026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46283</v>
      </c>
      <c r="E1001" s="1" t="n">
        <v>46286</v>
      </c>
      <c r="F1001" t="inlineStr">
        <is>
          <t>GÄVLEBORGS LÄN</t>
        </is>
      </c>
      <c r="G1001" t="inlineStr">
        <is>
          <t>NORDANSTIG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26684-2026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46184</v>
      </c>
      <c r="E1002" s="1" t="n">
        <v>46286</v>
      </c>
      <c r="F1002" t="inlineStr">
        <is>
          <t>GÄVLEBORGS LÄN</t>
        </is>
      </c>
      <c r="G1002" t="inlineStr">
        <is>
          <t>NORDANSTIG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25068-2025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46286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25723-2024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45463</v>
      </c>
      <c r="E1004" s="1" t="n">
        <v>46286</v>
      </c>
      <c r="F1004" t="inlineStr">
        <is>
          <t>GÄVLEBORGS LÄN</t>
        </is>
      </c>
      <c r="G1004" t="inlineStr">
        <is>
          <t>NORDANSTIG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37294-2024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45540</v>
      </c>
      <c r="E1005" s="1" t="n">
        <v>46286</v>
      </c>
      <c r="F1005" t="inlineStr">
        <is>
          <t>GÄVLEBORGS LÄN</t>
        </is>
      </c>
      <c r="G1005" t="inlineStr">
        <is>
          <t>NORDANSTIG</t>
        </is>
      </c>
      <c r="I1005" t="n">
        <v>3.9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47238-2024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45586</v>
      </c>
      <c r="E1006" s="1" t="n">
        <v>46286</v>
      </c>
      <c r="F1006" t="inlineStr">
        <is>
          <t>GÄVLEBORGS LÄN</t>
        </is>
      </c>
      <c r="G1006" t="inlineStr">
        <is>
          <t>NORDANSTIG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35741-2024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45532</v>
      </c>
      <c r="E1007" s="1" t="n">
        <v>46286</v>
      </c>
      <c r="F1007" t="inlineStr">
        <is>
          <t>GÄVLEBORGS LÄN</t>
        </is>
      </c>
      <c r="G1007" t="inlineStr">
        <is>
          <t>NORDANSTIG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24938-2025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46286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30.1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38380-2026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46282</v>
      </c>
      <c r="E1009" s="1" t="n">
        <v>46286</v>
      </c>
      <c r="F1009" t="inlineStr">
        <is>
          <t>GÄVLEBORGS LÄN</t>
        </is>
      </c>
      <c r="G1009" t="inlineStr">
        <is>
          <t>NORDANSTIG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25467-2025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45802</v>
      </c>
      <c r="E1010" s="1" t="n">
        <v>46286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46286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26842-2026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46185</v>
      </c>
      <c r="E1012" s="1" t="n">
        <v>46286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50.7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25080-2025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45799</v>
      </c>
      <c r="E1013" s="1" t="n">
        <v>46286</v>
      </c>
      <c r="F1013" t="inlineStr">
        <is>
          <t>GÄVLEBORGS LÄN</t>
        </is>
      </c>
      <c r="G1013" t="inlineStr">
        <is>
          <t>NORDANSTIG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46286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6.4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4142-2023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44953</v>
      </c>
      <c r="E1015" s="1" t="n">
        <v>46286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52120-2022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44873</v>
      </c>
      <c r="E1016" s="1" t="n">
        <v>46286</v>
      </c>
      <c r="F1016" t="inlineStr">
        <is>
          <t>GÄVLEBORGS LÄN</t>
        </is>
      </c>
      <c r="G1016" t="inlineStr">
        <is>
          <t>NORDANSTIG</t>
        </is>
      </c>
      <c r="I1016" t="n">
        <v>6.9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1526-2024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45306</v>
      </c>
      <c r="E1017" s="1" t="n">
        <v>46286</v>
      </c>
      <c r="F1017" t="inlineStr">
        <is>
          <t>GÄVLEBORGS LÄN</t>
        </is>
      </c>
      <c r="G1017" t="inlineStr">
        <is>
          <t>NORDANSTIG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5475-2023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44960</v>
      </c>
      <c r="E1018" s="1" t="n">
        <v>46286</v>
      </c>
      <c r="F1018" t="inlineStr">
        <is>
          <t>GÄVLEBORGS LÄN</t>
        </is>
      </c>
      <c r="G1018" t="inlineStr">
        <is>
          <t>NORDANSTIG</t>
        </is>
      </c>
      <c r="I1018" t="n">
        <v>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60520-2023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45259</v>
      </c>
      <c r="E1019" s="1" t="n">
        <v>46286</v>
      </c>
      <c r="F1019" t="inlineStr">
        <is>
          <t>GÄVLEBORGS LÄN</t>
        </is>
      </c>
      <c r="G1019" t="inlineStr">
        <is>
          <t>NORDANSTIG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2149-2024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45309</v>
      </c>
      <c r="E1020" s="1" t="n">
        <v>46286</v>
      </c>
      <c r="F1020" t="inlineStr">
        <is>
          <t>GÄVLEBORGS LÄN</t>
        </is>
      </c>
      <c r="G1020" t="inlineStr">
        <is>
          <t>NORDANSTIG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27224-2025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45812</v>
      </c>
      <c r="E1021" s="1" t="n">
        <v>46286</v>
      </c>
      <c r="F1021" t="inlineStr">
        <is>
          <t>GÄVLEBORGS LÄN</t>
        </is>
      </c>
      <c r="G1021" t="inlineStr">
        <is>
          <t>NORDANSTIG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61418-2024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45646</v>
      </c>
      <c r="E1022" s="1" t="n">
        <v>46286</v>
      </c>
      <c r="F1022" t="inlineStr">
        <is>
          <t>GÄVLEBORGS LÄN</t>
        </is>
      </c>
      <c r="G1022" t="inlineStr">
        <is>
          <t>NORDANSTIG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27447-2025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45813</v>
      </c>
      <c r="E1023" s="1" t="n">
        <v>46286</v>
      </c>
      <c r="F1023" t="inlineStr">
        <is>
          <t>GÄVLEBORGS LÄN</t>
        </is>
      </c>
      <c r="G1023" t="inlineStr">
        <is>
          <t>NORDANSTIG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27203-2025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45812</v>
      </c>
      <c r="E1024" s="1" t="n">
        <v>46286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411-2025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45663</v>
      </c>
      <c r="E1025" s="1" t="n">
        <v>46286</v>
      </c>
      <c r="F1025" t="inlineStr">
        <is>
          <t>GÄVLEBORGS LÄN</t>
        </is>
      </c>
      <c r="G1025" t="inlineStr">
        <is>
          <t>NORDANSTIG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27841-2025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46286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27804-2025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45817</v>
      </c>
      <c r="E1027" s="1" t="n">
        <v>46286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27894-2025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45817</v>
      </c>
      <c r="E1028" s="1" t="n">
        <v>46286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8.6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71442-2021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44540</v>
      </c>
      <c r="E1029" s="1" t="n">
        <v>46286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29275-2025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45824</v>
      </c>
      <c r="E1030" s="1" t="n">
        <v>46286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5.3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29741-2025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45825</v>
      </c>
      <c r="E1031" s="1" t="n">
        <v>46286</v>
      </c>
      <c r="F1031" t="inlineStr">
        <is>
          <t>GÄVLEBORGS LÄN</t>
        </is>
      </c>
      <c r="G1031" t="inlineStr">
        <is>
          <t>NORDANSTIG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30022-2025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45826</v>
      </c>
      <c r="E1032" s="1" t="n">
        <v>46286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30291-2025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45827</v>
      </c>
      <c r="E1033" s="1" t="n">
        <v>46286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29878-2025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45826</v>
      </c>
      <c r="E1034" s="1" t="n">
        <v>46286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30870-2025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46286</v>
      </c>
      <c r="F1035" t="inlineStr">
        <is>
          <t>GÄVLEBORGS LÄN</t>
        </is>
      </c>
      <c r="G1035" t="inlineStr">
        <is>
          <t>NORDANSTIG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31197-2025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45832</v>
      </c>
      <c r="E1036" s="1" t="n">
        <v>46286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31031-2025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45832</v>
      </c>
      <c r="E1037" s="1" t="n">
        <v>46286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32082-2025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45835</v>
      </c>
      <c r="E1038" s="1" t="n">
        <v>46286</v>
      </c>
      <c r="F1038" t="inlineStr">
        <is>
          <t>GÄVLEBORGS LÄN</t>
        </is>
      </c>
      <c r="G1038" t="inlineStr">
        <is>
          <t>NORDANSTIG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32105-2025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45835</v>
      </c>
      <c r="E1039" s="1" t="n">
        <v>46286</v>
      </c>
      <c r="F1039" t="inlineStr">
        <is>
          <t>GÄVLEBORGS LÄN</t>
        </is>
      </c>
      <c r="G1039" t="inlineStr">
        <is>
          <t>NORDANSTIG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32092-2025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45835</v>
      </c>
      <c r="E1040" s="1" t="n">
        <v>46286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32736-2025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45839</v>
      </c>
      <c r="E1041" s="1" t="n">
        <v>46286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40104-2024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45554</v>
      </c>
      <c r="E1042" s="1" t="n">
        <v>46286</v>
      </c>
      <c r="F1042" t="inlineStr">
        <is>
          <t>GÄVLEBORGS LÄN</t>
        </is>
      </c>
      <c r="G1042" t="inlineStr">
        <is>
          <t>NORDANSTIG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33097-2025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45840</v>
      </c>
      <c r="E1043" s="1" t="n">
        <v>46286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33532-2025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45841</v>
      </c>
      <c r="E1044" s="1" t="n">
        <v>46286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33339-2025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45841</v>
      </c>
      <c r="E1045" s="1" t="n">
        <v>46286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33355-2025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45841</v>
      </c>
      <c r="E1046" s="1" t="n">
        <v>46286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34.6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34342-2025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45846</v>
      </c>
      <c r="E1047" s="1" t="n">
        <v>46286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34311-2025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45846</v>
      </c>
      <c r="E1048" s="1" t="n">
        <v>46286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34694-2025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45848</v>
      </c>
      <c r="E1049" s="1" t="n">
        <v>46286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34728-2025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45848</v>
      </c>
      <c r="E1050" s="1" t="n">
        <v>46286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34788-2025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45848</v>
      </c>
      <c r="E1051" s="1" t="n">
        <v>46286</v>
      </c>
      <c r="F1051" t="inlineStr">
        <is>
          <t>GÄVLEBORGS LÄN</t>
        </is>
      </c>
      <c r="G1051" t="inlineStr">
        <is>
          <t>NORDANSTIG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5968-2025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45695</v>
      </c>
      <c r="E1052" s="1" t="n">
        <v>46286</v>
      </c>
      <c r="F1052" t="inlineStr">
        <is>
          <t>GÄVLEBORGS LÄN</t>
        </is>
      </c>
      <c r="G1052" t="inlineStr">
        <is>
          <t>NORDANSTIG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35707-2025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45860</v>
      </c>
      <c r="E1053" s="1" t="n">
        <v>46286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35733-2025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45860</v>
      </c>
      <c r="E1054" s="1" t="n">
        <v>46286</v>
      </c>
      <c r="F1054" t="inlineStr">
        <is>
          <t>GÄVLEBORGS LÄN</t>
        </is>
      </c>
      <c r="G1054" t="inlineStr">
        <is>
          <t>NORDANSTIG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35652-2025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45859</v>
      </c>
      <c r="E1055" s="1" t="n">
        <v>46286</v>
      </c>
      <c r="F1055" t="inlineStr">
        <is>
          <t>GÄVLEBORGS LÄN</t>
        </is>
      </c>
      <c r="G1055" t="inlineStr">
        <is>
          <t>NORDANSTIG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37848-2025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45881</v>
      </c>
      <c r="E1056" s="1" t="n">
        <v>46286</v>
      </c>
      <c r="F1056" t="inlineStr">
        <is>
          <t>GÄVLEBORGS LÄN</t>
        </is>
      </c>
      <c r="G1056" t="inlineStr">
        <is>
          <t>NORDANSTIG</t>
        </is>
      </c>
      <c r="I1056" t="n">
        <v>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37728-2025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45880</v>
      </c>
      <c r="E1057" s="1" t="n">
        <v>46286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38295-2025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45883</v>
      </c>
      <c r="E1058" s="1" t="n">
        <v>46286</v>
      </c>
      <c r="F1058" t="inlineStr">
        <is>
          <t>GÄVLEBORGS LÄN</t>
        </is>
      </c>
      <c r="G1058" t="inlineStr">
        <is>
          <t>NORDANSTIG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37563-2025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45880</v>
      </c>
      <c r="E1059" s="1" t="n">
        <v>46286</v>
      </c>
      <c r="F1059" t="inlineStr">
        <is>
          <t>GÄVLEBORGS LÄN</t>
        </is>
      </c>
      <c r="G1059" t="inlineStr">
        <is>
          <t>NORDANSTIG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38091-2025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45882</v>
      </c>
      <c r="E1060" s="1" t="n">
        <v>46286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38246-2025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45883</v>
      </c>
      <c r="E1061" s="1" t="n">
        <v>46286</v>
      </c>
      <c r="F1061" t="inlineStr">
        <is>
          <t>GÄVLEBORGS LÄN</t>
        </is>
      </c>
      <c r="G1061" t="inlineStr">
        <is>
          <t>NORDANSTIG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45650</v>
      </c>
      <c r="E1062" s="1" t="n">
        <v>46286</v>
      </c>
      <c r="F1062" t="inlineStr">
        <is>
          <t>GÄVLEBORGS LÄN</t>
        </is>
      </c>
      <c r="G1062" t="inlineStr">
        <is>
          <t>NORDANSTIG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46286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39.7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3990-2023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46286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10130-2021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44538</v>
      </c>
      <c r="E1065" s="1" t="n">
        <v>46286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3983-2023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46286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131-2025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46286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46286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46286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68.7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46286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25-2023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44929</v>
      </c>
      <c r="E1071" s="1" t="n">
        <v>46286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46286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1008-2024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45386</v>
      </c>
      <c r="E1073" s="1" t="n">
        <v>46286</v>
      </c>
      <c r="F1073" t="inlineStr">
        <is>
          <t>GÄVLEBORGS LÄN</t>
        </is>
      </c>
      <c r="G1073" t="inlineStr">
        <is>
          <t>NORDANSTIG</t>
        </is>
      </c>
      <c r="I1073" t="n">
        <v>6.8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3989-2023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3994-2023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46286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46286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3991-2023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46286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46286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3992-2023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46286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130.4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46286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49.7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3988-2023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46286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150.6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46286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122-2025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46286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128.2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HYPERLINK("https://klasma.github.io/Logging_2132/knärot/S 122-2025 karta knärot.png", "S 122-2025")</f>
        <v/>
      </c>
      <c r="AA1083">
        <f>HYPERLINK("https://klasma.github.io/Logging_2132/klagomål/S 122-2025 FSC-klagomål.docx", "S 122-2025")</f>
        <v/>
      </c>
      <c r="AB1083">
        <f>HYPERLINK("https://klasma.github.io/Logging_2132/klagomålsmail/S 122-2025 FSC-klagomål mail.docx", "S 122-2025")</f>
        <v/>
      </c>
      <c r="AC1083">
        <f>HYPERLINK("https://klasma.github.io/Logging_2132/tillsyn/S 122-2025 tillsynsbegäran.docx", "S 122-2025")</f>
        <v/>
      </c>
      <c r="AD1083">
        <f>HYPERLINK("https://klasma.github.io/Logging_2132/tillsynsmail/S 122-2025 tillsynsbegäran mail.docx", "S 122-2025")</f>
        <v/>
      </c>
    </row>
    <row r="1084">
      <c r="A1084" t="inlineStr">
        <is>
          <t>S 573-2026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46083</v>
      </c>
      <c r="E1084" s="1" t="n">
        <v>46286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SCA</t>
        </is>
      </c>
      <c r="I1084" t="n">
        <v>64.3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2026-09-21T02:01:22Z</dcterms:created>
  <dcterms:modified xmlns:dcterms="http://purl.org/dc/terms/" xmlns:xsi="http://www.w3.org/2001/XMLSchema-instance" xsi:type="dcterms:W3CDTF">2026-09-21T02:01:23Z</dcterms:modified>
</cp:coreProperties>
</file>