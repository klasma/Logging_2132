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46262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46262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46262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46262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13025-2025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45734</v>
      </c>
      <c r="E19" s="1" t="n">
        <v>46262</v>
      </c>
      <c r="F19" t="inlineStr">
        <is>
          <t>GÄVLEBORGS LÄN</t>
        </is>
      </c>
      <c r="G19" t="inlineStr">
        <is>
          <t>NORDANSTIG</t>
        </is>
      </c>
      <c r="I19" t="n">
        <v>9.699999999999999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Älg
Spillkråka
Kråka
Kungsfågel</t>
        </is>
      </c>
      <c r="W19">
        <f>HYPERLINK("https://klasma.github.io/Logging_2132/artfynd/A 13025-2025 artfynd.xlsx", "A 13025-2025")</f>
        <v/>
      </c>
      <c r="X19">
        <f>HYPERLINK("https://klasma.github.io/Logging_2132/kartor/A 13025-2025 karta.png", "A 13025-2025")</f>
        <v/>
      </c>
      <c r="Y19">
        <f>HYPERLINK("https://klasma.github.io/Logging_2132/kartor_geotiff/A 13025-2025 georefererad karta.tif", "A 13025-2025")</f>
        <v/>
      </c>
      <c r="AA19">
        <f>HYPERLINK("https://klasma.github.io/Logging_2132/klagomål/A 13025-2025 FSC-klagomål.docx", "A 13025-2025")</f>
        <v/>
      </c>
      <c r="AB19">
        <f>HYPERLINK("https://klasma.github.io/Logging_2132/klagomålsmail/A 13025-2025 FSC-klagomål mail.docx", "A 13025-2025")</f>
        <v/>
      </c>
      <c r="AC19">
        <f>HYPERLINK("https://klasma.github.io/Logging_2132/tillsyn/A 13025-2025 tillsynsbegäran.docx", "A 13025-2025")</f>
        <v/>
      </c>
      <c r="AD19">
        <f>HYPERLINK("https://klasma.github.io/Logging_2132/tillsynsmail/A 13025-2025 tillsynsbegäran mail.docx", "A 13025-2025")</f>
        <v/>
      </c>
      <c r="AE19">
        <f>HYPERLINK("https://klasma.github.io/Logging_2132/fåglar/A 13025-2025 prioriterade fågelarter.docx", "A 13025-2025")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46262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46262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46262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46262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46262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46262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46262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46262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46262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60231-2025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46262</v>
      </c>
      <c r="F34" t="inlineStr">
        <is>
          <t>GÄVLEBORGS LÄN</t>
        </is>
      </c>
      <c r="G34" t="inlineStr">
        <is>
          <t>NORDANSTIG</t>
        </is>
      </c>
      <c r="I34" t="n">
        <v>5.2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Dropptaggsvamp
Revlummer</t>
        </is>
      </c>
      <c r="W34">
        <f>HYPERLINK("https://klasma.github.io/Logging_2132/artfynd/A 60231-2025 artfynd.xlsx", "A 60231-2025")</f>
        <v/>
      </c>
      <c r="X34">
        <f>HYPERLINK("https://klasma.github.io/Logging_2132/kartor/A 60231-2025 karta.png", "A 60231-2025")</f>
        <v/>
      </c>
      <c r="Y34">
        <f>HYPERLINK("https://klasma.github.io/Logging_2132/kartor_geotiff/A 60231-2025 georefererad karta.tif", "A 60231-2025")</f>
        <v/>
      </c>
      <c r="AA34">
        <f>HYPERLINK("https://klasma.github.io/Logging_2132/klagomål/A 60231-2025 FSC-klagomål.docx", "A 60231-2025")</f>
        <v/>
      </c>
      <c r="AB34">
        <f>HYPERLINK("https://klasma.github.io/Logging_2132/klagomålsmail/A 60231-2025 FSC-klagomål mail.docx", "A 60231-2025")</f>
        <v/>
      </c>
      <c r="AC34">
        <f>HYPERLINK("https://klasma.github.io/Logging_2132/tillsyn/A 60231-2025 tillsynsbegäran.docx", "A 60231-2025")</f>
        <v/>
      </c>
      <c r="AD34">
        <f>HYPERLINK("https://klasma.github.io/Logging_2132/tillsynsmail/A 60231-2025 tillsynsbegäran mail.docx", "A 60231-2025")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46262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1708-2026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46262</v>
      </c>
      <c r="F36" t="inlineStr">
        <is>
          <t>GÄVLEBORGS LÄN</t>
        </is>
      </c>
      <c r="G36" t="inlineStr">
        <is>
          <t>NORDANSTIG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12</v>
      </c>
      <c r="U36" t="n">
        <v>0</v>
      </c>
      <c r="V36" s="2" t="inlineStr">
        <is>
          <t>Tjäder
Fläcknycklar</t>
        </is>
      </c>
      <c r="W36">
        <f>HYPERLINK("https://klasma.github.io/Logging_2132/artfynd/A 1708-2026 artfynd.xlsx", "A 1708-2026")</f>
        <v/>
      </c>
      <c r="X36">
        <f>HYPERLINK("https://klasma.github.io/Logging_2132/kartor/A 1708-2026 karta.png", "A 1708-2026")</f>
        <v/>
      </c>
      <c r="Y36">
        <f>HYPERLINK("https://klasma.github.io/Logging_2132/kartor_geotiff/A 1708-2026 georefererad karta.tif", "A 1708-2026")</f>
        <v/>
      </c>
      <c r="AA36">
        <f>HYPERLINK("https://klasma.github.io/Logging_2132/klagomål/A 1708-2026 FSC-klagomål.docx", "A 1708-2026")</f>
        <v/>
      </c>
      <c r="AB36">
        <f>HYPERLINK("https://klasma.github.io/Logging_2132/klagomålsmail/A 1708-2026 FSC-klagomål mail.docx", "A 1708-2026")</f>
        <v/>
      </c>
      <c r="AC36">
        <f>HYPERLINK("https://klasma.github.io/Logging_2132/tillsyn/A 1708-2026 tillsynsbegäran.docx", "A 1708-2026")</f>
        <v/>
      </c>
      <c r="AD36">
        <f>HYPERLINK("https://klasma.github.io/Logging_2132/tillsynsmail/A 1708-2026 tillsynsbegäran mail.docx", "A 1708-2026")</f>
        <v/>
      </c>
      <c r="AE36">
        <f>HYPERLINK("https://klasma.github.io/Logging_2132/fåglar/A 1708-2026 prioriterade fågelarter.docx", "A 1708-2026")</f>
        <v/>
      </c>
    </row>
    <row r="37" ht="15" customHeight="1">
      <c r="A37" t="inlineStr">
        <is>
          <t>A 3781-2026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46262</v>
      </c>
      <c r="F37" t="inlineStr">
        <is>
          <t>GÄVLEBORGS LÄN</t>
        </is>
      </c>
      <c r="G37" t="inlineStr">
        <is>
          <t>NORDANSTIG</t>
        </is>
      </c>
      <c r="I37" t="n">
        <v>31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Fläcknycklar</t>
        </is>
      </c>
      <c r="W37">
        <f>HYPERLINK("https://klasma.github.io/Logging_2132/artfynd/A 3781-2026 artfynd.xlsx", "A 3781-2026")</f>
        <v/>
      </c>
      <c r="X37">
        <f>HYPERLINK("https://klasma.github.io/Logging_2132/kartor/A 3781-2026 karta.png", "A 3781-2026")</f>
        <v/>
      </c>
      <c r="Y37">
        <f>HYPERLINK("https://klasma.github.io/Logging_2132/kartor_geotiff/A 3781-2026 georefererad karta.tif", "A 3781-2026")</f>
        <v/>
      </c>
      <c r="AA37">
        <f>HYPERLINK("https://klasma.github.io/Logging_2132/klagomål/A 3781-2026 FSC-klagomål.docx", "A 3781-2026")</f>
        <v/>
      </c>
      <c r="AB37">
        <f>HYPERLINK("https://klasma.github.io/Logging_2132/klagomålsmail/A 3781-2026 FSC-klagomål mail.docx", "A 3781-2026")</f>
        <v/>
      </c>
      <c r="AC37">
        <f>HYPERLINK("https://klasma.github.io/Logging_2132/tillsyn/A 3781-2026 tillsynsbegäran.docx", "A 3781-2026")</f>
        <v/>
      </c>
      <c r="AD37">
        <f>HYPERLINK("https://klasma.github.io/Logging_2132/tillsynsmail/A 3781-2026 tillsynsbegäran mail.docx", "A 3781-2026")</f>
        <v/>
      </c>
    </row>
    <row r="38" ht="15" customHeight="1">
      <c r="A38" t="inlineStr">
        <is>
          <t>A 3760-2026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46262</v>
      </c>
      <c r="F38" t="inlineStr">
        <is>
          <t>GÄVLEBORGS LÄN</t>
        </is>
      </c>
      <c r="G38" t="inlineStr">
        <is>
          <t>NORDANSTIG</t>
        </is>
      </c>
      <c r="I38" t="n">
        <v>3.4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Aspgelélav
Skinnlav</t>
        </is>
      </c>
      <c r="W38">
        <f>HYPERLINK("https://klasma.github.io/Logging_2132/artfynd/A 3760-2026 artfynd.xlsx", "A 3760-2026")</f>
        <v/>
      </c>
      <c r="X38">
        <f>HYPERLINK("https://klasma.github.io/Logging_2132/kartor/A 3760-2026 karta.png", "A 3760-2026")</f>
        <v/>
      </c>
      <c r="Y38">
        <f>HYPERLINK("https://klasma.github.io/Logging_2132/kartor_geotiff/A 3760-2026 georefererad karta.tif", "A 3760-2026")</f>
        <v/>
      </c>
      <c r="AA38">
        <f>HYPERLINK("https://klasma.github.io/Logging_2132/klagomål/A 3760-2026 FSC-klagomål.docx", "A 3760-2026")</f>
        <v/>
      </c>
      <c r="AB38">
        <f>HYPERLINK("https://klasma.github.io/Logging_2132/klagomålsmail/A 3760-2026 FSC-klagomål mail.docx", "A 3760-2026")</f>
        <v/>
      </c>
      <c r="AC38">
        <f>HYPERLINK("https://klasma.github.io/Logging_2132/tillsyn/A 3760-2026 tillsynsbegäran.docx", "A 3760-2026")</f>
        <v/>
      </c>
      <c r="AD38">
        <f>HYPERLINK("https://klasma.github.io/Logging_2132/tillsynsmail/A 3760-2026 tillsynsbegäran mail.docx", "A 3760-2026")</f>
        <v/>
      </c>
    </row>
    <row r="39" ht="15" customHeight="1">
      <c r="A39" t="inlineStr">
        <is>
          <t>A 9202-2026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46262</v>
      </c>
      <c r="F39" t="inlineStr">
        <is>
          <t>GÄVLEBORGS LÄN</t>
        </is>
      </c>
      <c r="G39" t="inlineStr">
        <is>
          <t>NORDANSTIG</t>
        </is>
      </c>
      <c r="I39" t="n">
        <v>41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Vitfläckig guldvinge
Barkticka</t>
        </is>
      </c>
      <c r="W39">
        <f>HYPERLINK("https://klasma.github.io/Logging_2132/artfynd/A 9202-2026 artfynd.xlsx", "A 9202-2026")</f>
        <v/>
      </c>
      <c r="X39">
        <f>HYPERLINK("https://klasma.github.io/Logging_2132/kartor/A 9202-2026 karta.png", "A 9202-2026")</f>
        <v/>
      </c>
      <c r="Y39">
        <f>HYPERLINK("https://klasma.github.io/Logging_2132/kartor_geotiff/A 9202-2026 georefererad karta.tif", "A 9202-2026")</f>
        <v/>
      </c>
      <c r="AA39">
        <f>HYPERLINK("https://klasma.github.io/Logging_2132/klagomål/A 9202-2026 FSC-klagomål.docx", "A 9202-2026")</f>
        <v/>
      </c>
      <c r="AB39">
        <f>HYPERLINK("https://klasma.github.io/Logging_2132/klagomålsmail/A 9202-2026 FSC-klagomål mail.docx", "A 9202-2026")</f>
        <v/>
      </c>
      <c r="AC39">
        <f>HYPERLINK("https://klasma.github.io/Logging_2132/tillsyn/A 9202-2026 tillsynsbegäran.docx", "A 9202-2026")</f>
        <v/>
      </c>
      <c r="AD39">
        <f>HYPERLINK("https://klasma.github.io/Logging_2132/tillsynsmail/A 9202-2026 tillsynsbegäran mail.docx", "A 9202-2026")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46262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46262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46262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46262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46262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46262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46262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46262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46262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46262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46262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46262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46262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46262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28587-2024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46262</v>
      </c>
      <c r="F56" t="inlineStr">
        <is>
          <t>GÄVLEBORGS LÄN</t>
        </is>
      </c>
      <c r="G56" t="inlineStr">
        <is>
          <t>NORDANSTIG</t>
        </is>
      </c>
      <c r="I56" t="n">
        <v>26.3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HYPERLINK("https://klasma.github.io/Logging_2132/artfynd/A 28587-2024 artfynd.xlsx", "A 28587-2024")</f>
        <v/>
      </c>
      <c r="X56">
        <f>HYPERLINK("https://klasma.github.io/Logging_2132/kartor/A 28587-2024 karta.png", "A 28587-2024")</f>
        <v/>
      </c>
      <c r="Y56">
        <f>HYPERLINK("https://klasma.github.io/Logging_2132/kartor_geotiff/A 28587-2024 georefererad karta.tif", "A 28587-2024")</f>
        <v/>
      </c>
      <c r="AA56">
        <f>HYPERLINK("https://klasma.github.io/Logging_2132/klagomål/A 28587-2024 FSC-klagomål.docx", "A 28587-2024")</f>
        <v/>
      </c>
      <c r="AB56">
        <f>HYPERLINK("https://klasma.github.io/Logging_2132/klagomålsmail/A 28587-2024 FSC-klagomål mail.docx", "A 28587-2024")</f>
        <v/>
      </c>
      <c r="AC56">
        <f>HYPERLINK("https://klasma.github.io/Logging_2132/tillsyn/A 28587-2024 tillsynsbegäran.docx", "A 28587-2024")</f>
        <v/>
      </c>
      <c r="AD56">
        <f>HYPERLINK("https://klasma.github.io/Logging_2132/tillsynsmail/A 28587-2024 tillsynsbegäran mail.docx", "A 28587-2024")</f>
        <v/>
      </c>
    </row>
    <row r="57" ht="15" customHeight="1">
      <c r="A57" t="inlineStr">
        <is>
          <t>A 57806-2024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46262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57806-2024 artfynd.xlsx", "A 57806-2024")</f>
        <v/>
      </c>
      <c r="X57">
        <f>HYPERLINK("https://klasma.github.io/Logging_2132/kartor/A 57806-2024 karta.png", "A 57806-2024")</f>
        <v/>
      </c>
      <c r="Y57">
        <f>HYPERLINK("https://klasma.github.io/Logging_2132/kartor_geotiff/A 57806-2024 georefererad karta.tif", "A 57806-2024")</f>
        <v/>
      </c>
      <c r="Z57">
        <f>HYPERLINK("https://klasma.github.io/Logging_2132/knärot/A 57806-2024 karta knärot.png", "A 57806-2024")</f>
        <v/>
      </c>
      <c r="AA57">
        <f>HYPERLINK("https://klasma.github.io/Logging_2132/klagomål/A 57806-2024 FSC-klagomål.docx", "A 57806-2024")</f>
        <v/>
      </c>
      <c r="AB57">
        <f>HYPERLINK("https://klasma.github.io/Logging_2132/klagomålsmail/A 57806-2024 FSC-klagomål mail.docx", "A 57806-2024")</f>
        <v/>
      </c>
      <c r="AC57">
        <f>HYPERLINK("https://klasma.github.io/Logging_2132/tillsyn/A 57806-2024 tillsynsbegäran.docx", "A 57806-2024")</f>
        <v/>
      </c>
      <c r="AD57">
        <f>HYPERLINK("https://klasma.github.io/Logging_2132/tillsynsmail/A 57806-2024 tillsynsbegäran mail.docx", "A 57806-2024")</f>
        <v/>
      </c>
    </row>
    <row r="58" ht="15" customHeight="1">
      <c r="A58" t="inlineStr">
        <is>
          <t>A 3755-2023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46262</v>
      </c>
      <c r="F58" t="inlineStr">
        <is>
          <t>GÄVLEBORGS LÄN</t>
        </is>
      </c>
      <c r="G58" t="inlineStr">
        <is>
          <t>NORDANSTIG</t>
        </is>
      </c>
      <c r="I58" t="n">
        <v>8.199999999999999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Bredgentiana</t>
        </is>
      </c>
      <c r="W58">
        <f>HYPERLINK("https://klasma.github.io/Logging_2132/artfynd/A 3755-2023 artfynd.xlsx", "A 3755-2023")</f>
        <v/>
      </c>
      <c r="X58">
        <f>HYPERLINK("https://klasma.github.io/Logging_2132/kartor/A 3755-2023 karta.png", "A 3755-2023")</f>
        <v/>
      </c>
      <c r="Y58">
        <f>HYPERLINK("https://klasma.github.io/Logging_2132/kartor_geotiff/A 3755-2023 georefererad karta.tif", "A 3755-2023")</f>
        <v/>
      </c>
      <c r="AA58">
        <f>HYPERLINK("https://klasma.github.io/Logging_2132/klagomål/A 3755-2023 FSC-klagomål.docx", "A 3755-2023")</f>
        <v/>
      </c>
      <c r="AB58">
        <f>HYPERLINK("https://klasma.github.io/Logging_2132/klagomålsmail/A 3755-2023 FSC-klagomål mail.docx", "A 3755-2023")</f>
        <v/>
      </c>
      <c r="AC58">
        <f>HYPERLINK("https://klasma.github.io/Logging_2132/tillsyn/A 3755-2023 tillsynsbegäran.docx", "A 3755-2023")</f>
        <v/>
      </c>
      <c r="AD58">
        <f>HYPERLINK("https://klasma.github.io/Logging_2132/tillsynsmail/A 3755-2023 tillsynsbegäran mail.docx", "A 3755-2023")</f>
        <v/>
      </c>
    </row>
    <row r="59" ht="15" customHeight="1">
      <c r="A59" t="inlineStr">
        <is>
          <t>A 24758-2025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46262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23.2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HYPERLINK("https://klasma.github.io/Logging_2132/artfynd/A 24758-2025 artfynd.xlsx", "A 24758-2025")</f>
        <v/>
      </c>
      <c r="X59">
        <f>HYPERLINK("https://klasma.github.io/Logging_2132/kartor/A 24758-2025 karta.png", "A 24758-2025")</f>
        <v/>
      </c>
      <c r="Y59">
        <f>HYPERLINK("https://klasma.github.io/Logging_2132/kartor_geotiff/A 24758-2025 georefererad karta.tif", "A 24758-2025")</f>
        <v/>
      </c>
      <c r="Z59">
        <f>HYPERLINK("https://klasma.github.io/Logging_2132/knärot/A 24758-2025 karta knärot.png", "A 24758-2025")</f>
        <v/>
      </c>
      <c r="AA59">
        <f>HYPERLINK("https://klasma.github.io/Logging_2132/klagomål/A 24758-2025 FSC-klagomål.docx", "A 24758-2025")</f>
        <v/>
      </c>
      <c r="AB59">
        <f>HYPERLINK("https://klasma.github.io/Logging_2132/klagomålsmail/A 24758-2025 FSC-klagomål mail.docx", "A 24758-2025")</f>
        <v/>
      </c>
      <c r="AC59">
        <f>HYPERLINK("https://klasma.github.io/Logging_2132/tillsyn/A 24758-2025 tillsynsbegäran.docx", "A 24758-2025")</f>
        <v/>
      </c>
      <c r="AD59">
        <f>HYPERLINK("https://klasma.github.io/Logging_2132/tillsynsmail/A 24758-2025 tillsynsbegäran mail.docx", "A 24758-2025")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46262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46262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31845-2025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46262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Skinnlav</t>
        </is>
      </c>
      <c r="W62">
        <f>HYPERLINK("https://klasma.github.io/Logging_2132/artfynd/A 31845-2025 artfynd.xlsx", "A 31845-2025")</f>
        <v/>
      </c>
      <c r="X62">
        <f>HYPERLINK("https://klasma.github.io/Logging_2132/kartor/A 31845-2025 karta.png", "A 31845-2025")</f>
        <v/>
      </c>
      <c r="Y62">
        <f>HYPERLINK("https://klasma.github.io/Logging_2132/kartor_geotiff/A 31845-2025 georefererad karta.tif", "A 31845-2025")</f>
        <v/>
      </c>
      <c r="AA62">
        <f>HYPERLINK("https://klasma.github.io/Logging_2132/klagomål/A 31845-2025 FSC-klagomål.docx", "A 31845-2025")</f>
        <v/>
      </c>
      <c r="AB62">
        <f>HYPERLINK("https://klasma.github.io/Logging_2132/klagomålsmail/A 31845-2025 FSC-klagomål mail.docx", "A 31845-2025")</f>
        <v/>
      </c>
      <c r="AC62">
        <f>HYPERLINK("https://klasma.github.io/Logging_2132/tillsyn/A 31845-2025 tillsynsbegäran.docx", "A 31845-2025")</f>
        <v/>
      </c>
      <c r="AD62">
        <f>HYPERLINK("https://klasma.github.io/Logging_2132/tillsynsmail/A 31845-2025 tillsynsbegäran mail.docx", "A 31845-2025")</f>
        <v/>
      </c>
    </row>
    <row r="63" ht="15" customHeight="1">
      <c r="A63" t="inlineStr">
        <is>
          <t>A 16515-2023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45029</v>
      </c>
      <c r="E63" s="1" t="n">
        <v>46262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HYPERLINK("https://klasma.github.io/Logging_2132/artfynd/A 16515-2023 artfynd.xlsx", "A 16515-2023")</f>
        <v/>
      </c>
      <c r="X63">
        <f>HYPERLINK("https://klasma.github.io/Logging_2132/kartor/A 16515-2023 karta.png", "A 16515-2023")</f>
        <v/>
      </c>
      <c r="Y63">
        <f>HYPERLINK("https://klasma.github.io/Logging_2132/kartor_geotiff/A 16515-2023 georefererad karta.tif", "A 16515-2023")</f>
        <v/>
      </c>
      <c r="AA63">
        <f>HYPERLINK("https://klasma.github.io/Logging_2132/klagomål/A 16515-2023 FSC-klagomål.docx", "A 16515-2023")</f>
        <v/>
      </c>
      <c r="AB63">
        <f>HYPERLINK("https://klasma.github.io/Logging_2132/klagomålsmail/A 16515-2023 FSC-klagomål mail.docx", "A 16515-2023")</f>
        <v/>
      </c>
      <c r="AC63">
        <f>HYPERLINK("https://klasma.github.io/Logging_2132/tillsyn/A 16515-2023 tillsynsbegäran.docx", "A 16515-2023")</f>
        <v/>
      </c>
      <c r="AD63">
        <f>HYPERLINK("https://klasma.github.io/Logging_2132/tillsynsmail/A 16515-2023 tillsynsbegäran mail.docx", "A 16515-2023")</f>
        <v/>
      </c>
    </row>
    <row r="64" ht="15" customHeight="1">
      <c r="A64" t="inlineStr">
        <is>
          <t>A 47605-2025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46262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1</v>
      </c>
      <c r="V64" s="2" t="inlineStr">
        <is>
          <t>Tjäder</t>
        </is>
      </c>
      <c r="W64">
        <f>HYPERLINK("https://klasma.github.io/Logging_2132/artfynd/A 47605-2025 artfynd.xlsx", "A 47605-2025")</f>
        <v/>
      </c>
      <c r="X64">
        <f>HYPERLINK("https://klasma.github.io/Logging_2132/kartor/A 47605-2025 karta.png", "A 47605-2025")</f>
        <v/>
      </c>
      <c r="Y64">
        <f>HYPERLINK("https://klasma.github.io/Logging_2132/kartor_geotiff/A 47605-2025 georefererad karta.tif", "A 47605-2025")</f>
        <v/>
      </c>
      <c r="AA64">
        <f>HYPERLINK("https://klasma.github.io/Logging_2132/klagomål/A 47605-2025 FSC-klagomål.docx", "A 47605-2025")</f>
        <v/>
      </c>
      <c r="AB64">
        <f>HYPERLINK("https://klasma.github.io/Logging_2132/klagomålsmail/A 47605-2025 FSC-klagomål mail.docx", "A 47605-2025")</f>
        <v/>
      </c>
      <c r="AC64">
        <f>HYPERLINK("https://klasma.github.io/Logging_2132/tillsyn/A 47605-2025 tillsynsbegäran.docx", "A 47605-2025")</f>
        <v/>
      </c>
      <c r="AD64">
        <f>HYPERLINK("https://klasma.github.io/Logging_2132/tillsynsmail/A 47605-2025 tillsynsbegäran mail.docx", "A 47605-2025")</f>
        <v/>
      </c>
      <c r="AE64">
        <f>HYPERLINK("https://klasma.github.io/Logging_2132/fåglar/A 47605-2025 prioriterade fågelarter.docx", "A 47605-2025")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46262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20441-2023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45056</v>
      </c>
      <c r="E66" s="1" t="n">
        <v>46262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Orre</t>
        </is>
      </c>
      <c r="W66">
        <f>HYPERLINK("https://klasma.github.io/Logging_2132/artfynd/A 20441-2023 artfynd.xlsx", "A 20441-2023")</f>
        <v/>
      </c>
      <c r="X66">
        <f>HYPERLINK("https://klasma.github.io/Logging_2132/kartor/A 20441-2023 karta.png", "A 20441-2023")</f>
        <v/>
      </c>
      <c r="Y66">
        <f>HYPERLINK("https://klasma.github.io/Logging_2132/kartor_geotiff/A 20441-2023 georefererad karta.tif", "A 20441-2023")</f>
        <v/>
      </c>
      <c r="AA66">
        <f>HYPERLINK("https://klasma.github.io/Logging_2132/klagomål/A 20441-2023 FSC-klagomål.docx", "A 20441-2023")</f>
        <v/>
      </c>
      <c r="AB66">
        <f>HYPERLINK("https://klasma.github.io/Logging_2132/klagomålsmail/A 20441-2023 FSC-klagomål mail.docx", "A 20441-2023")</f>
        <v/>
      </c>
      <c r="AC66">
        <f>HYPERLINK("https://klasma.github.io/Logging_2132/tillsyn/A 20441-2023 tillsynsbegäran.docx", "A 20441-2023")</f>
        <v/>
      </c>
      <c r="AD66">
        <f>HYPERLINK("https://klasma.github.io/Logging_2132/tillsynsmail/A 20441-2023 tillsynsbegäran mail.docx", "A 20441-2023")</f>
        <v/>
      </c>
      <c r="AE66">
        <f>HYPERLINK("https://klasma.github.io/Logging_2132/fåglar/A 20441-2023 prioriterade fågelarter.docx", "A 20441-2023")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46262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46262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16809-2022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44673</v>
      </c>
      <c r="E69" s="1" t="n">
        <v>46262</v>
      </c>
      <c r="F69" t="inlineStr">
        <is>
          <t>GÄVLEBORGS LÄN</t>
        </is>
      </c>
      <c r="G69" t="inlineStr">
        <is>
          <t>NORDANSTIG</t>
        </is>
      </c>
      <c r="I69" t="n">
        <v>4.4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Garnlav</t>
        </is>
      </c>
      <c r="W69">
        <f>HYPERLINK("https://klasma.github.io/Logging_2132/artfynd/A 16809-2022 artfynd.xlsx", "A 16809-2022")</f>
        <v/>
      </c>
      <c r="X69">
        <f>HYPERLINK("https://klasma.github.io/Logging_2132/kartor/A 16809-2022 karta.png", "A 16809-2022")</f>
        <v/>
      </c>
      <c r="Y69">
        <f>HYPERLINK("https://klasma.github.io/Logging_2132/kartor_geotiff/A 16809-2022 georefererad karta.tif", "A 16809-2022")</f>
        <v/>
      </c>
      <c r="AA69">
        <f>HYPERLINK("https://klasma.github.io/Logging_2132/klagomål/A 16809-2022 FSC-klagomål.docx", "A 16809-2022")</f>
        <v/>
      </c>
      <c r="AB69">
        <f>HYPERLINK("https://klasma.github.io/Logging_2132/klagomålsmail/A 16809-2022 FSC-klagomål mail.docx", "A 16809-2022")</f>
        <v/>
      </c>
      <c r="AC69">
        <f>HYPERLINK("https://klasma.github.io/Logging_2132/tillsyn/A 16809-2022 tillsynsbegäran.docx", "A 16809-2022")</f>
        <v/>
      </c>
      <c r="AD69">
        <f>HYPERLINK("https://klasma.github.io/Logging_2132/tillsynsmail/A 16809-2022 tillsynsbegäran mail.docx", "A 16809-2022")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46262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45296</v>
      </c>
      <c r="E71" s="1" t="n">
        <v>46262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HYPERLINK("https://klasma.github.io/Logging_2132/artfynd/A 377-2024 artfynd.xlsx", "A 377-2024")</f>
        <v/>
      </c>
      <c r="X71">
        <f>HYPERLINK("https://klasma.github.io/Logging_2132/kartor/A 377-2024 karta.png", "A 377-2024")</f>
        <v/>
      </c>
      <c r="Y71">
        <f>HYPERLINK("https://klasma.github.io/Logging_2132/kartor_geotiff/A 377-2024 georefererad karta.tif", "A 377-2024")</f>
        <v/>
      </c>
      <c r="AA71">
        <f>HYPERLINK("https://klasma.github.io/Logging_2132/klagomål/A 377-2024 FSC-klagomål.docx", "A 377-2024")</f>
        <v/>
      </c>
      <c r="AB71">
        <f>HYPERLINK("https://klasma.github.io/Logging_2132/klagomålsmail/A 377-2024 FSC-klagomål mail.docx", "A 377-2024")</f>
        <v/>
      </c>
      <c r="AC71">
        <f>HYPERLINK("https://klasma.github.io/Logging_2132/tillsyn/A 377-2024 tillsynsbegäran.docx", "A 377-2024")</f>
        <v/>
      </c>
      <c r="AD71">
        <f>HYPERLINK("https://klasma.github.io/Logging_2132/tillsynsmail/A 377-2024 tillsynsbegäran mail.docx", "A 377-2024")</f>
        <v/>
      </c>
      <c r="AE71">
        <f>HYPERLINK("https://klasma.github.io/Logging_2132/fåglar/A 377-2024 prioriterade fågelarter.docx", "A 377-2024")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46262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46262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46262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46262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11895-2026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46262</v>
      </c>
      <c r="F76" t="inlineStr">
        <is>
          <t>GÄVLEBORGS LÄN</t>
        </is>
      </c>
      <c r="G76" t="inlineStr">
        <is>
          <t>NORDANSTIG</t>
        </is>
      </c>
      <c r="I76" t="n">
        <v>21.2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Sötgräs</t>
        </is>
      </c>
      <c r="W76">
        <f>HYPERLINK("https://klasma.github.io/Logging_2132/artfynd/A 11895-2026 artfynd.xlsx", "A 11895-2026")</f>
        <v/>
      </c>
      <c r="X76">
        <f>HYPERLINK("https://klasma.github.io/Logging_2132/kartor/A 11895-2026 karta.png", "A 11895-2026")</f>
        <v/>
      </c>
      <c r="Y76">
        <f>HYPERLINK("https://klasma.github.io/Logging_2132/kartor_geotiff/A 11895-2026 georefererad karta.tif", "A 11895-2026")</f>
        <v/>
      </c>
      <c r="AA76">
        <f>HYPERLINK("https://klasma.github.io/Logging_2132/klagomål/A 11895-2026 FSC-klagomål.docx", "A 11895-2026")</f>
        <v/>
      </c>
      <c r="AB76">
        <f>HYPERLINK("https://klasma.github.io/Logging_2132/klagomålsmail/A 11895-2026 FSC-klagomål mail.docx", "A 11895-2026")</f>
        <v/>
      </c>
      <c r="AC76">
        <f>HYPERLINK("https://klasma.github.io/Logging_2132/tillsyn/A 11895-2026 tillsynsbegäran.docx", "A 11895-2026")</f>
        <v/>
      </c>
      <c r="AD76">
        <f>HYPERLINK("https://klasma.github.io/Logging_2132/tillsynsmail/A 11895-2026 tillsynsbegäran mail.docx", "A 11895-2026")</f>
        <v/>
      </c>
    </row>
    <row r="77" ht="15" customHeight="1">
      <c r="A77" t="inlineStr">
        <is>
          <t>A 25625-2026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46262</v>
      </c>
      <c r="F77" t="inlineStr">
        <is>
          <t>GÄVLEBORGS LÄN</t>
        </is>
      </c>
      <c r="G77" t="inlineStr">
        <is>
          <t>NORDANSTIG</t>
        </is>
      </c>
      <c r="H77" t="inlineStr">
        <is>
          <t>SCA</t>
        </is>
      </c>
      <c r="I77" t="n">
        <v>0.7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13</v>
      </c>
      <c r="U77" t="n">
        <v>0</v>
      </c>
      <c r="V77" s="2" t="inlineStr">
        <is>
          <t>Skogsknipprot</t>
        </is>
      </c>
      <c r="W77">
        <f>HYPERLINK("https://klasma.github.io/Logging_2132/artfynd/A 25625-2026 artfynd.xlsx", "A 25625-2026")</f>
        <v/>
      </c>
      <c r="X77">
        <f>HYPERLINK("https://klasma.github.io/Logging_2132/kartor/A 25625-2026 karta.png", "A 25625-2026")</f>
        <v/>
      </c>
      <c r="Y77">
        <f>HYPERLINK("https://klasma.github.io/Logging_2132/kartor_geotiff/A 25625-2026 georefererad karta.tif", "A 25625-2026")</f>
        <v/>
      </c>
      <c r="AA77">
        <f>HYPERLINK("https://klasma.github.io/Logging_2132/klagomål/A 25625-2026 FSC-klagomål.docx", "A 25625-2026")</f>
        <v/>
      </c>
      <c r="AB77">
        <f>HYPERLINK("https://klasma.github.io/Logging_2132/klagomålsmail/A 25625-2026 FSC-klagomål mail.docx", "A 25625-2026")</f>
        <v/>
      </c>
      <c r="AC77">
        <f>HYPERLINK("https://klasma.github.io/Logging_2132/tillsyn/A 25625-2026 tillsynsbegäran.docx", "A 25625-2026")</f>
        <v/>
      </c>
      <c r="AD77">
        <f>HYPERLINK("https://klasma.github.io/Logging_2132/tillsynsmail/A 25625-2026 tillsynsbegäran mail.docx", "A 25625-2026")</f>
        <v/>
      </c>
    </row>
    <row r="78" ht="15" customHeight="1">
      <c r="A78" t="inlineStr">
        <is>
          <t>A 26278-2026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46262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Lavskrika</t>
        </is>
      </c>
      <c r="W78">
        <f>HYPERLINK("https://klasma.github.io/Logging_2132/artfynd/A 26278-2026 artfynd.xlsx", "A 26278-2026")</f>
        <v/>
      </c>
      <c r="X78">
        <f>HYPERLINK("https://klasma.github.io/Logging_2132/kartor/A 26278-2026 karta.png", "A 26278-2026")</f>
        <v/>
      </c>
      <c r="Y78">
        <f>HYPERLINK("https://klasma.github.io/Logging_2132/kartor_geotiff/A 26278-2026 georefererad karta.tif", "A 26278-2026")</f>
        <v/>
      </c>
      <c r="AA78">
        <f>HYPERLINK("https://klasma.github.io/Logging_2132/klagomål/A 26278-2026 FSC-klagomål.docx", "A 26278-2026")</f>
        <v/>
      </c>
      <c r="AB78">
        <f>HYPERLINK("https://klasma.github.io/Logging_2132/klagomålsmail/A 26278-2026 FSC-klagomål mail.docx", "A 26278-2026")</f>
        <v/>
      </c>
      <c r="AC78">
        <f>HYPERLINK("https://klasma.github.io/Logging_2132/tillsyn/A 26278-2026 tillsynsbegäran.docx", "A 26278-2026")</f>
        <v/>
      </c>
      <c r="AD78">
        <f>HYPERLINK("https://klasma.github.io/Logging_2132/tillsynsmail/A 26278-2026 tillsynsbegäran mail.docx", "A 26278-2026")</f>
        <v/>
      </c>
      <c r="AE78">
        <f>HYPERLINK("https://klasma.github.io/Logging_2132/fåglar/A 26278-2026 prioriterade fågelarter.docx", "A 26278-2026")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46262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A 13089-2025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46262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5.5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HYPERLINK("https://klasma.github.io/Logging_2132/artfynd/A 13089-2025 artfynd.xlsx", "A 13089-2025")</f>
        <v/>
      </c>
      <c r="X80">
        <f>HYPERLINK("https://klasma.github.io/Logging_2132/kartor/A 13089-2025 karta.png", "A 13089-2025")</f>
        <v/>
      </c>
      <c r="Y80">
        <f>HYPERLINK("https://klasma.github.io/Logging_2132/kartor_geotiff/A 13089-2025 georefererad karta.tif", "A 13089-2025")</f>
        <v/>
      </c>
      <c r="AA80">
        <f>HYPERLINK("https://klasma.github.io/Logging_2132/klagomål/A 13089-2025 FSC-klagomål.docx", "A 13089-2025")</f>
        <v/>
      </c>
      <c r="AB80">
        <f>HYPERLINK("https://klasma.github.io/Logging_2132/klagomålsmail/A 13089-2025 FSC-klagomål mail.docx", "A 13089-2025")</f>
        <v/>
      </c>
      <c r="AC80">
        <f>HYPERLINK("https://klasma.github.io/Logging_2132/tillsyn/A 13089-2025 tillsynsbegäran.docx", "A 13089-2025")</f>
        <v/>
      </c>
      <c r="AD80">
        <f>HYPERLINK("https://klasma.github.io/Logging_2132/tillsynsmail/A 13089-2025 tillsynsbegäran mail.docx", "A 13089-2025")</f>
        <v/>
      </c>
      <c r="AE80">
        <f>HYPERLINK("https://klasma.github.io/Logging_2132/fåglar/A 13089-2025 prioriterade fågelarter.docx", "A 13089-2025")</f>
        <v/>
      </c>
    </row>
    <row r="81" ht="15" customHeight="1">
      <c r="A81" t="inlineStr">
        <is>
          <t>A 20566-2025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46262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HYPERLINK("https://klasma.github.io/Logging_2132/artfynd/A 20566-2025 artfynd.xlsx", "A 20566-2025")</f>
        <v/>
      </c>
      <c r="X81">
        <f>HYPERLINK("https://klasma.github.io/Logging_2132/kartor/A 20566-2025 karta.png", "A 20566-2025")</f>
        <v/>
      </c>
      <c r="Y81">
        <f>HYPERLINK("https://klasma.github.io/Logging_2132/kartor_geotiff/A 20566-2025 georefererad karta.tif", "A 20566-2025")</f>
        <v/>
      </c>
      <c r="AA81">
        <f>HYPERLINK("https://klasma.github.io/Logging_2132/klagomål/A 20566-2025 FSC-klagomål.docx", "A 20566-2025")</f>
        <v/>
      </c>
      <c r="AB81">
        <f>HYPERLINK("https://klasma.github.io/Logging_2132/klagomålsmail/A 20566-2025 FSC-klagomål mail.docx", "A 20566-2025")</f>
        <v/>
      </c>
      <c r="AC81">
        <f>HYPERLINK("https://klasma.github.io/Logging_2132/tillsyn/A 20566-2025 tillsynsbegäran.docx", "A 20566-2025")</f>
        <v/>
      </c>
      <c r="AD81">
        <f>HYPERLINK("https://klasma.github.io/Logging_2132/tillsynsmail/A 20566-2025 tillsynsbegäran mail.docx", "A 20566-2025")</f>
        <v/>
      </c>
    </row>
    <row r="82" ht="15" customHeight="1">
      <c r="A82" t="inlineStr">
        <is>
          <t>A 18681-2025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46262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HYPERLINK("https://klasma.github.io/Logging_2132/artfynd/A 18681-2025 artfynd.xlsx", "A 18681-2025")</f>
        <v/>
      </c>
      <c r="X82">
        <f>HYPERLINK("https://klasma.github.io/Logging_2132/kartor/A 18681-2025 karta.png", "A 18681-2025")</f>
        <v/>
      </c>
      <c r="Y82">
        <f>HYPERLINK("https://klasma.github.io/Logging_2132/kartor_geotiff/A 18681-2025 georefererad karta.tif", "A 18681-2025")</f>
        <v/>
      </c>
      <c r="AA82">
        <f>HYPERLINK("https://klasma.github.io/Logging_2132/klagomål/A 18681-2025 FSC-klagomål.docx", "A 18681-2025")</f>
        <v/>
      </c>
      <c r="AB82">
        <f>HYPERLINK("https://klasma.github.io/Logging_2132/klagomålsmail/A 18681-2025 FSC-klagomål mail.docx", "A 18681-2025")</f>
        <v/>
      </c>
      <c r="AC82">
        <f>HYPERLINK("https://klasma.github.io/Logging_2132/tillsyn/A 18681-2025 tillsynsbegäran.docx", "A 18681-2025")</f>
        <v/>
      </c>
      <c r="AD82">
        <f>HYPERLINK("https://klasma.github.io/Logging_2132/tillsynsmail/A 18681-2025 tillsynsbegäran mail.docx", "A 18681-2025")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46262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46262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46262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46262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46262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46262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46262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46262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46262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46262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46262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46262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46262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46262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46262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46262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46262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55314-2021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44475</v>
      </c>
      <c r="E104" s="1" t="n">
        <v>46262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46262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46262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46262</v>
      </c>
      <c r="F107" t="inlineStr">
        <is>
          <t>GÄVLEBORGS LÄN</t>
        </is>
      </c>
      <c r="G107" t="inlineStr">
        <is>
          <t>NORDANSTIG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44816</v>
      </c>
      <c r="E108" s="1" t="n">
        <v>46262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46262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46262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72594-2021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46262</v>
      </c>
      <c r="F111" t="inlineStr">
        <is>
          <t>GÄVLEBORGS LÄN</t>
        </is>
      </c>
      <c r="G111" t="inlineStr">
        <is>
          <t>NORDANSTIG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46262</v>
      </c>
      <c r="F112" t="inlineStr">
        <is>
          <t>GÄVLEBORGS LÄN</t>
        </is>
      </c>
      <c r="G112" t="inlineStr">
        <is>
          <t>NORDANSTIG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46262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46262</v>
      </c>
      <c r="F114" t="inlineStr">
        <is>
          <t>GÄVLEBORGS LÄN</t>
        </is>
      </c>
      <c r="G114" t="inlineStr">
        <is>
          <t>NORDANSTIG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44651</v>
      </c>
      <c r="E115" s="1" t="n">
        <v>46262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53673-2022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46262</v>
      </c>
      <c r="F116" t="inlineStr">
        <is>
          <t>GÄVLEBORGS LÄN</t>
        </is>
      </c>
      <c r="G116" t="inlineStr">
        <is>
          <t>NORDANSTIG</t>
        </is>
      </c>
      <c r="H116" t="inlineStr">
        <is>
          <t>SCA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63656-2021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46262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44461</v>
      </c>
      <c r="E118" s="1" t="n">
        <v>46262</v>
      </c>
      <c r="F118" t="inlineStr">
        <is>
          <t>GÄVLEBORGS LÄN</t>
        </is>
      </c>
      <c r="G118" t="inlineStr">
        <is>
          <t>NORDANSTIG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46262</v>
      </c>
      <c r="F119" t="inlineStr">
        <is>
          <t>GÄVLEBORGS LÄN</t>
        </is>
      </c>
      <c r="G119" t="inlineStr">
        <is>
          <t>NORDANSTIG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46262</v>
      </c>
      <c r="F120" t="inlineStr">
        <is>
          <t>GÄVLEBORGS LÄN</t>
        </is>
      </c>
      <c r="G120" t="inlineStr">
        <is>
          <t>NORDANSTIG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44691</v>
      </c>
      <c r="E121" s="1" t="n">
        <v>46262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46262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46262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46262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46262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72435-2021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44545</v>
      </c>
      <c r="E126" s="1" t="n">
        <v>46262</v>
      </c>
      <c r="F126" t="inlineStr">
        <is>
          <t>GÄVLEBORGS LÄN</t>
        </is>
      </c>
      <c r="G126" t="inlineStr">
        <is>
          <t>NORDANSTIG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44634</v>
      </c>
      <c r="E127" s="1" t="n">
        <v>46262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46262</v>
      </c>
      <c r="F128" t="inlineStr">
        <is>
          <t>GÄVLEBORGS LÄN</t>
        </is>
      </c>
      <c r="G128" t="inlineStr">
        <is>
          <t>NORDANSTIG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46262</v>
      </c>
      <c r="F129" t="inlineStr">
        <is>
          <t>GÄVLEBORGS LÄN</t>
        </is>
      </c>
      <c r="G129" t="inlineStr">
        <is>
          <t>NORDANSTIG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46262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46262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46262</v>
      </c>
      <c r="F132" t="inlineStr">
        <is>
          <t>GÄVLEBORGS LÄN</t>
        </is>
      </c>
      <c r="G132" t="inlineStr">
        <is>
          <t>NORDANSTIG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44692</v>
      </c>
      <c r="E133" s="1" t="n">
        <v>46262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46262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46262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46262</v>
      </c>
      <c r="F136" t="inlineStr">
        <is>
          <t>GÄVLEBORGS LÄN</t>
        </is>
      </c>
      <c r="G136" t="inlineStr">
        <is>
          <t>NORDANSTIG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44764</v>
      </c>
      <c r="E137" s="1" t="n">
        <v>46262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46262</v>
      </c>
      <c r="F138" t="inlineStr">
        <is>
          <t>GÄVLEBORGS LÄN</t>
        </is>
      </c>
      <c r="G138" t="inlineStr">
        <is>
          <t>NORDANSTIG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46262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46262</v>
      </c>
      <c r="F140" t="inlineStr">
        <is>
          <t>GÄVLEBORGS LÄN</t>
        </is>
      </c>
      <c r="G140" t="inlineStr">
        <is>
          <t>NORDANSTIG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46262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46262</v>
      </c>
      <c r="F142" t="inlineStr">
        <is>
          <t>GÄVLEBORGS LÄN</t>
        </is>
      </c>
      <c r="G142" t="inlineStr">
        <is>
          <t>NORDANSTIG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46262</v>
      </c>
      <c r="F143" t="inlineStr">
        <is>
          <t>GÄVLEBORGS LÄN</t>
        </is>
      </c>
      <c r="G143" t="inlineStr">
        <is>
          <t>NORDANSTIG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46262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46262</v>
      </c>
      <c r="F145" t="inlineStr">
        <is>
          <t>GÄVLEBORGS LÄN</t>
        </is>
      </c>
      <c r="G145" t="inlineStr">
        <is>
          <t>NORDANSTIG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46262</v>
      </c>
      <c r="F146" t="inlineStr">
        <is>
          <t>GÄVLEBORGS LÄN</t>
        </is>
      </c>
      <c r="G146" t="inlineStr">
        <is>
          <t>NORDANSTIG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44461</v>
      </c>
      <c r="E147" s="1" t="n">
        <v>46262</v>
      </c>
      <c r="F147" t="inlineStr">
        <is>
          <t>GÄVLEBORGS LÄN</t>
        </is>
      </c>
      <c r="G147" t="inlineStr">
        <is>
          <t>NORDANSTIG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44728</v>
      </c>
      <c r="E148" s="1" t="n">
        <v>46262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44785</v>
      </c>
      <c r="E149" s="1" t="n">
        <v>46262</v>
      </c>
      <c r="F149" t="inlineStr">
        <is>
          <t>GÄVLEBORGS LÄN</t>
        </is>
      </c>
      <c r="G149" t="inlineStr">
        <is>
          <t>NORDANSTIG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46262</v>
      </c>
      <c r="F150" t="inlineStr">
        <is>
          <t>GÄVLEBORGS LÄN</t>
        </is>
      </c>
      <c r="G150" t="inlineStr">
        <is>
          <t>NORDANSTIG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46262</v>
      </c>
      <c r="F151" t="inlineStr">
        <is>
          <t>GÄVLEBORGS LÄN</t>
        </is>
      </c>
      <c r="G151" t="inlineStr">
        <is>
          <t>NORDANSTIG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46262</v>
      </c>
      <c r="F152" t="inlineStr">
        <is>
          <t>GÄVLEBORGS LÄN</t>
        </is>
      </c>
      <c r="G152" t="inlineStr">
        <is>
          <t>NORDANSTIG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46262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46262</v>
      </c>
      <c r="F154" t="inlineStr">
        <is>
          <t>GÄVLEBORGS LÄN</t>
        </is>
      </c>
      <c r="G154" t="inlineStr">
        <is>
          <t>NORDANSTIG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44684</v>
      </c>
      <c r="E155" s="1" t="n">
        <v>46262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46262</v>
      </c>
      <c r="F156" t="inlineStr">
        <is>
          <t>GÄVLEBORGS LÄN</t>
        </is>
      </c>
      <c r="G156" t="inlineStr">
        <is>
          <t>NORDANSTIG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26113-2022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44734</v>
      </c>
      <c r="E157" s="1" t="n">
        <v>46262</v>
      </c>
      <c r="F157" t="inlineStr">
        <is>
          <t>GÄVLEBORGS LÄN</t>
        </is>
      </c>
      <c r="G157" t="inlineStr">
        <is>
          <t>NORDANSTIG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46262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15312-2022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46262</v>
      </c>
      <c r="F159" t="inlineStr">
        <is>
          <t>GÄVLEBORGS LÄN</t>
        </is>
      </c>
      <c r="G159" t="inlineStr">
        <is>
          <t>NORDANSTIG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46262</v>
      </c>
      <c r="F160" t="inlineStr">
        <is>
          <t>GÄVLEBORGS LÄN</t>
        </is>
      </c>
      <c r="G160" t="inlineStr">
        <is>
          <t>NORDANSTIG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46262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46262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44692</v>
      </c>
      <c r="E163" s="1" t="n">
        <v>46262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46262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46262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45644</v>
      </c>
      <c r="E166" s="1" t="n">
        <v>46262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45289</v>
      </c>
      <c r="E167" s="1" t="n">
        <v>46262</v>
      </c>
      <c r="F167" t="inlineStr">
        <is>
          <t>GÄVLEBORGS LÄN</t>
        </is>
      </c>
      <c r="G167" t="inlineStr">
        <is>
          <t>NORDANSTIG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46262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46262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46262</v>
      </c>
      <c r="F170" t="inlineStr">
        <is>
          <t>GÄVLEBORGS LÄN</t>
        </is>
      </c>
      <c r="G170" t="inlineStr">
        <is>
          <t>NORDANSTIG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46262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34339-2023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45139</v>
      </c>
      <c r="E172" s="1" t="n">
        <v>46262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46262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62465-2021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46262</v>
      </c>
      <c r="F174" t="inlineStr">
        <is>
          <t>GÄVLEBORGS LÄN</t>
        </is>
      </c>
      <c r="G174" t="inlineStr">
        <is>
          <t>NORDANSTIG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46262</v>
      </c>
      <c r="F175" t="inlineStr">
        <is>
          <t>GÄVLEBORGS LÄN</t>
        </is>
      </c>
      <c r="G175" t="inlineStr">
        <is>
          <t>NORDANSTIG</t>
        </is>
      </c>
      <c r="I175" t="n">
        <v>10.1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46262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46262</v>
      </c>
      <c r="F177" t="inlineStr">
        <is>
          <t>GÄVLEBORGS LÄN</t>
        </is>
      </c>
      <c r="G177" t="inlineStr">
        <is>
          <t>NORDANSTIG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44599</v>
      </c>
      <c r="E178" s="1" t="n">
        <v>46262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46262</v>
      </c>
      <c r="F179" t="inlineStr">
        <is>
          <t>GÄVLEBORGS LÄN</t>
        </is>
      </c>
      <c r="G179" t="inlineStr">
        <is>
          <t>NORDANSTIG</t>
        </is>
      </c>
      <c r="H179" t="inlineStr">
        <is>
          <t>SCA</t>
        </is>
      </c>
      <c r="I179" t="n">
        <v>11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44999</v>
      </c>
      <c r="E180" s="1" t="n">
        <v>46262</v>
      </c>
      <c r="F180" t="inlineStr">
        <is>
          <t>GÄVLEBORGS LÄN</t>
        </is>
      </c>
      <c r="G180" t="inlineStr">
        <is>
          <t>NORDANSTIG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46262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45498</v>
      </c>
      <c r="E182" s="1" t="n">
        <v>46262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40241-2023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45169</v>
      </c>
      <c r="E183" s="1" t="n">
        <v>46262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45784</v>
      </c>
      <c r="E184" s="1" t="n">
        <v>46262</v>
      </c>
      <c r="F184" t="inlineStr">
        <is>
          <t>GÄVLEBORGS LÄN</t>
        </is>
      </c>
      <c r="G184" t="inlineStr">
        <is>
          <t>NORDANSTIG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46262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46262</v>
      </c>
      <c r="F186" t="inlineStr">
        <is>
          <t>GÄVLEBORGS LÄN</t>
        </is>
      </c>
      <c r="G186" t="inlineStr">
        <is>
          <t>NORDANSTIG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46262</v>
      </c>
      <c r="F187" t="inlineStr">
        <is>
          <t>GÄVLEBORGS LÄN</t>
        </is>
      </c>
      <c r="G187" t="inlineStr">
        <is>
          <t>NORDANSTIG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45120</v>
      </c>
      <c r="E188" s="1" t="n">
        <v>46262</v>
      </c>
      <c r="F188" t="inlineStr">
        <is>
          <t>GÄVLEBORGS LÄN</t>
        </is>
      </c>
      <c r="G188" t="inlineStr">
        <is>
          <t>NORDANSTIG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46262</v>
      </c>
      <c r="F189" t="inlineStr">
        <is>
          <t>GÄVLEBORGS LÄN</t>
        </is>
      </c>
      <c r="G189" t="inlineStr">
        <is>
          <t>NORDANSTIG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46262</v>
      </c>
      <c r="F190" t="inlineStr">
        <is>
          <t>GÄVLEBORGS LÄN</t>
        </is>
      </c>
      <c r="G190" t="inlineStr">
        <is>
          <t>NORDANSTIG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46262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45786</v>
      </c>
      <c r="E192" s="1" t="n">
        <v>46262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50824-2025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46262</v>
      </c>
      <c r="F193" t="inlineStr">
        <is>
          <t>GÄVLEBORGS LÄN</t>
        </is>
      </c>
      <c r="G193" t="inlineStr">
        <is>
          <t>NORDANSTIG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46262</v>
      </c>
      <c r="F194" t="inlineStr">
        <is>
          <t>GÄVLEBORGS LÄN</t>
        </is>
      </c>
      <c r="G194" t="inlineStr">
        <is>
          <t>NORDANSTIG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46262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46262</v>
      </c>
      <c r="F196" t="inlineStr">
        <is>
          <t>GÄVLEBORGS LÄN</t>
        </is>
      </c>
      <c r="G196" t="inlineStr">
        <is>
          <t>NORDANSTIG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45786</v>
      </c>
      <c r="E197" s="1" t="n">
        <v>46262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46262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44601</v>
      </c>
      <c r="E199" s="1" t="n">
        <v>46262</v>
      </c>
      <c r="F199" t="inlineStr">
        <is>
          <t>GÄVLEBORGS LÄN</t>
        </is>
      </c>
      <c r="G199" t="inlineStr">
        <is>
          <t>NORDANSTIG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46262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46262</v>
      </c>
      <c r="F201" t="inlineStr">
        <is>
          <t>GÄVLEBORGS LÄN</t>
        </is>
      </c>
      <c r="G201" t="inlineStr">
        <is>
          <t>NORDANSTIG</t>
        </is>
      </c>
      <c r="I201" t="n">
        <v>30.9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51464-2025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45950</v>
      </c>
      <c r="E202" s="1" t="n">
        <v>46262</v>
      </c>
      <c r="F202" t="inlineStr">
        <is>
          <t>GÄVLEBORGS LÄN</t>
        </is>
      </c>
      <c r="G202" t="inlineStr">
        <is>
          <t>NORDANSTIG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44788</v>
      </c>
      <c r="E203" s="1" t="n">
        <v>46262</v>
      </c>
      <c r="F203" t="inlineStr">
        <is>
          <t>GÄVLEBORGS LÄN</t>
        </is>
      </c>
      <c r="G203" t="inlineStr">
        <is>
          <t>NORDANSTIG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46262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46262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45790</v>
      </c>
      <c r="E206" s="1" t="n">
        <v>46262</v>
      </c>
      <c r="F206" t="inlineStr">
        <is>
          <t>GÄVLEBORGS LÄN</t>
        </is>
      </c>
      <c r="G206" t="inlineStr">
        <is>
          <t>NORDANSTIG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46262</v>
      </c>
      <c r="F207" t="inlineStr">
        <is>
          <t>GÄVLEBORGS LÄN</t>
        </is>
      </c>
      <c r="G207" t="inlineStr">
        <is>
          <t>NORDANSTIG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46262</v>
      </c>
      <c r="F208" t="inlineStr">
        <is>
          <t>GÄVLEBORGS LÄN</t>
        </is>
      </c>
      <c r="G208" t="inlineStr">
        <is>
          <t>NORDANSTIG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46262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46262</v>
      </c>
      <c r="F210" t="inlineStr">
        <is>
          <t>GÄVLEBORGS LÄN</t>
        </is>
      </c>
      <c r="G210" t="inlineStr">
        <is>
          <t>NORDANSTIG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46262</v>
      </c>
      <c r="F211" t="inlineStr">
        <is>
          <t>GÄVLEBORGS LÄN</t>
        </is>
      </c>
      <c r="G211" t="inlineStr">
        <is>
          <t>NORDANSTIG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46262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46262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44795</v>
      </c>
      <c r="E214" s="1" t="n">
        <v>46262</v>
      </c>
      <c r="F214" t="inlineStr">
        <is>
          <t>GÄVLEBORGS LÄN</t>
        </is>
      </c>
      <c r="G214" t="inlineStr">
        <is>
          <t>NORDANSTIG</t>
        </is>
      </c>
      <c r="I214" t="n">
        <v>7.8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46262</v>
      </c>
      <c r="F215" t="inlineStr">
        <is>
          <t>GÄVLEBORGS LÄN</t>
        </is>
      </c>
      <c r="G215" t="inlineStr">
        <is>
          <t>NORDANSTIG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46262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20137-2023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45055</v>
      </c>
      <c r="E217" s="1" t="n">
        <v>46262</v>
      </c>
      <c r="F217" t="inlineStr">
        <is>
          <t>GÄVLEBORGS LÄN</t>
        </is>
      </c>
      <c r="G217" t="inlineStr">
        <is>
          <t>NORDANSTIG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46262</v>
      </c>
      <c r="F218" t="inlineStr">
        <is>
          <t>GÄVLEBORGS LÄN</t>
        </is>
      </c>
      <c r="G218" t="inlineStr">
        <is>
          <t>NORDANSTIG</t>
        </is>
      </c>
      <c r="I218" t="n">
        <v>10.8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42118-2022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46262</v>
      </c>
      <c r="F219" t="inlineStr">
        <is>
          <t>GÄVLEBORGS LÄN</t>
        </is>
      </c>
      <c r="G219" t="inlineStr">
        <is>
          <t>NORDANSTIG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46262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45345</v>
      </c>
      <c r="E221" s="1" t="n">
        <v>46262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62.5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45345</v>
      </c>
      <c r="E222" s="1" t="n">
        <v>46262</v>
      </c>
      <c r="F222" t="inlineStr">
        <is>
          <t>GÄVLEBORGS LÄN</t>
        </is>
      </c>
      <c r="G222" t="inlineStr">
        <is>
          <t>NORDANSTIG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46262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44895</v>
      </c>
      <c r="E224" s="1" t="n">
        <v>46262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46262</v>
      </c>
      <c r="F225" t="inlineStr">
        <is>
          <t>GÄVLEBORGS LÄN</t>
        </is>
      </c>
      <c r="G225" t="inlineStr">
        <is>
          <t>NORDANSTIG</t>
        </is>
      </c>
      <c r="I225" t="n">
        <v>12.9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46262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46262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41.3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45191</v>
      </c>
      <c r="E228" s="1" t="n">
        <v>46262</v>
      </c>
      <c r="F228" t="inlineStr">
        <is>
          <t>GÄVLEBORGS LÄN</t>
        </is>
      </c>
      <c r="G228" t="inlineStr">
        <is>
          <t>NORDANSTIG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46262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46262</v>
      </c>
      <c r="F230" t="inlineStr">
        <is>
          <t>GÄVLEBORGS LÄN</t>
        </is>
      </c>
      <c r="G230" t="inlineStr">
        <is>
          <t>NORDANSTIG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46262</v>
      </c>
      <c r="F231" t="inlineStr">
        <is>
          <t>GÄVLEBORGS LÄN</t>
        </is>
      </c>
      <c r="G231" t="inlineStr">
        <is>
          <t>NORDANSTIG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39036-2025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46262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43523-2024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45569</v>
      </c>
      <c r="E233" s="1" t="n">
        <v>46262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46262</v>
      </c>
      <c r="F234" t="inlineStr">
        <is>
          <t>GÄVLEBORGS LÄN</t>
        </is>
      </c>
      <c r="G234" t="inlineStr">
        <is>
          <t>NORDANSTIG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46262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46262</v>
      </c>
      <c r="F236" t="inlineStr">
        <is>
          <t>GÄVLEBORGS LÄN</t>
        </is>
      </c>
      <c r="G236" t="inlineStr">
        <is>
          <t>NORDANSTIG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46262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46262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46262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46262</v>
      </c>
      <c r="F240" t="inlineStr">
        <is>
          <t>GÄVLEBORGS LÄN</t>
        </is>
      </c>
      <c r="G240" t="inlineStr">
        <is>
          <t>NORDANSTIG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45586</v>
      </c>
      <c r="E241" s="1" t="n">
        <v>46262</v>
      </c>
      <c r="F241" t="inlineStr">
        <is>
          <t>GÄVLEBORGS LÄN</t>
        </is>
      </c>
      <c r="G241" t="inlineStr">
        <is>
          <t>NORDANSTIG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35741-2024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46262</v>
      </c>
      <c r="F242" t="inlineStr">
        <is>
          <t>GÄVLEBORGS LÄN</t>
        </is>
      </c>
      <c r="G242" t="inlineStr">
        <is>
          <t>NORDANSTIG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46262</v>
      </c>
      <c r="F243" t="inlineStr">
        <is>
          <t>GÄVLEBORGS LÄN</t>
        </is>
      </c>
      <c r="G243" t="inlineStr">
        <is>
          <t>NORDANSTIG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46262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45802</v>
      </c>
      <c r="E245" s="1" t="n">
        <v>46262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45802</v>
      </c>
      <c r="E246" s="1" t="n">
        <v>46262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46262</v>
      </c>
      <c r="F247" t="inlineStr">
        <is>
          <t>GÄVLEBORGS LÄN</t>
        </is>
      </c>
      <c r="G247" t="inlineStr">
        <is>
          <t>NORDANSTIG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46262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46262</v>
      </c>
      <c r="F249" t="inlineStr">
        <is>
          <t>GÄVLEBORGS LÄN</t>
        </is>
      </c>
      <c r="G249" t="inlineStr">
        <is>
          <t>NORDANSTIG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46262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46262</v>
      </c>
      <c r="F251" t="inlineStr">
        <is>
          <t>GÄVLEBORGS LÄN</t>
        </is>
      </c>
      <c r="G251" t="inlineStr">
        <is>
          <t>NORDANSTIG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46262</v>
      </c>
      <c r="F252" t="inlineStr">
        <is>
          <t>GÄVLEBORGS LÄN</t>
        </is>
      </c>
      <c r="G252" t="inlineStr">
        <is>
          <t>NORDANSTIG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46262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46262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46262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46262</v>
      </c>
      <c r="F256" t="inlineStr">
        <is>
          <t>GÄVLEBORGS LÄN</t>
        </is>
      </c>
      <c r="G256" t="inlineStr">
        <is>
          <t>NORDANSTIG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46262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45802</v>
      </c>
      <c r="E258" s="1" t="n">
        <v>46262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46262</v>
      </c>
      <c r="F259" t="inlineStr">
        <is>
          <t>GÄVLEBORGS LÄN</t>
        </is>
      </c>
      <c r="G259" t="inlineStr">
        <is>
          <t>NORDANSTIG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46262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46262</v>
      </c>
      <c r="F261" t="inlineStr">
        <is>
          <t>GÄVLEBORGS LÄN</t>
        </is>
      </c>
      <c r="G261" t="inlineStr">
        <is>
          <t>NORDANSTIG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44886</v>
      </c>
      <c r="E262" s="1" t="n">
        <v>46262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46262</v>
      </c>
      <c r="F263" t="inlineStr">
        <is>
          <t>GÄVLEBORGS LÄN</t>
        </is>
      </c>
      <c r="G263" t="inlineStr">
        <is>
          <t>NORDANSTIG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41202-2025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46262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45336</v>
      </c>
      <c r="E265" s="1" t="n">
        <v>46262</v>
      </c>
      <c r="F265" t="inlineStr">
        <is>
          <t>GÄVLEBORGS LÄN</t>
        </is>
      </c>
      <c r="G265" t="inlineStr">
        <is>
          <t>NORDANSTIG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44953</v>
      </c>
      <c r="E266" s="1" t="n">
        <v>46262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46262</v>
      </c>
      <c r="F267" t="inlineStr">
        <is>
          <t>GÄVLEBORGS LÄN</t>
        </is>
      </c>
      <c r="G267" t="inlineStr">
        <is>
          <t>NORDANSTIG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14866-2024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45397</v>
      </c>
      <c r="E268" s="1" t="n">
        <v>46262</v>
      </c>
      <c r="F268" t="inlineStr">
        <is>
          <t>GÄVLEBORGS LÄN</t>
        </is>
      </c>
      <c r="G268" t="inlineStr">
        <is>
          <t>NORDANSTIG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52120-2022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44873</v>
      </c>
      <c r="E269" s="1" t="n">
        <v>46262</v>
      </c>
      <c r="F269" t="inlineStr">
        <is>
          <t>GÄVLEBORGS LÄN</t>
        </is>
      </c>
      <c r="G269" t="inlineStr">
        <is>
          <t>NORDANSTIG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46262</v>
      </c>
      <c r="F270" t="inlineStr">
        <is>
          <t>GÄVLEBORGS LÄN</t>
        </is>
      </c>
      <c r="G270" t="inlineStr">
        <is>
          <t>NORDANSTIG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46262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46262</v>
      </c>
      <c r="F272" t="inlineStr">
        <is>
          <t>GÄVLEBORGS LÄN</t>
        </is>
      </c>
      <c r="G272" t="inlineStr">
        <is>
          <t>NORDANSTIG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46262</v>
      </c>
      <c r="F273" t="inlineStr">
        <is>
          <t>GÄVLEBORGS LÄN</t>
        </is>
      </c>
      <c r="G273" t="inlineStr">
        <is>
          <t>NORDANSTIG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46262</v>
      </c>
      <c r="F274" t="inlineStr">
        <is>
          <t>GÄVLEBORGS LÄN</t>
        </is>
      </c>
      <c r="G274" t="inlineStr">
        <is>
          <t>NORDANSTIG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44806</v>
      </c>
      <c r="E275" s="1" t="n">
        <v>46262</v>
      </c>
      <c r="F275" t="inlineStr">
        <is>
          <t>GÄVLEBORGS LÄN</t>
        </is>
      </c>
      <c r="G275" t="inlineStr">
        <is>
          <t>NORDANSTIG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46262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46262</v>
      </c>
      <c r="F277" t="inlineStr">
        <is>
          <t>GÄVLEBORGS LÄN</t>
        </is>
      </c>
      <c r="G277" t="inlineStr">
        <is>
          <t>NORDANSTIG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46262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46262</v>
      </c>
      <c r="F279" t="inlineStr">
        <is>
          <t>GÄVLEBORGS LÄN</t>
        </is>
      </c>
      <c r="G279" t="inlineStr">
        <is>
          <t>NORDANSTIG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45812</v>
      </c>
      <c r="E280" s="1" t="n">
        <v>46262</v>
      </c>
      <c r="F280" t="inlineStr">
        <is>
          <t>GÄVLEBORGS LÄN</t>
        </is>
      </c>
      <c r="G280" t="inlineStr">
        <is>
          <t>NORDANSTIG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46262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45646</v>
      </c>
      <c r="E282" s="1" t="n">
        <v>46262</v>
      </c>
      <c r="F282" t="inlineStr">
        <is>
          <t>GÄVLEBORGS LÄN</t>
        </is>
      </c>
      <c r="G282" t="inlineStr">
        <is>
          <t>NORDANSTIG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46262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46262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45813</v>
      </c>
      <c r="E285" s="1" t="n">
        <v>46262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46262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46262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46262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46262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55186-2025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45968</v>
      </c>
      <c r="E290" s="1" t="n">
        <v>46262</v>
      </c>
      <c r="F290" t="inlineStr">
        <is>
          <t>GÄVLEBORGS LÄN</t>
        </is>
      </c>
      <c r="G290" t="inlineStr">
        <is>
          <t>NORDANSTIG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46262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46262</v>
      </c>
      <c r="F292" t="inlineStr">
        <is>
          <t>GÄVLEBORGS LÄN</t>
        </is>
      </c>
      <c r="G292" t="inlineStr">
        <is>
          <t>NORDANSTIG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46262</v>
      </c>
      <c r="F293" t="inlineStr">
        <is>
          <t>GÄVLEBORGS LÄN</t>
        </is>
      </c>
      <c r="G293" t="inlineStr">
        <is>
          <t>NORDANSTIG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46262</v>
      </c>
      <c r="F294" t="inlineStr">
        <is>
          <t>GÄVLEBORGS LÄN</t>
        </is>
      </c>
      <c r="G294" t="inlineStr">
        <is>
          <t>NORDANSTIG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46262</v>
      </c>
      <c r="F295" t="inlineStr">
        <is>
          <t>GÄVLEBORGS LÄN</t>
        </is>
      </c>
      <c r="G295" t="inlineStr">
        <is>
          <t>NORDANSTIG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46262</v>
      </c>
      <c r="F296" t="inlineStr">
        <is>
          <t>GÄVLEBORGS LÄN</t>
        </is>
      </c>
      <c r="G296" t="inlineStr">
        <is>
          <t>NORDANSTIG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46262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46262</v>
      </c>
      <c r="F298" t="inlineStr">
        <is>
          <t>GÄVLEBORGS LÄN</t>
        </is>
      </c>
      <c r="G298" t="inlineStr">
        <is>
          <t>NORDANSTIG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45663</v>
      </c>
      <c r="E299" s="1" t="n">
        <v>46262</v>
      </c>
      <c r="F299" t="inlineStr">
        <is>
          <t>GÄVLEBORGS LÄN</t>
        </is>
      </c>
      <c r="G299" t="inlineStr">
        <is>
          <t>NORDANSTIG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46262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46262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46262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46262</v>
      </c>
      <c r="F303" t="inlineStr">
        <is>
          <t>GÄVLEBORGS LÄN</t>
        </is>
      </c>
      <c r="G303" t="inlineStr">
        <is>
          <t>NORDANSTIG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57558-2025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45980</v>
      </c>
      <c r="E304" s="1" t="n">
        <v>46262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SCA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57559-2025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45980</v>
      </c>
      <c r="E305" s="1" t="n">
        <v>46262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58522-2025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46262</v>
      </c>
      <c r="F306" t="inlineStr">
        <is>
          <t>GÄVLEBORGS LÄN</t>
        </is>
      </c>
      <c r="G306" t="inlineStr">
        <is>
          <t>NORDANSTIG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46262</v>
      </c>
      <c r="F307" t="inlineStr">
        <is>
          <t>GÄVLEBORGS LÄN</t>
        </is>
      </c>
      <c r="G307" t="inlineStr">
        <is>
          <t>NORDANSTIG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46262</v>
      </c>
      <c r="F308" t="inlineStr">
        <is>
          <t>GÄVLEBORGS LÄN</t>
        </is>
      </c>
      <c r="G308" t="inlineStr">
        <is>
          <t>NORDANSTIG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46262</v>
      </c>
      <c r="F309" t="inlineStr">
        <is>
          <t>GÄVLEBORGS LÄN</t>
        </is>
      </c>
      <c r="G309" t="inlineStr">
        <is>
          <t>NORDANSTIG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46262</v>
      </c>
      <c r="F310" t="inlineStr">
        <is>
          <t>GÄVLEBORGS LÄN</t>
        </is>
      </c>
      <c r="G310" t="inlineStr">
        <is>
          <t>NORDANSTIG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46262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46262</v>
      </c>
      <c r="F312" t="inlineStr">
        <is>
          <t>GÄVLEBORGS LÄN</t>
        </is>
      </c>
      <c r="G312" t="inlineStr">
        <is>
          <t>NORDANSTIG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59008-2025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45987</v>
      </c>
      <c r="E313" s="1" t="n">
        <v>46262</v>
      </c>
      <c r="F313" t="inlineStr">
        <is>
          <t>GÄVLEBORGS LÄN</t>
        </is>
      </c>
      <c r="G313" t="inlineStr">
        <is>
          <t>NORDANSTIG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46262</v>
      </c>
      <c r="F314" t="inlineStr">
        <is>
          <t>GÄVLEBORGS LÄN</t>
        </is>
      </c>
      <c r="G314" t="inlineStr">
        <is>
          <t>NORDANSTIG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46262</v>
      </c>
      <c r="F315" t="inlineStr">
        <is>
          <t>GÄVLEBORGS LÄN</t>
        </is>
      </c>
      <c r="G315" t="inlineStr">
        <is>
          <t>NORDANSTIG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46262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71442-2021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44540</v>
      </c>
      <c r="E317" s="1" t="n">
        <v>46262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46262</v>
      </c>
      <c r="F318" t="inlineStr">
        <is>
          <t>GÄVLEBORGS LÄN</t>
        </is>
      </c>
      <c r="G318" t="inlineStr">
        <is>
          <t>NORDANSTIG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46262</v>
      </c>
      <c r="F319" t="inlineStr">
        <is>
          <t>GÄVLEBORGS LÄN</t>
        </is>
      </c>
      <c r="G319" t="inlineStr">
        <is>
          <t>NORDANSTIG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45306</v>
      </c>
      <c r="E320" s="1" t="n">
        <v>46262</v>
      </c>
      <c r="F320" t="inlineStr">
        <is>
          <t>GÄVLEBORGS LÄN</t>
        </is>
      </c>
      <c r="G320" t="inlineStr">
        <is>
          <t>NORDANSTIG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46262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45680</v>
      </c>
      <c r="E322" s="1" t="n">
        <v>46262</v>
      </c>
      <c r="F322" t="inlineStr">
        <is>
          <t>GÄVLEBORGS LÄN</t>
        </is>
      </c>
      <c r="G322" t="inlineStr">
        <is>
          <t>NORDANSTIG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46262</v>
      </c>
      <c r="F323" t="inlineStr">
        <is>
          <t>GÄVLEBORGS LÄN</t>
        </is>
      </c>
      <c r="G323" t="inlineStr">
        <is>
          <t>NORDANSTIG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46262</v>
      </c>
      <c r="F324" t="inlineStr">
        <is>
          <t>GÄVLEBORGS LÄN</t>
        </is>
      </c>
      <c r="G324" t="inlineStr">
        <is>
          <t>NORDANSTIG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46262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46262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46262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30291-2025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46262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46262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46262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44945</v>
      </c>
      <c r="E331" s="1" t="n">
        <v>46262</v>
      </c>
      <c r="F331" t="inlineStr">
        <is>
          <t>GÄVLEBORGS LÄN</t>
        </is>
      </c>
      <c r="G331" t="inlineStr">
        <is>
          <t>NORDANSTIG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46262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46262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46262</v>
      </c>
      <c r="F334" t="inlineStr">
        <is>
          <t>GÄVLEBORGS LÄN</t>
        </is>
      </c>
      <c r="G334" t="inlineStr">
        <is>
          <t>NORDANSTIG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46262</v>
      </c>
      <c r="F335" t="inlineStr">
        <is>
          <t>GÄVLEBORGS LÄN</t>
        </is>
      </c>
      <c r="G335" t="inlineStr">
        <is>
          <t>NORDANSTIG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46262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46262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46262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46262</v>
      </c>
      <c r="F339" t="inlineStr">
        <is>
          <t>GÄVLEBORGS LÄN</t>
        </is>
      </c>
      <c r="G339" t="inlineStr">
        <is>
          <t>NORDANSTIG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32082-2025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45835</v>
      </c>
      <c r="E340" s="1" t="n">
        <v>46262</v>
      </c>
      <c r="F340" t="inlineStr">
        <is>
          <t>GÄVLEBORGS LÄN</t>
        </is>
      </c>
      <c r="G340" t="inlineStr">
        <is>
          <t>NORDANSTIG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46262</v>
      </c>
      <c r="F341" t="inlineStr">
        <is>
          <t>GÄVLEBORGS LÄN</t>
        </is>
      </c>
      <c r="G341" t="inlineStr">
        <is>
          <t>NORDANSTIG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46262</v>
      </c>
      <c r="F342" t="inlineStr">
        <is>
          <t>GÄVLEBORGS LÄN</t>
        </is>
      </c>
      <c r="G342" t="inlineStr">
        <is>
          <t>NORDANSTIG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45918</v>
      </c>
      <c r="E343" s="1" t="n">
        <v>46262</v>
      </c>
      <c r="F343" t="inlineStr">
        <is>
          <t>GÄVLEBORGS LÄN</t>
        </is>
      </c>
      <c r="G343" t="inlineStr">
        <is>
          <t>NORDANSTIG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46262</v>
      </c>
      <c r="F344" t="inlineStr">
        <is>
          <t>GÄVLEBORGS LÄN</t>
        </is>
      </c>
      <c r="G344" t="inlineStr">
        <is>
          <t>NORDANSTIG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46262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32149-2024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45511</v>
      </c>
      <c r="E346" s="1" t="n">
        <v>46262</v>
      </c>
      <c r="F346" t="inlineStr">
        <is>
          <t>GÄVLEBORGS LÄN</t>
        </is>
      </c>
      <c r="G346" t="inlineStr">
        <is>
          <t>NORDANSTIG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45902-2025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45923</v>
      </c>
      <c r="E347" s="1" t="n">
        <v>46262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SCA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45839</v>
      </c>
      <c r="E348" s="1" t="n">
        <v>46262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40104-2024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45554</v>
      </c>
      <c r="E349" s="1" t="n">
        <v>46262</v>
      </c>
      <c r="F349" t="inlineStr">
        <is>
          <t>GÄVLEBORGS LÄN</t>
        </is>
      </c>
      <c r="G349" t="inlineStr">
        <is>
          <t>NORDANSTIG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45646</v>
      </c>
      <c r="E350" s="1" t="n">
        <v>46262</v>
      </c>
      <c r="F350" t="inlineStr">
        <is>
          <t>GÄVLEBORGS LÄN</t>
        </is>
      </c>
      <c r="G350" t="inlineStr">
        <is>
          <t>NORDANSTIG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46027-2025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46262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46262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46262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45841</v>
      </c>
      <c r="E354" s="1" t="n">
        <v>46262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46262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46262</v>
      </c>
      <c r="F356" t="inlineStr">
        <is>
          <t>GÄVLEBORGS LÄN</t>
        </is>
      </c>
      <c r="G356" t="inlineStr">
        <is>
          <t>NORDANSTIG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46262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34.6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45846</v>
      </c>
      <c r="E358" s="1" t="n">
        <v>46262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46262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46262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46262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46262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46262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46262</v>
      </c>
      <c r="F364" t="inlineStr">
        <is>
          <t>GÄVLEBORGS LÄN</t>
        </is>
      </c>
      <c r="G364" t="inlineStr">
        <is>
          <t>NORDANSTIG</t>
        </is>
      </c>
      <c r="I364" t="n">
        <v>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34728-2025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46262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45848</v>
      </c>
      <c r="E366" s="1" t="n">
        <v>46262</v>
      </c>
      <c r="F366" t="inlineStr">
        <is>
          <t>GÄVLEBORGS LÄN</t>
        </is>
      </c>
      <c r="G366" t="inlineStr">
        <is>
          <t>NORDANSTIG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45499</v>
      </c>
      <c r="E367" s="1" t="n">
        <v>46262</v>
      </c>
      <c r="F367" t="inlineStr">
        <is>
          <t>GÄVLEBORGS LÄN</t>
        </is>
      </c>
      <c r="G367" t="inlineStr">
        <is>
          <t>NORDANSTIG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45931</v>
      </c>
      <c r="E368" s="1" t="n">
        <v>46262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45554</v>
      </c>
      <c r="E369" s="1" t="n">
        <v>46262</v>
      </c>
      <c r="F369" t="inlineStr">
        <is>
          <t>GÄVLEBORGS LÄN</t>
        </is>
      </c>
      <c r="G369" t="inlineStr">
        <is>
          <t>NORDANSTIG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46262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45037</v>
      </c>
      <c r="E371" s="1" t="n">
        <v>46262</v>
      </c>
      <c r="F371" t="inlineStr">
        <is>
          <t>GÄVLEBORGS LÄN</t>
        </is>
      </c>
      <c r="G371" t="inlineStr">
        <is>
          <t>NORDANSTIG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46262</v>
      </c>
      <c r="F372" t="inlineStr">
        <is>
          <t>GÄVLEBORGS LÄN</t>
        </is>
      </c>
      <c r="G372" t="inlineStr">
        <is>
          <t>NORDANSTIG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35707-2025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45860</v>
      </c>
      <c r="E373" s="1" t="n">
        <v>46262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44678</v>
      </c>
      <c r="E374" s="1" t="n">
        <v>46262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45562</v>
      </c>
      <c r="E375" s="1" t="n">
        <v>46262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45860</v>
      </c>
      <c r="E376" s="1" t="n">
        <v>46262</v>
      </c>
      <c r="F376" t="inlineStr">
        <is>
          <t>GÄVLEBORGS LÄN</t>
        </is>
      </c>
      <c r="G376" t="inlineStr">
        <is>
          <t>NORDANSTIG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45859</v>
      </c>
      <c r="E377" s="1" t="n">
        <v>46262</v>
      </c>
      <c r="F377" t="inlineStr">
        <is>
          <t>GÄVLEBORGS LÄN</t>
        </is>
      </c>
      <c r="G377" t="inlineStr">
        <is>
          <t>NORDANSTIG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46262</v>
      </c>
      <c r="F378" t="inlineStr">
        <is>
          <t>GÄVLEBORGS LÄN</t>
        </is>
      </c>
      <c r="G378" t="inlineStr">
        <is>
          <t>NORDANSTIG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45637</v>
      </c>
      <c r="E379" s="1" t="n">
        <v>46262</v>
      </c>
      <c r="F379" t="inlineStr">
        <is>
          <t>GÄVLEBORGS LÄN</t>
        </is>
      </c>
      <c r="G379" t="inlineStr">
        <is>
          <t>NORDANSTIG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46262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46262</v>
      </c>
      <c r="F381" t="inlineStr">
        <is>
          <t>GÄVLEBORGS LÄN</t>
        </is>
      </c>
      <c r="G381" t="inlineStr">
        <is>
          <t>NORDANSTIG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46262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55477-2024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46262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46262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46262</v>
      </c>
      <c r="F385" t="inlineStr">
        <is>
          <t>GÄVLEBORGS LÄN</t>
        </is>
      </c>
      <c r="G385" t="inlineStr">
        <is>
          <t>NORDANSTIG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46262</v>
      </c>
      <c r="F386" t="inlineStr">
        <is>
          <t>GÄVLEBORGS LÄN</t>
        </is>
      </c>
      <c r="G386" t="inlineStr">
        <is>
          <t>NORDANSTIG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46262</v>
      </c>
      <c r="F387" t="inlineStr">
        <is>
          <t>GÄVLEBORGS LÄN</t>
        </is>
      </c>
      <c r="G387" t="inlineStr">
        <is>
          <t>NORDANSTIG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46262</v>
      </c>
      <c r="F388" t="inlineStr">
        <is>
          <t>GÄVLEBORGS LÄN</t>
        </is>
      </c>
      <c r="G388" t="inlineStr">
        <is>
          <t>NORDANSTIG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46262</v>
      </c>
      <c r="F389" t="inlineStr">
        <is>
          <t>GÄVLEBORGS LÄN</t>
        </is>
      </c>
      <c r="G389" t="inlineStr">
        <is>
          <t>NORDANSTIG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46262</v>
      </c>
      <c r="F390" t="inlineStr">
        <is>
          <t>GÄVLEBORGS LÄN</t>
        </is>
      </c>
      <c r="G390" t="inlineStr">
        <is>
          <t>NORDANSTIG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46262</v>
      </c>
      <c r="F391" t="inlineStr">
        <is>
          <t>GÄVLEBORGS LÄN</t>
        </is>
      </c>
      <c r="G391" t="inlineStr">
        <is>
          <t>NORDANSTIG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46262</v>
      </c>
      <c r="F392" t="inlineStr">
        <is>
          <t>GÄVLEBORGS LÄN</t>
        </is>
      </c>
      <c r="G392" t="inlineStr">
        <is>
          <t>NORDANSTIG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46262</v>
      </c>
      <c r="F393" t="inlineStr">
        <is>
          <t>GÄVLEBORGS LÄN</t>
        </is>
      </c>
      <c r="G393" t="inlineStr">
        <is>
          <t>NORDANSTIG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46262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46262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46262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46262</v>
      </c>
      <c r="F397" t="inlineStr">
        <is>
          <t>GÄVLEBORGS LÄN</t>
        </is>
      </c>
      <c r="G397" t="inlineStr">
        <is>
          <t>NORDANSTIG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46262</v>
      </c>
      <c r="F398" t="inlineStr">
        <is>
          <t>GÄVLEBORGS LÄN</t>
        </is>
      </c>
      <c r="G398" t="inlineStr">
        <is>
          <t>NORDANSTIG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60372-2025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46262</v>
      </c>
      <c r="F399" t="inlineStr">
        <is>
          <t>GÄVLEBORGS LÄN</t>
        </is>
      </c>
      <c r="G399" t="inlineStr">
        <is>
          <t>NORDANSTIG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46262</v>
      </c>
      <c r="F400" t="inlineStr">
        <is>
          <t>GÄVLEBORGS LÄN</t>
        </is>
      </c>
      <c r="G400" t="inlineStr">
        <is>
          <t>NORDANSTIG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46262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46262</v>
      </c>
      <c r="F402" t="inlineStr">
        <is>
          <t>GÄVLEBORGS LÄN</t>
        </is>
      </c>
      <c r="G402" t="inlineStr">
        <is>
          <t>NORDANSTIG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46262</v>
      </c>
      <c r="F403" t="inlineStr">
        <is>
          <t>GÄVLEBORGS LÄN</t>
        </is>
      </c>
      <c r="G403" t="inlineStr">
        <is>
          <t>NORDANSTIG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74460-2021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44560</v>
      </c>
      <c r="E404" s="1" t="n">
        <v>46262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60299-2025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45994</v>
      </c>
      <c r="E405" s="1" t="n">
        <v>46262</v>
      </c>
      <c r="F405" t="inlineStr">
        <is>
          <t>GÄVLEBORGS LÄN</t>
        </is>
      </c>
      <c r="G405" t="inlineStr">
        <is>
          <t>NORDANSTIG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46262</v>
      </c>
      <c r="F406" t="inlineStr">
        <is>
          <t>GÄVLEBORGS LÄN</t>
        </is>
      </c>
      <c r="G406" t="inlineStr">
        <is>
          <t>NORDANSTIG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55948-2024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45623</v>
      </c>
      <c r="E407" s="1" t="n">
        <v>46262</v>
      </c>
      <c r="F407" t="inlineStr">
        <is>
          <t>GÄVLEBORGS LÄN</t>
        </is>
      </c>
      <c r="G407" t="inlineStr">
        <is>
          <t>NORDANSTIG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37848-2025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45881</v>
      </c>
      <c r="E408" s="1" t="n">
        <v>46262</v>
      </c>
      <c r="F408" t="inlineStr">
        <is>
          <t>GÄVLEBORGS LÄN</t>
        </is>
      </c>
      <c r="G408" t="inlineStr">
        <is>
          <t>NORDANSTIG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46262</v>
      </c>
      <c r="F409" t="inlineStr">
        <is>
          <t>GÄVLEBORGS LÄN</t>
        </is>
      </c>
      <c r="G409" t="inlineStr">
        <is>
          <t>NORDANSTIG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46262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45883</v>
      </c>
      <c r="E411" s="1" t="n">
        <v>46262</v>
      </c>
      <c r="F411" t="inlineStr">
        <is>
          <t>GÄVLEBORGS LÄN</t>
        </is>
      </c>
      <c r="G411" t="inlineStr">
        <is>
          <t>NORDANSTIG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37563-2025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45880</v>
      </c>
      <c r="E412" s="1" t="n">
        <v>46262</v>
      </c>
      <c r="F412" t="inlineStr">
        <is>
          <t>GÄVLEBORGS LÄN</t>
        </is>
      </c>
      <c r="G412" t="inlineStr">
        <is>
          <t>NORDANSTIG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45196</v>
      </c>
      <c r="E413" s="1" t="n">
        <v>46262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46262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45419</v>
      </c>
      <c r="E415" s="1" t="n">
        <v>46262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45883</v>
      </c>
      <c r="E416" s="1" t="n">
        <v>46262</v>
      </c>
      <c r="F416" t="inlineStr">
        <is>
          <t>GÄVLEBORGS LÄN</t>
        </is>
      </c>
      <c r="G416" t="inlineStr">
        <is>
          <t>NORDANSTIG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43400-2023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45183</v>
      </c>
      <c r="E417" s="1" t="n">
        <v>46262</v>
      </c>
      <c r="F417" t="inlineStr">
        <is>
          <t>GÄVLEBORGS LÄN</t>
        </is>
      </c>
      <c r="G417" t="inlineStr">
        <is>
          <t>NORDANSTIG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59930-2024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45642</v>
      </c>
      <c r="E418" s="1" t="n">
        <v>46262</v>
      </c>
      <c r="F418" t="inlineStr">
        <is>
          <t>GÄVLEBORGS LÄN</t>
        </is>
      </c>
      <c r="G418" t="inlineStr">
        <is>
          <t>NORDANSTIG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45884</v>
      </c>
      <c r="E419" s="1" t="n">
        <v>46262</v>
      </c>
      <c r="F419" t="inlineStr">
        <is>
          <t>GÄVLEBORGS LÄN</t>
        </is>
      </c>
      <c r="G419" t="inlineStr">
        <is>
          <t>NORDANSTIG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46262</v>
      </c>
      <c r="F420" t="inlineStr">
        <is>
          <t>GÄVLEBORGS LÄN</t>
        </is>
      </c>
      <c r="G420" t="inlineStr">
        <is>
          <t>NORDANSTIG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32350-2022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44781</v>
      </c>
      <c r="E421" s="1" t="n">
        <v>46262</v>
      </c>
      <c r="F421" t="inlineStr">
        <is>
          <t>GÄVLEBORGS LÄN</t>
        </is>
      </c>
      <c r="G421" t="inlineStr">
        <is>
          <t>NORDANSTIG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46262</v>
      </c>
      <c r="F422" t="inlineStr">
        <is>
          <t>GÄVLEBORGS LÄN</t>
        </is>
      </c>
      <c r="G422" t="inlineStr">
        <is>
          <t>NORDANSTIG</t>
        </is>
      </c>
      <c r="H422" t="inlineStr">
        <is>
          <t>SCA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44446-2023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46262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44907</v>
      </c>
      <c r="E424" s="1" t="n">
        <v>46262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12095-2023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44998</v>
      </c>
      <c r="E425" s="1" t="n">
        <v>46262</v>
      </c>
      <c r="F425" t="inlineStr">
        <is>
          <t>GÄVLEBORGS LÄN</t>
        </is>
      </c>
      <c r="G425" t="inlineStr">
        <is>
          <t>NORDANSTIG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46262</v>
      </c>
      <c r="F426" t="inlineStr">
        <is>
          <t>GÄVLEBORGS LÄN</t>
        </is>
      </c>
      <c r="G426" t="inlineStr">
        <is>
          <t>NORDANSTIG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46262</v>
      </c>
      <c r="F427" t="inlineStr">
        <is>
          <t>GÄVLEBORGS LÄN</t>
        </is>
      </c>
      <c r="G427" t="inlineStr">
        <is>
          <t>NORDANSTIG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46262</v>
      </c>
      <c r="F428" t="inlineStr">
        <is>
          <t>GÄVLEBORGS LÄN</t>
        </is>
      </c>
      <c r="G428" t="inlineStr">
        <is>
          <t>NORDANSTIG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45758</v>
      </c>
      <c r="E429" s="1" t="n">
        <v>46262</v>
      </c>
      <c r="F429" t="inlineStr">
        <is>
          <t>GÄVLEBORGS LÄN</t>
        </is>
      </c>
      <c r="G429" t="inlineStr">
        <is>
          <t>NORDANSTIG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7916-2022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44608</v>
      </c>
      <c r="E430" s="1" t="n">
        <v>46262</v>
      </c>
      <c r="F430" t="inlineStr">
        <is>
          <t>GÄVLEBORGS LÄN</t>
        </is>
      </c>
      <c r="G430" t="inlineStr">
        <is>
          <t>NORDANSTIG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45120</v>
      </c>
      <c r="E431" s="1" t="n">
        <v>46262</v>
      </c>
      <c r="F431" t="inlineStr">
        <is>
          <t>GÄVLEBORGS LÄN</t>
        </is>
      </c>
      <c r="G431" t="inlineStr">
        <is>
          <t>NORDANSTIG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37986-2022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44811</v>
      </c>
      <c r="E432" s="1" t="n">
        <v>46262</v>
      </c>
      <c r="F432" t="inlineStr">
        <is>
          <t>GÄVLEBORGS LÄN</t>
        </is>
      </c>
      <c r="G432" t="inlineStr">
        <is>
          <t>NORDANSTIG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46262</v>
      </c>
      <c r="F433" t="inlineStr">
        <is>
          <t>GÄVLEBORGS LÄN</t>
        </is>
      </c>
      <c r="G433" t="inlineStr">
        <is>
          <t>NORDANSTIG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46262</v>
      </c>
      <c r="F434" t="inlineStr">
        <is>
          <t>GÄVLEBORGS LÄN</t>
        </is>
      </c>
      <c r="G434" t="inlineStr">
        <is>
          <t>NORDANSTIG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37686-2024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45541</v>
      </c>
      <c r="E435" s="1" t="n">
        <v>46262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45131</v>
      </c>
      <c r="E436" s="1" t="n">
        <v>46262</v>
      </c>
      <c r="F436" t="inlineStr">
        <is>
          <t>GÄVLEBORGS LÄN</t>
        </is>
      </c>
      <c r="G436" t="inlineStr">
        <is>
          <t>NORDANSTIG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45271</v>
      </c>
      <c r="E437" s="1" t="n">
        <v>46262</v>
      </c>
      <c r="F437" t="inlineStr">
        <is>
          <t>GÄVLEBORGS LÄN</t>
        </is>
      </c>
      <c r="G437" t="inlineStr">
        <is>
          <t>NORDANSTIG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62833-2025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46262</v>
      </c>
      <c r="F438" t="inlineStr">
        <is>
          <t>GÄVLEBORGS LÄN</t>
        </is>
      </c>
      <c r="G438" t="inlineStr">
        <is>
          <t>NORDANSTIG</t>
        </is>
      </c>
      <c r="H438" t="inlineStr">
        <is>
          <t>SCA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50413-2023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45216</v>
      </c>
      <c r="E439" s="1" t="n">
        <v>46262</v>
      </c>
      <c r="F439" t="inlineStr">
        <is>
          <t>GÄVLEBORGS LÄN</t>
        </is>
      </c>
      <c r="G439" t="inlineStr">
        <is>
          <t>NORDANSTIG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44768</v>
      </c>
      <c r="E440" s="1" t="n">
        <v>46262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46262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51541-2025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45950</v>
      </c>
      <c r="E442" s="1" t="n">
        <v>46262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45463</v>
      </c>
      <c r="E443" s="1" t="n">
        <v>46262</v>
      </c>
      <c r="F443" t="inlineStr">
        <is>
          <t>GÄVLEBORGS LÄN</t>
        </is>
      </c>
      <c r="G443" t="inlineStr">
        <is>
          <t>NORDANSTIG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45671</v>
      </c>
      <c r="E444" s="1" t="n">
        <v>46262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9.199999999999999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45677</v>
      </c>
      <c r="E445" s="1" t="n">
        <v>46262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46021</v>
      </c>
      <c r="E446" s="1" t="n">
        <v>46262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46262</v>
      </c>
      <c r="F447" t="inlineStr">
        <is>
          <t>GÄVLEBORGS LÄN</t>
        </is>
      </c>
      <c r="G447" t="inlineStr">
        <is>
          <t>NORDANSTIG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46262</v>
      </c>
      <c r="F448" t="inlineStr">
        <is>
          <t>GÄVLEBORGS LÄN</t>
        </is>
      </c>
      <c r="G448" t="inlineStr">
        <is>
          <t>NORDANSTIG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46026</v>
      </c>
      <c r="E449" s="1" t="n">
        <v>46262</v>
      </c>
      <c r="F449" t="inlineStr">
        <is>
          <t>GÄVLEBORGS LÄN</t>
        </is>
      </c>
      <c r="G449" t="inlineStr">
        <is>
          <t>NORDANSTIG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46262</v>
      </c>
      <c r="F450" t="inlineStr">
        <is>
          <t>GÄVLEBORGS LÄN</t>
        </is>
      </c>
      <c r="G450" t="inlineStr">
        <is>
          <t>NORDANSTIG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46262</v>
      </c>
      <c r="F451" t="inlineStr">
        <is>
          <t>GÄVLEBORGS LÄN</t>
        </is>
      </c>
      <c r="G451" t="inlineStr">
        <is>
          <t>NORDANSTIG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15973-2022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44664</v>
      </c>
      <c r="E452" s="1" t="n">
        <v>46262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SCA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46262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46262</v>
      </c>
      <c r="F454" t="inlineStr">
        <is>
          <t>GÄVLEBORGS LÄN</t>
        </is>
      </c>
      <c r="G454" t="inlineStr">
        <is>
          <t>NORDANSTIG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46262</v>
      </c>
      <c r="F455" t="inlineStr">
        <is>
          <t>GÄVLEBORGS LÄN</t>
        </is>
      </c>
      <c r="G455" t="inlineStr">
        <is>
          <t>NORDANSTIG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46262</v>
      </c>
      <c r="F456" t="inlineStr">
        <is>
          <t>GÄVLEBORGS LÄN</t>
        </is>
      </c>
      <c r="G456" t="inlineStr">
        <is>
          <t>NORDANSTIG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45596</v>
      </c>
      <c r="E457" s="1" t="n">
        <v>46262</v>
      </c>
      <c r="F457" t="inlineStr">
        <is>
          <t>GÄVLEBORGS LÄN</t>
        </is>
      </c>
      <c r="G457" t="inlineStr">
        <is>
          <t>NORDANSTIG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46262</v>
      </c>
      <c r="F458" t="inlineStr">
        <is>
          <t>GÄVLEBORGS LÄN</t>
        </is>
      </c>
      <c r="G458" t="inlineStr">
        <is>
          <t>NORDANSTIG</t>
        </is>
      </c>
      <c r="I458" t="n">
        <v>12.7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45103</v>
      </c>
      <c r="E459" s="1" t="n">
        <v>46262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46262</v>
      </c>
      <c r="F460" t="inlineStr">
        <is>
          <t>GÄVLEBORGS LÄN</t>
        </is>
      </c>
      <c r="G460" t="inlineStr">
        <is>
          <t>NORDANSTIG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46262</v>
      </c>
      <c r="F461" t="inlineStr">
        <is>
          <t>GÄVLEBORGS LÄN</t>
        </is>
      </c>
      <c r="G461" t="inlineStr">
        <is>
          <t>NORDANSTIG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39207-2023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46262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44573</v>
      </c>
      <c r="E463" s="1" t="n">
        <v>46262</v>
      </c>
      <c r="F463" t="inlineStr">
        <is>
          <t>GÄVLEBORGS LÄN</t>
        </is>
      </c>
      <c r="G463" t="inlineStr">
        <is>
          <t>NORDANSTIG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46037</v>
      </c>
      <c r="E464" s="1" t="n">
        <v>46262</v>
      </c>
      <c r="F464" t="inlineStr">
        <is>
          <t>GÄVLEBORGS LÄN</t>
        </is>
      </c>
      <c r="G464" t="inlineStr">
        <is>
          <t>NORDANSTIG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44945</v>
      </c>
      <c r="E465" s="1" t="n">
        <v>46262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46262</v>
      </c>
      <c r="F466" t="inlineStr">
        <is>
          <t>GÄVLEBORGS LÄN</t>
        </is>
      </c>
      <c r="G466" t="inlineStr">
        <is>
          <t>NORDANSTIG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45497</v>
      </c>
      <c r="E467" s="1" t="n">
        <v>46262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46262</v>
      </c>
      <c r="F468" t="inlineStr">
        <is>
          <t>GÄVLEBORGS LÄN</t>
        </is>
      </c>
      <c r="G468" t="inlineStr">
        <is>
          <t>NORDANSTIG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46262</v>
      </c>
      <c r="F469" t="inlineStr">
        <is>
          <t>GÄVLEBORGS LÄN</t>
        </is>
      </c>
      <c r="G469" t="inlineStr">
        <is>
          <t>NORDANSTIG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46262</v>
      </c>
      <c r="F470" t="inlineStr">
        <is>
          <t>GÄVLEBORGS LÄN</t>
        </is>
      </c>
      <c r="G470" t="inlineStr">
        <is>
          <t>NORDANSTIG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46038</v>
      </c>
      <c r="E471" s="1" t="n">
        <v>46262</v>
      </c>
      <c r="F471" t="inlineStr">
        <is>
          <t>GÄVLEBORGS LÄN</t>
        </is>
      </c>
      <c r="G471" t="inlineStr">
        <is>
          <t>NORDANSTIG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46038</v>
      </c>
      <c r="E472" s="1" t="n">
        <v>46262</v>
      </c>
      <c r="F472" t="inlineStr">
        <is>
          <t>GÄVLEBORGS LÄN</t>
        </is>
      </c>
      <c r="G472" t="inlineStr">
        <is>
          <t>NORDANSTIG</t>
        </is>
      </c>
      <c r="I472" t="n">
        <v>21.1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45525</v>
      </c>
      <c r="E473" s="1" t="n">
        <v>46262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45434</v>
      </c>
      <c r="E474" s="1" t="n">
        <v>46262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46039</v>
      </c>
      <c r="E475" s="1" t="n">
        <v>46262</v>
      </c>
      <c r="F475" t="inlineStr">
        <is>
          <t>GÄVLEBORGS LÄN</t>
        </is>
      </c>
      <c r="G475" t="inlineStr">
        <is>
          <t>NORDANSTIG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28711-2022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44748</v>
      </c>
      <c r="E476" s="1" t="n">
        <v>46262</v>
      </c>
      <c r="F476" t="inlineStr">
        <is>
          <t>GÄVLEBORGS LÄN</t>
        </is>
      </c>
      <c r="G476" t="inlineStr">
        <is>
          <t>NORDANSTIG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46262</v>
      </c>
      <c r="F477" t="inlineStr">
        <is>
          <t>GÄVLEBORGS LÄN</t>
        </is>
      </c>
      <c r="G477" t="inlineStr">
        <is>
          <t>NORDANSTIG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46262</v>
      </c>
      <c r="F478" t="inlineStr">
        <is>
          <t>GÄVLEBORGS LÄN</t>
        </is>
      </c>
      <c r="G478" t="inlineStr">
        <is>
          <t>NORDANSTIG</t>
        </is>
      </c>
      <c r="I478" t="n">
        <v>26.6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46262</v>
      </c>
      <c r="F479" t="inlineStr">
        <is>
          <t>GÄVLEBORGS LÄN</t>
        </is>
      </c>
      <c r="G479" t="inlineStr">
        <is>
          <t>NORDANSTIG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46262</v>
      </c>
      <c r="F480" t="inlineStr">
        <is>
          <t>GÄVLEBORGS LÄN</t>
        </is>
      </c>
      <c r="G480" t="inlineStr">
        <is>
          <t>NORDANSTIG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46262</v>
      </c>
      <c r="F481" t="inlineStr">
        <is>
          <t>GÄVLEBORGS LÄN</t>
        </is>
      </c>
      <c r="G481" t="inlineStr">
        <is>
          <t>NORDANSTIG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46262</v>
      </c>
      <c r="F482" t="inlineStr">
        <is>
          <t>GÄVLEBORGS LÄN</t>
        </is>
      </c>
      <c r="G482" t="inlineStr">
        <is>
          <t>NORDANSTIG</t>
        </is>
      </c>
      <c r="I482" t="n">
        <v>24.7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46262</v>
      </c>
      <c r="F483" t="inlineStr">
        <is>
          <t>GÄVLEBORGS LÄN</t>
        </is>
      </c>
      <c r="G483" t="inlineStr">
        <is>
          <t>NORDANSTIG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45701</v>
      </c>
      <c r="E484" s="1" t="n">
        <v>46262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46262</v>
      </c>
      <c r="F485" t="inlineStr">
        <is>
          <t>GÄVLEBORGS LÄN</t>
        </is>
      </c>
      <c r="G485" t="inlineStr">
        <is>
          <t>NORDANSTIG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46262</v>
      </c>
      <c r="F486" t="inlineStr">
        <is>
          <t>GÄVLEBORGS LÄN</t>
        </is>
      </c>
      <c r="G486" t="inlineStr">
        <is>
          <t>NORDANSTIG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46262</v>
      </c>
      <c r="F487" t="inlineStr">
        <is>
          <t>GÄVLEBORGS LÄN</t>
        </is>
      </c>
      <c r="G487" t="inlineStr">
        <is>
          <t>NORDANSTIG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46262</v>
      </c>
      <c r="F488" t="inlineStr">
        <is>
          <t>GÄVLEBORGS LÄN</t>
        </is>
      </c>
      <c r="G488" t="inlineStr">
        <is>
          <t>NORDANSTIG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46262</v>
      </c>
      <c r="F489" t="inlineStr">
        <is>
          <t>GÄVLEBORGS LÄN</t>
        </is>
      </c>
      <c r="G489" t="inlineStr">
        <is>
          <t>NORDANSTIG</t>
        </is>
      </c>
      <c r="I489" t="n">
        <v>11.3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46262</v>
      </c>
      <c r="F490" t="inlineStr">
        <is>
          <t>GÄVLEBORGS LÄN</t>
        </is>
      </c>
      <c r="G490" t="inlineStr">
        <is>
          <t>NORDANSTIG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46262</v>
      </c>
      <c r="F491" t="inlineStr">
        <is>
          <t>GÄVLEBORGS LÄN</t>
        </is>
      </c>
      <c r="G491" t="inlineStr">
        <is>
          <t>NORDANSTIG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46262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46262</v>
      </c>
      <c r="F493" t="inlineStr">
        <is>
          <t>GÄVLEBORGS LÄN</t>
        </is>
      </c>
      <c r="G493" t="inlineStr">
        <is>
          <t>NORDANSTIG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46262</v>
      </c>
      <c r="F494" t="inlineStr">
        <is>
          <t>GÄVLEBORGS LÄN</t>
        </is>
      </c>
      <c r="G494" t="inlineStr">
        <is>
          <t>NORDANSTIG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46262</v>
      </c>
      <c r="F495" t="inlineStr">
        <is>
          <t>GÄVLEBORGS LÄN</t>
        </is>
      </c>
      <c r="G495" t="inlineStr">
        <is>
          <t>NORDANSTIG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46045</v>
      </c>
      <c r="E496" s="1" t="n">
        <v>46262</v>
      </c>
      <c r="F496" t="inlineStr">
        <is>
          <t>GÄVLEBORGS LÄN</t>
        </is>
      </c>
      <c r="G496" t="inlineStr">
        <is>
          <t>NORDANSTIG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46044</v>
      </c>
      <c r="E497" s="1" t="n">
        <v>46262</v>
      </c>
      <c r="F497" t="inlineStr">
        <is>
          <t>GÄVLEBORGS LÄN</t>
        </is>
      </c>
      <c r="G497" t="inlineStr">
        <is>
          <t>NORDANSTIG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46262</v>
      </c>
      <c r="F498" t="inlineStr">
        <is>
          <t>GÄVLEBORGS LÄN</t>
        </is>
      </c>
      <c r="G498" t="inlineStr">
        <is>
          <t>NORDANSTIG</t>
        </is>
      </c>
      <c r="I498" t="n">
        <v>15.3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46262</v>
      </c>
      <c r="F499" t="inlineStr">
        <is>
          <t>GÄVLEBORGS LÄN</t>
        </is>
      </c>
      <c r="G499" t="inlineStr">
        <is>
          <t>NORDANSTIG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46262</v>
      </c>
      <c r="F500" t="inlineStr">
        <is>
          <t>GÄVLEBORGS LÄN</t>
        </is>
      </c>
      <c r="G500" t="inlineStr">
        <is>
          <t>NORDANSTIG</t>
        </is>
      </c>
      <c r="I500" t="n">
        <v>8.199999999999999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46262</v>
      </c>
      <c r="F501" t="inlineStr">
        <is>
          <t>GÄVLEBORGS LÄN</t>
        </is>
      </c>
      <c r="G501" t="inlineStr">
        <is>
          <t>NORDANSTIG</t>
        </is>
      </c>
      <c r="I501" t="n">
        <v>15.3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46262</v>
      </c>
      <c r="F502" t="inlineStr">
        <is>
          <t>GÄVLEBORGS LÄN</t>
        </is>
      </c>
      <c r="G502" t="inlineStr">
        <is>
          <t>NORDANSTIG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46262</v>
      </c>
      <c r="F503" t="inlineStr">
        <is>
          <t>GÄVLEBORGS LÄN</t>
        </is>
      </c>
      <c r="G503" t="inlineStr">
        <is>
          <t>NORDANSTIG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46262</v>
      </c>
      <c r="F504" t="inlineStr">
        <is>
          <t>GÄVLEBORGS LÄN</t>
        </is>
      </c>
      <c r="G504" t="inlineStr">
        <is>
          <t>NORDANSTIG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46051</v>
      </c>
      <c r="E505" s="1" t="n">
        <v>46262</v>
      </c>
      <c r="F505" t="inlineStr">
        <is>
          <t>GÄVLEBORGS LÄN</t>
        </is>
      </c>
      <c r="G505" t="inlineStr">
        <is>
          <t>NORDANSTIG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46262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23.8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46262</v>
      </c>
      <c r="F507" t="inlineStr">
        <is>
          <t>GÄVLEBORGS LÄN</t>
        </is>
      </c>
      <c r="G507" t="inlineStr">
        <is>
          <t>NORDANSTIG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46262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46262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46262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46051</v>
      </c>
      <c r="E511" s="1" t="n">
        <v>46262</v>
      </c>
      <c r="F511" t="inlineStr">
        <is>
          <t>GÄVLEBORGS LÄN</t>
        </is>
      </c>
      <c r="G511" t="inlineStr">
        <is>
          <t>NORDANSTIG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46053</v>
      </c>
      <c r="E512" s="1" t="n">
        <v>46262</v>
      </c>
      <c r="F512" t="inlineStr">
        <is>
          <t>GÄVLEBORGS LÄN</t>
        </is>
      </c>
      <c r="G512" t="inlineStr">
        <is>
          <t>NORDANSTIG</t>
        </is>
      </c>
      <c r="I512" t="n">
        <v>45.3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46262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46262</v>
      </c>
      <c r="F514" t="inlineStr">
        <is>
          <t>GÄVLEBORGS LÄN</t>
        </is>
      </c>
      <c r="G514" t="inlineStr">
        <is>
          <t>NORDANSTIG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54200-2023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45232</v>
      </c>
      <c r="E515" s="1" t="n">
        <v>46262</v>
      </c>
      <c r="F515" t="inlineStr">
        <is>
          <t>GÄVLEBORGS LÄN</t>
        </is>
      </c>
      <c r="G515" t="inlineStr">
        <is>
          <t>NORDANSTIG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46262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46262</v>
      </c>
      <c r="F517" t="inlineStr">
        <is>
          <t>GÄVLEBORGS LÄN</t>
        </is>
      </c>
      <c r="G517" t="inlineStr">
        <is>
          <t>NORDANSTIG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46262</v>
      </c>
      <c r="F518" t="inlineStr">
        <is>
          <t>GÄVLEBORGS LÄN</t>
        </is>
      </c>
      <c r="G518" t="inlineStr">
        <is>
          <t>NORDANSTIG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46053</v>
      </c>
      <c r="E519" s="1" t="n">
        <v>46262</v>
      </c>
      <c r="F519" t="inlineStr">
        <is>
          <t>GÄVLEBORGS LÄN</t>
        </is>
      </c>
      <c r="G519" t="inlineStr">
        <is>
          <t>NORDANSTIG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46262</v>
      </c>
      <c r="F520" t="inlineStr">
        <is>
          <t>GÄVLEBORGS LÄN</t>
        </is>
      </c>
      <c r="G520" t="inlineStr">
        <is>
          <t>NORDANSTIG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46262</v>
      </c>
      <c r="F521" t="inlineStr">
        <is>
          <t>GÄVLEBORGS LÄN</t>
        </is>
      </c>
      <c r="G521" t="inlineStr">
        <is>
          <t>NORDANSTIG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46057</v>
      </c>
      <c r="E522" s="1" t="n">
        <v>46262</v>
      </c>
      <c r="F522" t="inlineStr">
        <is>
          <t>GÄVLEBORGS LÄN</t>
        </is>
      </c>
      <c r="G522" t="inlineStr">
        <is>
          <t>NORDANSTIG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46262</v>
      </c>
      <c r="F523" t="inlineStr">
        <is>
          <t>GÄVLEBORGS LÄN</t>
        </is>
      </c>
      <c r="G523" t="inlineStr">
        <is>
          <t>NORDANSTIG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55206-2022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44886</v>
      </c>
      <c r="E524" s="1" t="n">
        <v>46262</v>
      </c>
      <c r="F524" t="inlineStr">
        <is>
          <t>GÄVLEBORGS LÄN</t>
        </is>
      </c>
      <c r="G524" t="inlineStr">
        <is>
          <t>NORDANSTIG</t>
        </is>
      </c>
      <c r="H524" t="inlineStr">
        <is>
          <t>SCA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46262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38589-2024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45546</v>
      </c>
      <c r="E526" s="1" t="n">
        <v>46262</v>
      </c>
      <c r="F526" t="inlineStr">
        <is>
          <t>GÄVLEBORGS LÄN</t>
        </is>
      </c>
      <c r="G526" t="inlineStr">
        <is>
          <t>NORDANSTIG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46262</v>
      </c>
      <c r="F527" t="inlineStr">
        <is>
          <t>GÄVLEBORGS LÄN</t>
        </is>
      </c>
      <c r="G527" t="inlineStr">
        <is>
          <t>NORDANSTIG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46262</v>
      </c>
      <c r="F528" t="inlineStr">
        <is>
          <t>GÄVLEBORGS LÄN</t>
        </is>
      </c>
      <c r="G528" t="inlineStr">
        <is>
          <t>NORDANSTIG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45297</v>
      </c>
      <c r="E529" s="1" t="n">
        <v>46262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11113-2026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46079</v>
      </c>
      <c r="E530" s="1" t="n">
        <v>46262</v>
      </c>
      <c r="F530" t="inlineStr">
        <is>
          <t>GÄVLEBORGS LÄN</t>
        </is>
      </c>
      <c r="G530" t="inlineStr">
        <is>
          <t>NORDANSTIG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46262</v>
      </c>
      <c r="F531" t="inlineStr">
        <is>
          <t>GÄVLEBORGS LÄN</t>
        </is>
      </c>
      <c r="G531" t="inlineStr">
        <is>
          <t>NORDANSTIG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7783-2026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46062</v>
      </c>
      <c r="E532" s="1" t="n">
        <v>46262</v>
      </c>
      <c r="F532" t="inlineStr">
        <is>
          <t>GÄVLEBORGS LÄN</t>
        </is>
      </c>
      <c r="G532" t="inlineStr">
        <is>
          <t>NORDANSTIG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46262</v>
      </c>
      <c r="F533" t="inlineStr">
        <is>
          <t>GÄVLEBORGS LÄN</t>
        </is>
      </c>
      <c r="G533" t="inlineStr">
        <is>
          <t>NORDANSTIG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46062</v>
      </c>
      <c r="E534" s="1" t="n">
        <v>46262</v>
      </c>
      <c r="F534" t="inlineStr">
        <is>
          <t>GÄVLEBORGS LÄN</t>
        </is>
      </c>
      <c r="G534" t="inlineStr">
        <is>
          <t>NORDANSTIG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46262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46262</v>
      </c>
      <c r="F536" t="inlineStr">
        <is>
          <t>GÄVLEBORGS LÄN</t>
        </is>
      </c>
      <c r="G536" t="inlineStr">
        <is>
          <t>NORDANSTIG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7944-2026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46063</v>
      </c>
      <c r="E537" s="1" t="n">
        <v>46262</v>
      </c>
      <c r="F537" t="inlineStr">
        <is>
          <t>GÄVLEBORGS LÄN</t>
        </is>
      </c>
      <c r="G537" t="inlineStr">
        <is>
          <t>NORDANSTIG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60398-2023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45259</v>
      </c>
      <c r="E538" s="1" t="n">
        <v>46262</v>
      </c>
      <c r="F538" t="inlineStr">
        <is>
          <t>GÄVLEBORGS LÄN</t>
        </is>
      </c>
      <c r="G538" t="inlineStr">
        <is>
          <t>NORDANSTIG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7772-2026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46262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46262</v>
      </c>
      <c r="F540" t="inlineStr">
        <is>
          <t>GÄVLEBORGS LÄN</t>
        </is>
      </c>
      <c r="G540" t="inlineStr">
        <is>
          <t>NORDANSTIG</t>
        </is>
      </c>
      <c r="I540" t="n">
        <v>13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46262</v>
      </c>
      <c r="F541" t="inlineStr">
        <is>
          <t>GÄVLEBORGS LÄN</t>
        </is>
      </c>
      <c r="G541" t="inlineStr">
        <is>
          <t>NORDANSTIG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46262</v>
      </c>
      <c r="F542" t="inlineStr">
        <is>
          <t>GÄVLEBORGS LÄN</t>
        </is>
      </c>
      <c r="G542" t="inlineStr">
        <is>
          <t>NORDANSTIG</t>
        </is>
      </c>
      <c r="I542" t="n">
        <v>38.1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46262</v>
      </c>
      <c r="F543" t="inlineStr">
        <is>
          <t>GÄVLEBORGS LÄN</t>
        </is>
      </c>
      <c r="G543" t="inlineStr">
        <is>
          <t>NORDANSTIG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46262</v>
      </c>
      <c r="F544" t="inlineStr">
        <is>
          <t>GÄVLEBORGS LÄN</t>
        </is>
      </c>
      <c r="G544" t="inlineStr">
        <is>
          <t>NORDANSTIG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46262</v>
      </c>
      <c r="F545" t="inlineStr">
        <is>
          <t>GÄVLEBORGS LÄN</t>
        </is>
      </c>
      <c r="G545" t="inlineStr">
        <is>
          <t>NORDANSTIG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52746-2022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44874</v>
      </c>
      <c r="E546" s="1" t="n">
        <v>46262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46262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46262</v>
      </c>
      <c r="F548" t="inlineStr">
        <is>
          <t>GÄVLEBORGS LÄN</t>
        </is>
      </c>
      <c r="G548" t="inlineStr">
        <is>
          <t>NORDANSTIG</t>
        </is>
      </c>
      <c r="I548" t="n">
        <v>19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46069</v>
      </c>
      <c r="E549" s="1" t="n">
        <v>46262</v>
      </c>
      <c r="F549" t="inlineStr">
        <is>
          <t>GÄVLEBORGS LÄN</t>
        </is>
      </c>
      <c r="G549" t="inlineStr">
        <is>
          <t>NORDANSTIG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46262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46262</v>
      </c>
      <c r="F551" t="inlineStr">
        <is>
          <t>GÄVLEBORGS LÄN</t>
        </is>
      </c>
      <c r="G551" t="inlineStr">
        <is>
          <t>NORDANSTIG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42947-2022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44833</v>
      </c>
      <c r="E552" s="1" t="n">
        <v>46262</v>
      </c>
      <c r="F552" t="inlineStr">
        <is>
          <t>GÄVLEBORGS LÄN</t>
        </is>
      </c>
      <c r="G552" t="inlineStr">
        <is>
          <t>NORDANSTIG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46262</v>
      </c>
      <c r="F553" t="inlineStr">
        <is>
          <t>GÄVLEBORGS LÄN</t>
        </is>
      </c>
      <c r="G553" t="inlineStr">
        <is>
          <t>NORDANSTIG</t>
        </is>
      </c>
      <c r="H553" t="inlineStr">
        <is>
          <t>Naturvårdsverket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46262</v>
      </c>
      <c r="F554" t="inlineStr">
        <is>
          <t>GÄVLEBORGS LÄN</t>
        </is>
      </c>
      <c r="G554" t="inlineStr">
        <is>
          <t>NORDANSTIG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45170</v>
      </c>
      <c r="E555" s="1" t="n">
        <v>46262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46262</v>
      </c>
      <c r="F556" t="inlineStr">
        <is>
          <t>GÄVLEBORGS LÄN</t>
        </is>
      </c>
      <c r="G556" t="inlineStr">
        <is>
          <t>NORDANSTIG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46262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46262</v>
      </c>
      <c r="F558" t="inlineStr">
        <is>
          <t>GÄVLEBORGS LÄN</t>
        </is>
      </c>
      <c r="G558" t="inlineStr">
        <is>
          <t>NORDANSTIG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46262</v>
      </c>
      <c r="F559" t="inlineStr">
        <is>
          <t>GÄVLEBORGS LÄN</t>
        </is>
      </c>
      <c r="G559" t="inlineStr">
        <is>
          <t>NORDANSTIG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9590-2026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46071</v>
      </c>
      <c r="E560" s="1" t="n">
        <v>46262</v>
      </c>
      <c r="F560" t="inlineStr">
        <is>
          <t>GÄVLEBORGS LÄN</t>
        </is>
      </c>
      <c r="G560" t="inlineStr">
        <is>
          <t>NORDANSTIG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9204-2026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46262</v>
      </c>
      <c r="F561" t="inlineStr">
        <is>
          <t>GÄVLEBORGS LÄN</t>
        </is>
      </c>
      <c r="G561" t="inlineStr">
        <is>
          <t>NORDANSTIG</t>
        </is>
      </c>
      <c r="I561" t="n">
        <v>15.6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44607</v>
      </c>
      <c r="E562" s="1" t="n">
        <v>46262</v>
      </c>
      <c r="F562" t="inlineStr">
        <is>
          <t>GÄVLEBORGS LÄN</t>
        </is>
      </c>
      <c r="G562" t="inlineStr">
        <is>
          <t>NORDANSTIG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46262</v>
      </c>
      <c r="F563" t="inlineStr">
        <is>
          <t>GÄVLEBORGS LÄN</t>
        </is>
      </c>
      <c r="G563" t="inlineStr">
        <is>
          <t>NORDANSTIG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46262</v>
      </c>
      <c r="F564" t="inlineStr">
        <is>
          <t>GÄVLEBORGS LÄN</t>
        </is>
      </c>
      <c r="G564" t="inlineStr">
        <is>
          <t>NORDANSTIG</t>
        </is>
      </c>
      <c r="I564" t="n">
        <v>12.2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46262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44824</v>
      </c>
      <c r="E566" s="1" t="n">
        <v>46262</v>
      </c>
      <c r="F566" t="inlineStr">
        <is>
          <t>GÄVLEBORGS LÄN</t>
        </is>
      </c>
      <c r="G566" t="inlineStr">
        <is>
          <t>NORDANSTIG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46262</v>
      </c>
      <c r="F567" t="inlineStr">
        <is>
          <t>GÄVLEBORGS LÄN</t>
        </is>
      </c>
      <c r="G567" t="inlineStr">
        <is>
          <t>NORDANSTIG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13270-2022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44644</v>
      </c>
      <c r="E568" s="1" t="n">
        <v>46262</v>
      </c>
      <c r="F568" t="inlineStr">
        <is>
          <t>GÄVLEBORGS LÄN</t>
        </is>
      </c>
      <c r="G568" t="inlineStr">
        <is>
          <t>NORDANSTIG</t>
        </is>
      </c>
      <c r="I568" t="n">
        <v>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9969-2026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46073</v>
      </c>
      <c r="E569" s="1" t="n">
        <v>46262</v>
      </c>
      <c r="F569" t="inlineStr">
        <is>
          <t>GÄVLEBORGS LÄN</t>
        </is>
      </c>
      <c r="G569" t="inlineStr">
        <is>
          <t>NORDANSTIG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9780-2026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46072</v>
      </c>
      <c r="E570" s="1" t="n">
        <v>46262</v>
      </c>
      <c r="F570" t="inlineStr">
        <is>
          <t>GÄVLEBORGS LÄN</t>
        </is>
      </c>
      <c r="G570" t="inlineStr">
        <is>
          <t>NORDANSTIG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46262</v>
      </c>
      <c r="F571" t="inlineStr">
        <is>
          <t>GÄVLEBORGS LÄN</t>
        </is>
      </c>
      <c r="G571" t="inlineStr">
        <is>
          <t>NORDANSTIG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46073</v>
      </c>
      <c r="E572" s="1" t="n">
        <v>46262</v>
      </c>
      <c r="F572" t="inlineStr">
        <is>
          <t>GÄVLEBORGS LÄN</t>
        </is>
      </c>
      <c r="G572" t="inlineStr">
        <is>
          <t>NORDANSTIG</t>
        </is>
      </c>
      <c r="I572" t="n">
        <v>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46262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45324</v>
      </c>
      <c r="E574" s="1" t="n">
        <v>46262</v>
      </c>
      <c r="F574" t="inlineStr">
        <is>
          <t>GÄVLEBORGS LÄN</t>
        </is>
      </c>
      <c r="G574" t="inlineStr">
        <is>
          <t>NORDANSTIG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42717-2024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46262</v>
      </c>
      <c r="F575" t="inlineStr">
        <is>
          <t>GÄVLEBORGS LÄN</t>
        </is>
      </c>
      <c r="G575" t="inlineStr">
        <is>
          <t>NORDANSTIG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10310-2026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46262</v>
      </c>
      <c r="F576" t="inlineStr">
        <is>
          <t>GÄVLEBORGS LÄN</t>
        </is>
      </c>
      <c r="G576" t="inlineStr">
        <is>
          <t>NORDANSTIG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45489</v>
      </c>
      <c r="E577" s="1" t="n">
        <v>46262</v>
      </c>
      <c r="F577" t="inlineStr">
        <is>
          <t>GÄVLEBORGS LÄN</t>
        </is>
      </c>
      <c r="G577" t="inlineStr">
        <is>
          <t>NORDANSTIG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46073</v>
      </c>
      <c r="E578" s="1" t="n">
        <v>46262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46262</v>
      </c>
      <c r="F579" t="inlineStr">
        <is>
          <t>GÄVLEBORGS LÄN</t>
        </is>
      </c>
      <c r="G579" t="inlineStr">
        <is>
          <t>NORDANSTIG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46262</v>
      </c>
      <c r="F580" t="inlineStr">
        <is>
          <t>GÄVLEBORGS LÄN</t>
        </is>
      </c>
      <c r="G580" t="inlineStr">
        <is>
          <t>NORDANSTIG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46262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46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38048-2024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46262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46079</v>
      </c>
      <c r="E583" s="1" t="n">
        <v>46262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46262</v>
      </c>
      <c r="F584" t="inlineStr">
        <is>
          <t>GÄVLEBORGS LÄN</t>
        </is>
      </c>
      <c r="G584" t="inlineStr">
        <is>
          <t>NORDANSTIG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46262</v>
      </c>
      <c r="F585" t="inlineStr">
        <is>
          <t>GÄVLEBORGS LÄN</t>
        </is>
      </c>
      <c r="G585" t="inlineStr">
        <is>
          <t>NORDANSTIG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46080</v>
      </c>
      <c r="E586" s="1" t="n">
        <v>46262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46262</v>
      </c>
      <c r="F587" t="inlineStr">
        <is>
          <t>GÄVLEBORGS LÄN</t>
        </is>
      </c>
      <c r="G587" t="inlineStr">
        <is>
          <t>NORDANSTIG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11586-2026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46262</v>
      </c>
      <c r="F588" t="inlineStr">
        <is>
          <t>GÄVLEBORGS LÄN</t>
        </is>
      </c>
      <c r="G588" t="inlineStr">
        <is>
          <t>NORDANSTIG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46262</v>
      </c>
      <c r="F589" t="inlineStr">
        <is>
          <t>GÄVLEBORGS LÄN</t>
        </is>
      </c>
      <c r="G589" t="inlineStr">
        <is>
          <t>NORDANSTIG</t>
        </is>
      </c>
      <c r="I589" t="n">
        <v>8.6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11578-2026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46262</v>
      </c>
      <c r="F590" t="inlineStr">
        <is>
          <t>GÄVLEBORGS LÄN</t>
        </is>
      </c>
      <c r="G590" t="inlineStr">
        <is>
          <t>NORDANSTIG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46262</v>
      </c>
      <c r="F591" t="inlineStr">
        <is>
          <t>GÄVLEBORGS LÄN</t>
        </is>
      </c>
      <c r="G591" t="inlineStr">
        <is>
          <t>NORDANSTIG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46262</v>
      </c>
      <c r="F592" t="inlineStr">
        <is>
          <t>GÄVLEBORGS LÄN</t>
        </is>
      </c>
      <c r="G592" t="inlineStr">
        <is>
          <t>NORDANSTIG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46262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59912-2024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45641</v>
      </c>
      <c r="E594" s="1" t="n">
        <v>46262</v>
      </c>
      <c r="F594" t="inlineStr">
        <is>
          <t>GÄVLEBORGS LÄN</t>
        </is>
      </c>
      <c r="G594" t="inlineStr">
        <is>
          <t>NORDANSTIG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59930-2024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45642</v>
      </c>
      <c r="E595" s="1" t="n">
        <v>46262</v>
      </c>
      <c r="F595" t="inlineStr">
        <is>
          <t>GÄVLEBORGS LÄN</t>
        </is>
      </c>
      <c r="G595" t="inlineStr">
        <is>
          <t>NORDANSTIG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46262</v>
      </c>
      <c r="F596" t="inlineStr">
        <is>
          <t>GÄVLEBORGS LÄN</t>
        </is>
      </c>
      <c r="G596" t="inlineStr">
        <is>
          <t>NORDANSTIG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46262</v>
      </c>
      <c r="F597" t="inlineStr">
        <is>
          <t>GÄVLEBORGS LÄN</t>
        </is>
      </c>
      <c r="G597" t="inlineStr">
        <is>
          <t>NORDANSTIG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46262</v>
      </c>
      <c r="F598" t="inlineStr">
        <is>
          <t>GÄVLEBORGS LÄN</t>
        </is>
      </c>
      <c r="G598" t="inlineStr">
        <is>
          <t>NORDANSTIG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44964</v>
      </c>
      <c r="E599" s="1" t="n">
        <v>46262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8.199999999999999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12458-2026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46090</v>
      </c>
      <c r="E600" s="1" t="n">
        <v>46262</v>
      </c>
      <c r="F600" t="inlineStr">
        <is>
          <t>GÄVLEBORGS LÄN</t>
        </is>
      </c>
      <c r="G600" t="inlineStr">
        <is>
          <t>NORDANSTIG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46262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45551-2024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46262</v>
      </c>
      <c r="F602" t="inlineStr">
        <is>
          <t>GÄVLEBORGS LÄN</t>
        </is>
      </c>
      <c r="G602" t="inlineStr">
        <is>
          <t>NORDANSTIG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45429</v>
      </c>
      <c r="E603" s="1" t="n">
        <v>46262</v>
      </c>
      <c r="F603" t="inlineStr">
        <is>
          <t>GÄVLEBORGS LÄN</t>
        </is>
      </c>
      <c r="G603" t="inlineStr">
        <is>
          <t>NORDANSTIG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45429</v>
      </c>
      <c r="E604" s="1" t="n">
        <v>46262</v>
      </c>
      <c r="F604" t="inlineStr">
        <is>
          <t>GÄVLEBORGS LÄN</t>
        </is>
      </c>
      <c r="G604" t="inlineStr">
        <is>
          <t>NORDANSTIG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12956-2026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46262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46031</v>
      </c>
      <c r="E606" s="1" t="n">
        <v>46262</v>
      </c>
      <c r="F606" t="inlineStr">
        <is>
          <t>GÄVLEBORGS LÄN</t>
        </is>
      </c>
      <c r="G606" t="inlineStr">
        <is>
          <t>NORDANSTIG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38241-2024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45545</v>
      </c>
      <c r="E607" s="1" t="n">
        <v>46262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44915</v>
      </c>
      <c r="E608" s="1" t="n">
        <v>46262</v>
      </c>
      <c r="F608" t="inlineStr">
        <is>
          <t>GÄVLEBORGS LÄN</t>
        </is>
      </c>
      <c r="G608" t="inlineStr">
        <is>
          <t>NORDANSTIG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45042</v>
      </c>
      <c r="E609" s="1" t="n">
        <v>46262</v>
      </c>
      <c r="F609" t="inlineStr">
        <is>
          <t>GÄVLEBORGS LÄN</t>
        </is>
      </c>
      <c r="G609" t="inlineStr">
        <is>
          <t>NORDANSTIG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45537</v>
      </c>
      <c r="E610" s="1" t="n">
        <v>46262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46262</v>
      </c>
      <c r="F611" t="inlineStr">
        <is>
          <t>GÄVLEBORGS LÄN</t>
        </is>
      </c>
      <c r="G611" t="inlineStr">
        <is>
          <t>NORDANSTIG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46262</v>
      </c>
      <c r="F612" t="inlineStr">
        <is>
          <t>GÄVLEBORGS LÄN</t>
        </is>
      </c>
      <c r="G612" t="inlineStr">
        <is>
          <t>NORDANSTIG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13823-2026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46262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54705-2024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45618</v>
      </c>
      <c r="E614" s="1" t="n">
        <v>46262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13978-2026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46262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13647-2026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46262</v>
      </c>
      <c r="F616" t="inlineStr">
        <is>
          <t>GÄVLEBORGS LÄN</t>
        </is>
      </c>
      <c r="G616" t="inlineStr">
        <is>
          <t>NORDANSTIG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46098</v>
      </c>
      <c r="E617" s="1" t="n">
        <v>46262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46262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45313</v>
      </c>
      <c r="E619" s="1" t="n">
        <v>46262</v>
      </c>
      <c r="F619" t="inlineStr">
        <is>
          <t>GÄVLEBORGS LÄN</t>
        </is>
      </c>
      <c r="G619" t="inlineStr">
        <is>
          <t>NORDANSTIG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46262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45712</v>
      </c>
      <c r="E621" s="1" t="n">
        <v>46262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25631-2023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45089</v>
      </c>
      <c r="E622" s="1" t="n">
        <v>46262</v>
      </c>
      <c r="F622" t="inlineStr">
        <is>
          <t>GÄVLEBORGS LÄN</t>
        </is>
      </c>
      <c r="G622" t="inlineStr">
        <is>
          <t>NORDANSTIG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24106-2023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45079</v>
      </c>
      <c r="E623" s="1" t="n">
        <v>46262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48607-2023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45208</v>
      </c>
      <c r="E624" s="1" t="n">
        <v>46262</v>
      </c>
      <c r="F624" t="inlineStr">
        <is>
          <t>GÄVLEBORGS LÄN</t>
        </is>
      </c>
      <c r="G624" t="inlineStr">
        <is>
          <t>NORDANSTIG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18638-2023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45043</v>
      </c>
      <c r="E625" s="1" t="n">
        <v>46262</v>
      </c>
      <c r="F625" t="inlineStr">
        <is>
          <t>GÄVLEBORGS LÄN</t>
        </is>
      </c>
      <c r="G625" t="inlineStr">
        <is>
          <t>NORDANSTIG</t>
        </is>
      </c>
      <c r="I625" t="n">
        <v>11.3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44832</v>
      </c>
      <c r="E626" s="1" t="n">
        <v>46262</v>
      </c>
      <c r="F626" t="inlineStr">
        <is>
          <t>GÄVLEBORGS LÄN</t>
        </is>
      </c>
      <c r="G626" t="inlineStr">
        <is>
          <t>NORDANSTIG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15009-2026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46104</v>
      </c>
      <c r="E627" s="1" t="n">
        <v>46262</v>
      </c>
      <c r="F627" t="inlineStr">
        <is>
          <t>GÄVLEBORGS LÄN</t>
        </is>
      </c>
      <c r="G627" t="inlineStr">
        <is>
          <t>NORDANSTIG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46262</v>
      </c>
      <c r="F628" t="inlineStr">
        <is>
          <t>GÄVLEBORGS LÄN</t>
        </is>
      </c>
      <c r="G628" t="inlineStr">
        <is>
          <t>NORDANSTIG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51740-2023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45222</v>
      </c>
      <c r="E629" s="1" t="n">
        <v>46262</v>
      </c>
      <c r="F629" t="inlineStr">
        <is>
          <t>GÄVLEBORGS LÄN</t>
        </is>
      </c>
      <c r="G629" t="inlineStr">
        <is>
          <t>NORDANSTIG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18020-2026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46125</v>
      </c>
      <c r="E630" s="1" t="n">
        <v>46262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44686</v>
      </c>
      <c r="E631" s="1" t="n">
        <v>46262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6583-2022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44601</v>
      </c>
      <c r="E632" s="1" t="n">
        <v>46262</v>
      </c>
      <c r="F632" t="inlineStr">
        <is>
          <t>GÄVLEBORGS LÄN</t>
        </is>
      </c>
      <c r="G632" t="inlineStr">
        <is>
          <t>NORDANSTIG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14415-2025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45741</v>
      </c>
      <c r="E633" s="1" t="n">
        <v>46262</v>
      </c>
      <c r="F633" t="inlineStr">
        <is>
          <t>GÄVLEBORGS LÄN</t>
        </is>
      </c>
      <c r="G633" t="inlineStr">
        <is>
          <t>NORDANSTIG</t>
        </is>
      </c>
      <c r="I633" t="n">
        <v>16.7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21157-2022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44704</v>
      </c>
      <c r="E634" s="1" t="n">
        <v>46262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58876-2024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45636</v>
      </c>
      <c r="E635" s="1" t="n">
        <v>46262</v>
      </c>
      <c r="F635" t="inlineStr">
        <is>
          <t>GÄVLEBORGS LÄN</t>
        </is>
      </c>
      <c r="G635" t="inlineStr">
        <is>
          <t>NORDANSTIG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45141</v>
      </c>
      <c r="E636" s="1" t="n">
        <v>46262</v>
      </c>
      <c r="F636" t="inlineStr">
        <is>
          <t>GÄVLEBORGS LÄN</t>
        </is>
      </c>
      <c r="G636" t="inlineStr">
        <is>
          <t>NORDANSTIG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15746-2026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46262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14415-2022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44652</v>
      </c>
      <c r="E638" s="1" t="n">
        <v>46262</v>
      </c>
      <c r="F638" t="inlineStr">
        <is>
          <t>GÄVLEBORGS LÄN</t>
        </is>
      </c>
      <c r="G638" t="inlineStr">
        <is>
          <t>NORDANSTIG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45297</v>
      </c>
      <c r="E639" s="1" t="n">
        <v>46262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56281-2024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45624</v>
      </c>
      <c r="E640" s="1" t="n">
        <v>46262</v>
      </c>
      <c r="F640" t="inlineStr">
        <is>
          <t>GÄVLEBORGS LÄN</t>
        </is>
      </c>
      <c r="G640" t="inlineStr">
        <is>
          <t>NORDANSTIG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46262</v>
      </c>
      <c r="F641" t="inlineStr">
        <is>
          <t>GÄVLEBORGS LÄN</t>
        </is>
      </c>
      <c r="G641" t="inlineStr">
        <is>
          <t>NORDANSTIG</t>
        </is>
      </c>
      <c r="H641" t="inlineStr">
        <is>
          <t>Kommuner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16184-2026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46262</v>
      </c>
      <c r="F642" t="inlineStr">
        <is>
          <t>GÄVLEBORGS LÄN</t>
        </is>
      </c>
      <c r="G642" t="inlineStr">
        <is>
          <t>NORDANSTIG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46262</v>
      </c>
      <c r="F643" t="inlineStr">
        <is>
          <t>GÄVLEBORGS LÄN</t>
        </is>
      </c>
      <c r="G643" t="inlineStr">
        <is>
          <t>NORDANSTIG</t>
        </is>
      </c>
      <c r="H643" t="inlineStr">
        <is>
          <t>Kommuner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45729</v>
      </c>
      <c r="E644" s="1" t="n">
        <v>46262</v>
      </c>
      <c r="F644" t="inlineStr">
        <is>
          <t>GÄVLEBORGS LÄN</t>
        </is>
      </c>
      <c r="G644" t="inlineStr">
        <is>
          <t>NORDANSTIG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45743</v>
      </c>
      <c r="E645" s="1" t="n">
        <v>46262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16687-2026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46262</v>
      </c>
      <c r="F646" t="inlineStr">
        <is>
          <t>GÄVLEBORGS LÄN</t>
        </is>
      </c>
      <c r="G646" t="inlineStr">
        <is>
          <t>NORDANSTIG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46262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46112</v>
      </c>
      <c r="E648" s="1" t="n">
        <v>46262</v>
      </c>
      <c r="F648" t="inlineStr">
        <is>
          <t>GÄVLEBORGS LÄN</t>
        </is>
      </c>
      <c r="G648" t="inlineStr">
        <is>
          <t>NORDANSTIG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16293-2026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46111</v>
      </c>
      <c r="E649" s="1" t="n">
        <v>46262</v>
      </c>
      <c r="F649" t="inlineStr">
        <is>
          <t>GÄVLEBORGS LÄN</t>
        </is>
      </c>
      <c r="G649" t="inlineStr">
        <is>
          <t>NORDANSTIG</t>
        </is>
      </c>
      <c r="H649" t="inlineStr">
        <is>
          <t>Kommuner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46262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42.1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16310-2026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46111</v>
      </c>
      <c r="E651" s="1" t="n">
        <v>46262</v>
      </c>
      <c r="F651" t="inlineStr">
        <is>
          <t>GÄVLEBORGS LÄN</t>
        </is>
      </c>
      <c r="G651" t="inlineStr">
        <is>
          <t>NORDANSTIG</t>
        </is>
      </c>
      <c r="H651" t="inlineStr">
        <is>
          <t>Kommuner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45303</v>
      </c>
      <c r="E652" s="1" t="n">
        <v>46262</v>
      </c>
      <c r="F652" t="inlineStr">
        <is>
          <t>GÄVLEBORGS LÄN</t>
        </is>
      </c>
      <c r="G652" t="inlineStr">
        <is>
          <t>NORDANSTIG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32622-2022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44783</v>
      </c>
      <c r="E653" s="1" t="n">
        <v>46262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16703-2026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46113</v>
      </c>
      <c r="E654" s="1" t="n">
        <v>46262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16756-2026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46113</v>
      </c>
      <c r="E655" s="1" t="n">
        <v>46262</v>
      </c>
      <c r="F655" t="inlineStr">
        <is>
          <t>GÄVLEBORGS LÄN</t>
        </is>
      </c>
      <c r="G655" t="inlineStr">
        <is>
          <t>NORDANSTIG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46118</v>
      </c>
      <c r="E656" s="1" t="n">
        <v>46262</v>
      </c>
      <c r="F656" t="inlineStr">
        <is>
          <t>GÄVLEBORGS LÄN</t>
        </is>
      </c>
      <c r="G656" t="inlineStr">
        <is>
          <t>NORDANSTIG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46120</v>
      </c>
      <c r="E657" s="1" t="n">
        <v>46262</v>
      </c>
      <c r="F657" t="inlineStr">
        <is>
          <t>GÄVLEBORGS LÄN</t>
        </is>
      </c>
      <c r="G657" t="inlineStr">
        <is>
          <t>NORDANSTIG</t>
        </is>
      </c>
      <c r="I657" t="n">
        <v>16.3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17303-2026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46262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17281-2026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46119</v>
      </c>
      <c r="E659" s="1" t="n">
        <v>46262</v>
      </c>
      <c r="F659" t="inlineStr">
        <is>
          <t>GÄVLEBORGS LÄN</t>
        </is>
      </c>
      <c r="G659" t="inlineStr">
        <is>
          <t>NORDANSTIG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17490-2026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46120</v>
      </c>
      <c r="E660" s="1" t="n">
        <v>46262</v>
      </c>
      <c r="F660" t="inlineStr">
        <is>
          <t>GÄVLEBORGS LÄN</t>
        </is>
      </c>
      <c r="G660" t="inlineStr">
        <is>
          <t>NORDANSTIG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46262</v>
      </c>
      <c r="F661" t="inlineStr">
        <is>
          <t>GÄVLEBORGS LÄN</t>
        </is>
      </c>
      <c r="G661" t="inlineStr">
        <is>
          <t>NORDANSTIG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17487-2026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46120</v>
      </c>
      <c r="E662" s="1" t="n">
        <v>46262</v>
      </c>
      <c r="F662" t="inlineStr">
        <is>
          <t>GÄVLEBORGS LÄN</t>
        </is>
      </c>
      <c r="G662" t="inlineStr">
        <is>
          <t>NORDANSTIG</t>
        </is>
      </c>
      <c r="I662" t="n">
        <v>9.800000000000001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17489-2026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46262</v>
      </c>
      <c r="F663" t="inlineStr">
        <is>
          <t>GÄVLEBORGS LÄN</t>
        </is>
      </c>
      <c r="G663" t="inlineStr">
        <is>
          <t>NORDANSTIG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43465-2024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45568</v>
      </c>
      <c r="E664" s="1" t="n">
        <v>46262</v>
      </c>
      <c r="F664" t="inlineStr">
        <is>
          <t>GÄVLEBORGS LÄN</t>
        </is>
      </c>
      <c r="G664" t="inlineStr">
        <is>
          <t>NORDANSTIG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17498-2026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46120</v>
      </c>
      <c r="E665" s="1" t="n">
        <v>46262</v>
      </c>
      <c r="F665" t="inlineStr">
        <is>
          <t>GÄVLEBORGS LÄN</t>
        </is>
      </c>
      <c r="G665" t="inlineStr">
        <is>
          <t>NORDANSTIG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46262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17492-2026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46262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38298-2024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45545</v>
      </c>
      <c r="E668" s="1" t="n">
        <v>46262</v>
      </c>
      <c r="F668" t="inlineStr">
        <is>
          <t>GÄVLEBORGS LÄN</t>
        </is>
      </c>
      <c r="G668" t="inlineStr">
        <is>
          <t>NORDANSTIG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36464-2024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45537</v>
      </c>
      <c r="E669" s="1" t="n">
        <v>46262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SCA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63145-2023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45273</v>
      </c>
      <c r="E670" s="1" t="n">
        <v>46262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45748</v>
      </c>
      <c r="E671" s="1" t="n">
        <v>46262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17872-2026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46122</v>
      </c>
      <c r="E672" s="1" t="n">
        <v>46262</v>
      </c>
      <c r="F672" t="inlineStr">
        <is>
          <t>GÄVLEBORGS LÄN</t>
        </is>
      </c>
      <c r="G672" t="inlineStr">
        <is>
          <t>NORDANSTIG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44616</v>
      </c>
      <c r="E673" s="1" t="n">
        <v>46262</v>
      </c>
      <c r="F673" t="inlineStr">
        <is>
          <t>GÄVLEBORGS LÄN</t>
        </is>
      </c>
      <c r="G673" t="inlineStr">
        <is>
          <t>NORDANSTIG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18385-2026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46126</v>
      </c>
      <c r="E674" s="1" t="n">
        <v>46262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15494-2023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45020</v>
      </c>
      <c r="E675" s="1" t="n">
        <v>46262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45020</v>
      </c>
      <c r="E676" s="1" t="n">
        <v>46262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46299-2023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45197</v>
      </c>
      <c r="E677" s="1" t="n">
        <v>46262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46262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10484-2023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44987</v>
      </c>
      <c r="E679" s="1" t="n">
        <v>46262</v>
      </c>
      <c r="F679" t="inlineStr">
        <is>
          <t>GÄVLEBORGS LÄN</t>
        </is>
      </c>
      <c r="G679" t="inlineStr">
        <is>
          <t>NORDANSTIG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46062</v>
      </c>
      <c r="E680" s="1" t="n">
        <v>46262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46262</v>
      </c>
      <c r="F681" t="inlineStr">
        <is>
          <t>GÄVLEBORGS LÄN</t>
        </is>
      </c>
      <c r="G681" t="inlineStr">
        <is>
          <t>NORDANSTIG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18236-2026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46126</v>
      </c>
      <c r="E682" s="1" t="n">
        <v>46262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25200-2022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44729</v>
      </c>
      <c r="E683" s="1" t="n">
        <v>46262</v>
      </c>
      <c r="F683" t="inlineStr">
        <is>
          <t>GÄVLEBORGS LÄN</t>
        </is>
      </c>
      <c r="G683" t="inlineStr">
        <is>
          <t>NORDANSTIG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46262</v>
      </c>
      <c r="F684" t="inlineStr">
        <is>
          <t>GÄVLEBORGS LÄN</t>
        </is>
      </c>
      <c r="G684" t="inlineStr">
        <is>
          <t>NORDANSTIG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45428</v>
      </c>
      <c r="E685" s="1" t="n">
        <v>46262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45607</v>
      </c>
      <c r="E686" s="1" t="n">
        <v>46262</v>
      </c>
      <c r="F686" t="inlineStr">
        <is>
          <t>GÄVLEBORGS LÄN</t>
        </is>
      </c>
      <c r="G686" t="inlineStr">
        <is>
          <t>NORDANSTIG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45631</v>
      </c>
      <c r="E687" s="1" t="n">
        <v>46262</v>
      </c>
      <c r="F687" t="inlineStr">
        <is>
          <t>GÄVLEBORGS LÄN</t>
        </is>
      </c>
      <c r="G687" t="inlineStr">
        <is>
          <t>NORDANSTIG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54713-2024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45618</v>
      </c>
      <c r="E688" s="1" t="n">
        <v>46262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38451-2024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45546</v>
      </c>
      <c r="E689" s="1" t="n">
        <v>46262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19367-2026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46133</v>
      </c>
      <c r="E690" s="1" t="n">
        <v>46262</v>
      </c>
      <c r="F690" t="inlineStr">
        <is>
          <t>GÄVLEBORGS LÄN</t>
        </is>
      </c>
      <c r="G690" t="inlineStr">
        <is>
          <t>NORDANSTIG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64835-2021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44512</v>
      </c>
      <c r="E691" s="1" t="n">
        <v>46262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18531-2026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46127</v>
      </c>
      <c r="E692" s="1" t="n">
        <v>46262</v>
      </c>
      <c r="F692" t="inlineStr">
        <is>
          <t>GÄVLEBORGS LÄN</t>
        </is>
      </c>
      <c r="G692" t="inlineStr">
        <is>
          <t>NORDANSTIG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57463-2023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46262</v>
      </c>
      <c r="F693" t="inlineStr">
        <is>
          <t>GÄVLEBORGS LÄN</t>
        </is>
      </c>
      <c r="G693" t="inlineStr">
        <is>
          <t>NORDANSTIG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56733-2024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45628</v>
      </c>
      <c r="E694" s="1" t="n">
        <v>46262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37972-2022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44811</v>
      </c>
      <c r="E695" s="1" t="n">
        <v>46262</v>
      </c>
      <c r="F695" t="inlineStr">
        <is>
          <t>GÄVLEBORGS LÄN</t>
        </is>
      </c>
      <c r="G695" t="inlineStr">
        <is>
          <t>NORDANSTIG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51222-2024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45603</v>
      </c>
      <c r="E696" s="1" t="n">
        <v>46262</v>
      </c>
      <c r="F696" t="inlineStr">
        <is>
          <t>GÄVLEBORGS LÄN</t>
        </is>
      </c>
      <c r="G696" t="inlineStr">
        <is>
          <t>NORDANSTIG</t>
        </is>
      </c>
      <c r="I696" t="n">
        <v>15.1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51230-2024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45603</v>
      </c>
      <c r="E697" s="1" t="n">
        <v>46262</v>
      </c>
      <c r="F697" t="inlineStr">
        <is>
          <t>GÄVLEBORGS LÄN</t>
        </is>
      </c>
      <c r="G697" t="inlineStr">
        <is>
          <t>NORDANSTIG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33974-2022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44790</v>
      </c>
      <c r="E698" s="1" t="n">
        <v>46262</v>
      </c>
      <c r="F698" t="inlineStr">
        <is>
          <t>GÄVLEBORGS LÄN</t>
        </is>
      </c>
      <c r="G698" t="inlineStr">
        <is>
          <t>NORDANSTIG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45549-2024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45579</v>
      </c>
      <c r="E699" s="1" t="n">
        <v>46262</v>
      </c>
      <c r="F699" t="inlineStr">
        <is>
          <t>GÄVLEBORGS LÄN</t>
        </is>
      </c>
      <c r="G699" t="inlineStr">
        <is>
          <t>NORDANSTIG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16659-2026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46262</v>
      </c>
      <c r="F700" t="inlineStr">
        <is>
          <t>GÄVLEBORGS LÄN</t>
        </is>
      </c>
      <c r="G700" t="inlineStr">
        <is>
          <t>NORDANSTIG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19896-2025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45771</v>
      </c>
      <c r="E701" s="1" t="n">
        <v>46262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46262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15088-2024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45399</v>
      </c>
      <c r="E703" s="1" t="n">
        <v>46262</v>
      </c>
      <c r="F703" t="inlineStr">
        <is>
          <t>GÄVLEBORGS LÄN</t>
        </is>
      </c>
      <c r="G703" t="inlineStr">
        <is>
          <t>NORDANSTIG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58749-2024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45635</v>
      </c>
      <c r="E704" s="1" t="n">
        <v>46262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45525</v>
      </c>
      <c r="E705" s="1" t="n">
        <v>46262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46262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46262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46136</v>
      </c>
      <c r="E708" s="1" t="n">
        <v>46262</v>
      </c>
      <c r="F708" t="inlineStr">
        <is>
          <t>GÄVLEBORGS LÄN</t>
        </is>
      </c>
      <c r="G708" t="inlineStr">
        <is>
          <t>NORDANSTIG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46030</v>
      </c>
      <c r="E709" s="1" t="n">
        <v>46262</v>
      </c>
      <c r="F709" t="inlineStr">
        <is>
          <t>GÄVLEBORGS LÄN</t>
        </is>
      </c>
      <c r="G709" t="inlineStr">
        <is>
          <t>NORDANSTIG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46262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45622</v>
      </c>
      <c r="E711" s="1" t="n">
        <v>46262</v>
      </c>
      <c r="F711" t="inlineStr">
        <is>
          <t>GÄVLEBORGS LÄN</t>
        </is>
      </c>
      <c r="G711" t="inlineStr">
        <is>
          <t>NORDANSTIG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46262</v>
      </c>
      <c r="F712" t="inlineStr">
        <is>
          <t>GÄVLEBORGS LÄN</t>
        </is>
      </c>
      <c r="G712" t="inlineStr">
        <is>
          <t>NORDANSTIG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45667</v>
      </c>
      <c r="E713" s="1" t="n">
        <v>46262</v>
      </c>
      <c r="F713" t="inlineStr">
        <is>
          <t>GÄVLEBORGS LÄN</t>
        </is>
      </c>
      <c r="G713" t="inlineStr">
        <is>
          <t>NORDANSTIG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45670</v>
      </c>
      <c r="E714" s="1" t="n">
        <v>46262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64034-2025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46021</v>
      </c>
      <c r="E715" s="1" t="n">
        <v>46262</v>
      </c>
      <c r="F715" t="inlineStr">
        <is>
          <t>GÄVLEBORGS LÄN</t>
        </is>
      </c>
      <c r="G715" t="inlineStr">
        <is>
          <t>NORDANSTIG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65039-2023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45287</v>
      </c>
      <c r="E716" s="1" t="n">
        <v>46262</v>
      </c>
      <c r="F716" t="inlineStr">
        <is>
          <t>GÄVLEBORGS LÄN</t>
        </is>
      </c>
      <c r="G716" t="inlineStr">
        <is>
          <t>NORDANSTIG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23770-2024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45455</v>
      </c>
      <c r="E717" s="1" t="n">
        <v>46262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44596</v>
      </c>
      <c r="E718" s="1" t="n">
        <v>46262</v>
      </c>
      <c r="F718" t="inlineStr">
        <is>
          <t>GÄVLEBORGS LÄN</t>
        </is>
      </c>
      <c r="G718" t="inlineStr">
        <is>
          <t>NORDANSTIG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45915</v>
      </c>
      <c r="E719" s="1" t="n">
        <v>46262</v>
      </c>
      <c r="F719" t="inlineStr">
        <is>
          <t>GÄVLEBORGS LÄN</t>
        </is>
      </c>
      <c r="G719" t="inlineStr">
        <is>
          <t>NORDANSTIG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46262</v>
      </c>
      <c r="F720" t="inlineStr">
        <is>
          <t>GÄVLEBORGS LÄN</t>
        </is>
      </c>
      <c r="G720" t="inlineStr">
        <is>
          <t>NORDANSTIG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63786-2025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46019</v>
      </c>
      <c r="E721" s="1" t="n">
        <v>46262</v>
      </c>
      <c r="F721" t="inlineStr">
        <is>
          <t>GÄVLEBORGS LÄN</t>
        </is>
      </c>
      <c r="G721" t="inlineStr">
        <is>
          <t>NORDANSTIG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31899-2022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44777</v>
      </c>
      <c r="E722" s="1" t="n">
        <v>46262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46033</v>
      </c>
      <c r="E723" s="1" t="n">
        <v>46262</v>
      </c>
      <c r="F723" t="inlineStr">
        <is>
          <t>GÄVLEBORGS LÄN</t>
        </is>
      </c>
      <c r="G723" t="inlineStr">
        <is>
          <t>NORDANSTIG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29401-2025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45824</v>
      </c>
      <c r="E724" s="1" t="n">
        <v>46262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42796-2024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45566</v>
      </c>
      <c r="E725" s="1" t="n">
        <v>46262</v>
      </c>
      <c r="F725" t="inlineStr">
        <is>
          <t>GÄVLEBORGS LÄN</t>
        </is>
      </c>
      <c r="G725" t="inlineStr">
        <is>
          <t>NORDANSTIG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46262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52695-2024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45610</v>
      </c>
      <c r="E727" s="1" t="n">
        <v>46262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54896-2024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45618</v>
      </c>
      <c r="E728" s="1" t="n">
        <v>46262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4445-2025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45686</v>
      </c>
      <c r="E729" s="1" t="n">
        <v>46262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73748-2021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44552</v>
      </c>
      <c r="E730" s="1" t="n">
        <v>46262</v>
      </c>
      <c r="F730" t="inlineStr">
        <is>
          <t>GÄVLEBORGS LÄN</t>
        </is>
      </c>
      <c r="G730" t="inlineStr">
        <is>
          <t>NORDANSTIG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51387-2024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45604</v>
      </c>
      <c r="E731" s="1" t="n">
        <v>46262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35115-2022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44797</v>
      </c>
      <c r="E732" s="1" t="n">
        <v>46262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46139</v>
      </c>
      <c r="E733" s="1" t="n">
        <v>46262</v>
      </c>
      <c r="F733" t="inlineStr">
        <is>
          <t>GÄVLEBORGS LÄN</t>
        </is>
      </c>
      <c r="G733" t="inlineStr">
        <is>
          <t>NORDANSTIG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35765-2024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45532</v>
      </c>
      <c r="E734" s="1" t="n">
        <v>46262</v>
      </c>
      <c r="F734" t="inlineStr">
        <is>
          <t>GÄVLEBORGS LÄN</t>
        </is>
      </c>
      <c r="G734" t="inlineStr">
        <is>
          <t>NORDANSTIG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46262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20019-2026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46136</v>
      </c>
      <c r="E736" s="1" t="n">
        <v>46262</v>
      </c>
      <c r="F736" t="inlineStr">
        <is>
          <t>GÄVLEBORGS LÄN</t>
        </is>
      </c>
      <c r="G736" t="inlineStr">
        <is>
          <t>NORDANSTIG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38159-2022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44812</v>
      </c>
      <c r="E737" s="1" t="n">
        <v>46262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3764-2026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46262</v>
      </c>
      <c r="F738" t="inlineStr">
        <is>
          <t>GÄVLEBORGS LÄN</t>
        </is>
      </c>
      <c r="G738" t="inlineStr">
        <is>
          <t>NORDANSTIG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19970-2026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46136</v>
      </c>
      <c r="E739" s="1" t="n">
        <v>46262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50657-2024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45601</v>
      </c>
      <c r="E740" s="1" t="n">
        <v>46262</v>
      </c>
      <c r="F740" t="inlineStr">
        <is>
          <t>GÄVLEBORGS LÄN</t>
        </is>
      </c>
      <c r="G740" t="inlineStr">
        <is>
          <t>NORDANSTIG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19898-2026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46135</v>
      </c>
      <c r="E741" s="1" t="n">
        <v>46262</v>
      </c>
      <c r="F741" t="inlineStr">
        <is>
          <t>GÄVLEBORGS LÄN</t>
        </is>
      </c>
      <c r="G741" t="inlineStr">
        <is>
          <t>NORDANSTIG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30978-2024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45499</v>
      </c>
      <c r="E742" s="1" t="n">
        <v>46262</v>
      </c>
      <c r="F742" t="inlineStr">
        <is>
          <t>GÄVLEBORGS LÄN</t>
        </is>
      </c>
      <c r="G742" t="inlineStr">
        <is>
          <t>NORDANSTIG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45140</v>
      </c>
      <c r="E743" s="1" t="n">
        <v>46262</v>
      </c>
      <c r="F743" t="inlineStr">
        <is>
          <t>GÄVLEBORGS LÄN</t>
        </is>
      </c>
      <c r="G743" t="inlineStr">
        <is>
          <t>NORDANSTIG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31724-2024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45509</v>
      </c>
      <c r="E744" s="1" t="n">
        <v>46262</v>
      </c>
      <c r="F744" t="inlineStr">
        <is>
          <t>GÄVLEBORGS LÄN</t>
        </is>
      </c>
      <c r="G744" t="inlineStr">
        <is>
          <t>NORDANSTIG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53988-2023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45231</v>
      </c>
      <c r="E745" s="1" t="n">
        <v>46262</v>
      </c>
      <c r="F745" t="inlineStr">
        <is>
          <t>GÄVLEBORGS LÄN</t>
        </is>
      </c>
      <c r="G745" t="inlineStr">
        <is>
          <t>NORDANSTIG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45671</v>
      </c>
      <c r="E746" s="1" t="n">
        <v>46262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46262</v>
      </c>
      <c r="F747" t="inlineStr">
        <is>
          <t>GÄVLEBORGS LÄN</t>
        </is>
      </c>
      <c r="G747" t="inlineStr">
        <is>
          <t>NORDANSTIG</t>
        </is>
      </c>
      <c r="I747" t="n">
        <v>6.6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46026</v>
      </c>
      <c r="E748" s="1" t="n">
        <v>46262</v>
      </c>
      <c r="F748" t="inlineStr">
        <is>
          <t>GÄVLEBORGS LÄN</t>
        </is>
      </c>
      <c r="G748" t="inlineStr">
        <is>
          <t>NORDANSTIG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51681-2025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45951</v>
      </c>
      <c r="E749" s="1" t="n">
        <v>46262</v>
      </c>
      <c r="F749" t="inlineStr">
        <is>
          <t>GÄVLEBORGS LÄN</t>
        </is>
      </c>
      <c r="G749" t="inlineStr">
        <is>
          <t>NORDANSTIG</t>
        </is>
      </c>
      <c r="I749" t="n">
        <v>9.1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45884</v>
      </c>
      <c r="E750" s="1" t="n">
        <v>46262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46055</v>
      </c>
      <c r="E751" s="1" t="n">
        <v>46262</v>
      </c>
      <c r="F751" t="inlineStr">
        <is>
          <t>GÄVLEBORGS LÄN</t>
        </is>
      </c>
      <c r="G751" t="inlineStr">
        <is>
          <t>NORDANSTIG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64033-2025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46021</v>
      </c>
      <c r="E752" s="1" t="n">
        <v>46262</v>
      </c>
      <c r="F752" t="inlineStr">
        <is>
          <t>GÄVLEBORGS LÄN</t>
        </is>
      </c>
      <c r="G752" t="inlineStr">
        <is>
          <t>NORDANSTIG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20482-2026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46140</v>
      </c>
      <c r="E753" s="1" t="n">
        <v>46262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25946-2023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45090</v>
      </c>
      <c r="E754" s="1" t="n">
        <v>46262</v>
      </c>
      <c r="F754" t="inlineStr">
        <is>
          <t>GÄVLEBORGS LÄN</t>
        </is>
      </c>
      <c r="G754" t="inlineStr">
        <is>
          <t>NORDANSTIG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35070-2022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44797</v>
      </c>
      <c r="E755" s="1" t="n">
        <v>46262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46262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33377-2022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44788</v>
      </c>
      <c r="E757" s="1" t="n">
        <v>46262</v>
      </c>
      <c r="F757" t="inlineStr">
        <is>
          <t>GÄVLEBORGS LÄN</t>
        </is>
      </c>
      <c r="G757" t="inlineStr">
        <is>
          <t>NORDANSTIG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46084</v>
      </c>
      <c r="E758" s="1" t="n">
        <v>46262</v>
      </c>
      <c r="F758" t="inlineStr">
        <is>
          <t>GÄVLEBORGS LÄN</t>
        </is>
      </c>
      <c r="G758" t="inlineStr">
        <is>
          <t>NORDANSTIG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22868-2023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45072</v>
      </c>
      <c r="E759" s="1" t="n">
        <v>46262</v>
      </c>
      <c r="F759" t="inlineStr">
        <is>
          <t>GÄVLEBORGS LÄN</t>
        </is>
      </c>
      <c r="G759" t="inlineStr">
        <is>
          <t>NORDANSTIG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46054</v>
      </c>
      <c r="E760" s="1" t="n">
        <v>46262</v>
      </c>
      <c r="F760" t="inlineStr">
        <is>
          <t>GÄVLEBORGS LÄN</t>
        </is>
      </c>
      <c r="G760" t="inlineStr">
        <is>
          <t>NORDANSTIG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9373-2026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46070</v>
      </c>
      <c r="E761" s="1" t="n">
        <v>46262</v>
      </c>
      <c r="F761" t="inlineStr">
        <is>
          <t>GÄVLEBORGS LÄN</t>
        </is>
      </c>
      <c r="G761" t="inlineStr">
        <is>
          <t>NORDANSTIG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9031-2026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46069</v>
      </c>
      <c r="E762" s="1" t="n">
        <v>46262</v>
      </c>
      <c r="F762" t="inlineStr">
        <is>
          <t>GÄVLEBORGS LÄN</t>
        </is>
      </c>
      <c r="G762" t="inlineStr">
        <is>
          <t>NORDANSTIG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46262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37640-2025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45880</v>
      </c>
      <c r="E764" s="1" t="n">
        <v>46262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46262</v>
      </c>
      <c r="F765" t="inlineStr">
        <is>
          <t>GÄVLEBORGS LÄN</t>
        </is>
      </c>
      <c r="G765" t="inlineStr">
        <is>
          <t>NORDANSTIG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13826-2026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46098</v>
      </c>
      <c r="E766" s="1" t="n">
        <v>46262</v>
      </c>
      <c r="F766" t="inlineStr">
        <is>
          <t>GÄVLEBORGS LÄN</t>
        </is>
      </c>
      <c r="G766" t="inlineStr">
        <is>
          <t>NORDANSTIG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46038</v>
      </c>
      <c r="E767" s="1" t="n">
        <v>46262</v>
      </c>
      <c r="F767" t="inlineStr">
        <is>
          <t>GÄVLEBORGS LÄN</t>
        </is>
      </c>
      <c r="G767" t="inlineStr">
        <is>
          <t>NORDANSTIG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22784-2025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46262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55.6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5660-2023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44960</v>
      </c>
      <c r="E769" s="1" t="n">
        <v>46262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40738-2023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45170</v>
      </c>
      <c r="E770" s="1" t="n">
        <v>46262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9.5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45121</v>
      </c>
      <c r="E771" s="1" t="n">
        <v>46262</v>
      </c>
      <c r="F771" t="inlineStr">
        <is>
          <t>GÄVLEBORGS LÄN</t>
        </is>
      </c>
      <c r="G771" t="inlineStr">
        <is>
          <t>NORDANSTIG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58165-2023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45250</v>
      </c>
      <c r="E772" s="1" t="n">
        <v>46262</v>
      </c>
      <c r="F772" t="inlineStr">
        <is>
          <t>GÄVLEBORGS LÄN</t>
        </is>
      </c>
      <c r="G772" t="inlineStr">
        <is>
          <t>NORDANSTIG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21118-2026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46146</v>
      </c>
      <c r="E773" s="1" t="n">
        <v>46262</v>
      </c>
      <c r="F773" t="inlineStr">
        <is>
          <t>GÄVLEBORGS LÄN</t>
        </is>
      </c>
      <c r="G773" t="inlineStr">
        <is>
          <t>NORDANSTIG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17254-2026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46119</v>
      </c>
      <c r="E774" s="1" t="n">
        <v>46262</v>
      </c>
      <c r="F774" t="inlineStr">
        <is>
          <t>GÄVLEBORGS LÄN</t>
        </is>
      </c>
      <c r="G774" t="inlineStr">
        <is>
          <t>NORDANSTIG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46262</v>
      </c>
      <c r="F775" t="inlineStr">
        <is>
          <t>GÄVLEBORGS LÄN</t>
        </is>
      </c>
      <c r="G775" t="inlineStr">
        <is>
          <t>NORDANSTIG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46262</v>
      </c>
      <c r="F776" t="inlineStr">
        <is>
          <t>GÄVLEBORGS LÄN</t>
        </is>
      </c>
      <c r="G776" t="inlineStr">
        <is>
          <t>NORDANSTIG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20747-2023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45058</v>
      </c>
      <c r="E777" s="1" t="n">
        <v>46262</v>
      </c>
      <c r="F777" t="inlineStr">
        <is>
          <t>GÄVLEBORGS LÄN</t>
        </is>
      </c>
      <c r="G777" t="inlineStr">
        <is>
          <t>NORDANSTIG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45541</v>
      </c>
      <c r="E778" s="1" t="n">
        <v>46262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46262</v>
      </c>
      <c r="F779" t="inlineStr">
        <is>
          <t>GÄVLEBORGS LÄN</t>
        </is>
      </c>
      <c r="G779" t="inlineStr">
        <is>
          <t>NORDANSTIG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46262</v>
      </c>
      <c r="F780" t="inlineStr">
        <is>
          <t>GÄVLEBORGS LÄN</t>
        </is>
      </c>
      <c r="G780" t="inlineStr">
        <is>
          <t>NORDANSTIG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2862-2026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46038</v>
      </c>
      <c r="E781" s="1" t="n">
        <v>46262</v>
      </c>
      <c r="F781" t="inlineStr">
        <is>
          <t>GÄVLEBORGS LÄN</t>
        </is>
      </c>
      <c r="G781" t="inlineStr">
        <is>
          <t>NORDANSTIG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6349-2026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46055</v>
      </c>
      <c r="E782" s="1" t="n">
        <v>46262</v>
      </c>
      <c r="F782" t="inlineStr">
        <is>
          <t>GÄVLEBORGS LÄN</t>
        </is>
      </c>
      <c r="G782" t="inlineStr">
        <is>
          <t>NORDANSTIG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924-2026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46030</v>
      </c>
      <c r="E783" s="1" t="n">
        <v>46262</v>
      </c>
      <c r="F783" t="inlineStr">
        <is>
          <t>GÄVLEBORGS LÄN</t>
        </is>
      </c>
      <c r="G783" t="inlineStr">
        <is>
          <t>NORDANSTIG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12858-2025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45733</v>
      </c>
      <c r="E784" s="1" t="n">
        <v>46262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17505-2025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45757</v>
      </c>
      <c r="E785" s="1" t="n">
        <v>46262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46262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58912-2024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45636</v>
      </c>
      <c r="E787" s="1" t="n">
        <v>46262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21648-2026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46149</v>
      </c>
      <c r="E788" s="1" t="n">
        <v>46262</v>
      </c>
      <c r="F788" t="inlineStr">
        <is>
          <t>GÄVLEBORGS LÄN</t>
        </is>
      </c>
      <c r="G788" t="inlineStr">
        <is>
          <t>NORDANSTIG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21661-2026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46149</v>
      </c>
      <c r="E789" s="1" t="n">
        <v>46262</v>
      </c>
      <c r="F789" t="inlineStr">
        <is>
          <t>GÄVLEBORGS LÄN</t>
        </is>
      </c>
      <c r="G789" t="inlineStr">
        <is>
          <t>NORDANSTIG</t>
        </is>
      </c>
      <c r="I789" t="n">
        <v>10.7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10680-2026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46078</v>
      </c>
      <c r="E790" s="1" t="n">
        <v>46262</v>
      </c>
      <c r="F790" t="inlineStr">
        <is>
          <t>GÄVLEBORGS LÄN</t>
        </is>
      </c>
      <c r="G790" t="inlineStr">
        <is>
          <t>NORDANSTIG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17052-2023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45034</v>
      </c>
      <c r="E791" s="1" t="n">
        <v>46262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18988-2022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44690</v>
      </c>
      <c r="E792" s="1" t="n">
        <v>46262</v>
      </c>
      <c r="F792" t="inlineStr">
        <is>
          <t>GÄVLEBORGS LÄN</t>
        </is>
      </c>
      <c r="G792" t="inlineStr">
        <is>
          <t>NORDANSTIG</t>
        </is>
      </c>
      <c r="I792" t="n">
        <v>9.300000000000001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18691-2026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46128</v>
      </c>
      <c r="E793" s="1" t="n">
        <v>46262</v>
      </c>
      <c r="F793" t="inlineStr">
        <is>
          <t>GÄVLEBORGS LÄN</t>
        </is>
      </c>
      <c r="G793" t="inlineStr">
        <is>
          <t>NORDANSTIG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51560-2023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45222</v>
      </c>
      <c r="E794" s="1" t="n">
        <v>46262</v>
      </c>
      <c r="F794" t="inlineStr">
        <is>
          <t>GÄVLEBORGS LÄN</t>
        </is>
      </c>
      <c r="G794" t="inlineStr">
        <is>
          <t>NORDANSTIG</t>
        </is>
      </c>
      <c r="I794" t="n">
        <v>26.9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45550-2024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45579</v>
      </c>
      <c r="E795" s="1" t="n">
        <v>46262</v>
      </c>
      <c r="F795" t="inlineStr">
        <is>
          <t>GÄVLEBORGS LÄN</t>
        </is>
      </c>
      <c r="G795" t="inlineStr">
        <is>
          <t>NORDANSTIG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34557-2023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45140</v>
      </c>
      <c r="E796" s="1" t="n">
        <v>46262</v>
      </c>
      <c r="F796" t="inlineStr">
        <is>
          <t>GÄVLEBORGS LÄN</t>
        </is>
      </c>
      <c r="G796" t="inlineStr">
        <is>
          <t>NORDANSTIG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22500-2026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46155</v>
      </c>
      <c r="E797" s="1" t="n">
        <v>46262</v>
      </c>
      <c r="F797" t="inlineStr">
        <is>
          <t>GÄVLEBORGS LÄN</t>
        </is>
      </c>
      <c r="G797" t="inlineStr">
        <is>
          <t>NORDANSTIG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17283-2026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46262</v>
      </c>
      <c r="F798" t="inlineStr">
        <is>
          <t>GÄVLEBORGS LÄN</t>
        </is>
      </c>
      <c r="G798" t="inlineStr">
        <is>
          <t>NORDANSTIG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46042</v>
      </c>
      <c r="E799" s="1" t="n">
        <v>46262</v>
      </c>
      <c r="F799" t="inlineStr">
        <is>
          <t>GÄVLEBORGS LÄN</t>
        </is>
      </c>
      <c r="G799" t="inlineStr">
        <is>
          <t>NORDANSTIG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22621-2026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46155</v>
      </c>
      <c r="E800" s="1" t="n">
        <v>46262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14532-2026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46262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46026</v>
      </c>
      <c r="E802" s="1" t="n">
        <v>46262</v>
      </c>
      <c r="F802" t="inlineStr">
        <is>
          <t>GÄVLEBORGS LÄN</t>
        </is>
      </c>
      <c r="G802" t="inlineStr">
        <is>
          <t>NORDANSTIG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22607-2026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46155</v>
      </c>
      <c r="E803" s="1" t="n">
        <v>46262</v>
      </c>
      <c r="F803" t="inlineStr">
        <is>
          <t>GÄVLEBORGS LÄN</t>
        </is>
      </c>
      <c r="G803" t="inlineStr">
        <is>
          <t>NORDANSTIG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47876-2023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45204</v>
      </c>
      <c r="E804" s="1" t="n">
        <v>46262</v>
      </c>
      <c r="F804" t="inlineStr">
        <is>
          <t>GÄVLEBORGS LÄN</t>
        </is>
      </c>
      <c r="G804" t="inlineStr">
        <is>
          <t>NORDANSTIG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1829-2026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46262</v>
      </c>
      <c r="F805" t="inlineStr">
        <is>
          <t>GÄVLEBORGS LÄN</t>
        </is>
      </c>
      <c r="G805" t="inlineStr">
        <is>
          <t>NORDANSTIG</t>
        </is>
      </c>
      <c r="I805" t="n">
        <v>15.6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57863-2024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45631</v>
      </c>
      <c r="E806" s="1" t="n">
        <v>46262</v>
      </c>
      <c r="F806" t="inlineStr">
        <is>
          <t>GÄVLEBORGS LÄN</t>
        </is>
      </c>
      <c r="G806" t="inlineStr">
        <is>
          <t>NORDANSTIG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5981-2026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46052</v>
      </c>
      <c r="E807" s="1" t="n">
        <v>46262</v>
      </c>
      <c r="F807" t="inlineStr">
        <is>
          <t>GÄVLEBORGS LÄN</t>
        </is>
      </c>
      <c r="G807" t="inlineStr">
        <is>
          <t>NORDANSTIG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675-2023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44930</v>
      </c>
      <c r="E808" s="1" t="n">
        <v>46262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44938</v>
      </c>
      <c r="E809" s="1" t="n">
        <v>46262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22733-2026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46157</v>
      </c>
      <c r="E810" s="1" t="n">
        <v>46262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5479-2023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44960</v>
      </c>
      <c r="E811" s="1" t="n">
        <v>46262</v>
      </c>
      <c r="F811" t="inlineStr">
        <is>
          <t>GÄVLEBORGS LÄN</t>
        </is>
      </c>
      <c r="G811" t="inlineStr">
        <is>
          <t>NORDANSTIG</t>
        </is>
      </c>
      <c r="I811" t="n">
        <v>17.6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23039-2026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46161</v>
      </c>
      <c r="E812" s="1" t="n">
        <v>46262</v>
      </c>
      <c r="F812" t="inlineStr">
        <is>
          <t>GÄVLEBORGS LÄN</t>
        </is>
      </c>
      <c r="G812" t="inlineStr">
        <is>
          <t>NORDANSTIG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10137-2024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45364</v>
      </c>
      <c r="E813" s="1" t="n">
        <v>46262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37217-2024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45539</v>
      </c>
      <c r="E814" s="1" t="n">
        <v>46262</v>
      </c>
      <c r="F814" t="inlineStr">
        <is>
          <t>GÄVLEBORGS LÄN</t>
        </is>
      </c>
      <c r="G814" t="inlineStr">
        <is>
          <t>NORDANSTIG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9131-2024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45358</v>
      </c>
      <c r="E815" s="1" t="n">
        <v>46262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23002-2026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46160</v>
      </c>
      <c r="E816" s="1" t="n">
        <v>46262</v>
      </c>
      <c r="F816" t="inlineStr">
        <is>
          <t>GÄVLEBORGS LÄN</t>
        </is>
      </c>
      <c r="G816" t="inlineStr">
        <is>
          <t>NORDANSTIG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44952</v>
      </c>
      <c r="E817" s="1" t="n">
        <v>46262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3768-2026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46262</v>
      </c>
      <c r="F818" t="inlineStr">
        <is>
          <t>GÄVLEBORGS LÄN</t>
        </is>
      </c>
      <c r="G818" t="inlineStr">
        <is>
          <t>NORDANSTIG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23506-2026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46163</v>
      </c>
      <c r="E819" s="1" t="n">
        <v>46262</v>
      </c>
      <c r="F819" t="inlineStr">
        <is>
          <t>GÄVLEBORGS LÄN</t>
        </is>
      </c>
      <c r="G819" t="inlineStr">
        <is>
          <t>NORDANSTIG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46376-2024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45582</v>
      </c>
      <c r="E820" s="1" t="n">
        <v>46262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5746-2026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46051</v>
      </c>
      <c r="E821" s="1" t="n">
        <v>46262</v>
      </c>
      <c r="F821" t="inlineStr">
        <is>
          <t>GÄVLEBORGS LÄN</t>
        </is>
      </c>
      <c r="G821" t="inlineStr">
        <is>
          <t>NORDANSTIG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19906-2026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46136</v>
      </c>
      <c r="E822" s="1" t="n">
        <v>46262</v>
      </c>
      <c r="F822" t="inlineStr">
        <is>
          <t>GÄVLEBORGS LÄN</t>
        </is>
      </c>
      <c r="G822" t="inlineStr">
        <is>
          <t>NORDANSTIG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22547-2022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44713</v>
      </c>
      <c r="E823" s="1" t="n">
        <v>46262</v>
      </c>
      <c r="F823" t="inlineStr">
        <is>
          <t>GÄVLEBORGS LÄN</t>
        </is>
      </c>
      <c r="G823" t="inlineStr">
        <is>
          <t>NORDANSTIG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46262</v>
      </c>
      <c r="F824" t="inlineStr">
        <is>
          <t>GÄVLEBORGS LÄN</t>
        </is>
      </c>
      <c r="G824" t="inlineStr">
        <is>
          <t>NORDANSTIG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30816-2022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44765</v>
      </c>
      <c r="E825" s="1" t="n">
        <v>46262</v>
      </c>
      <c r="F825" t="inlineStr">
        <is>
          <t>GÄVLEBORGS LÄN</t>
        </is>
      </c>
      <c r="G825" t="inlineStr">
        <is>
          <t>NORDANSTIG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45545</v>
      </c>
      <c r="E826" s="1" t="n">
        <v>46262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46164</v>
      </c>
      <c r="E827" s="1" t="n">
        <v>46262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23895-2026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46167</v>
      </c>
      <c r="E828" s="1" t="n">
        <v>46262</v>
      </c>
      <c r="F828" t="inlineStr">
        <is>
          <t>GÄVLEBORGS LÄN</t>
        </is>
      </c>
      <c r="G828" t="inlineStr">
        <is>
          <t>NORDANSTIG</t>
        </is>
      </c>
      <c r="I828" t="n">
        <v>18.1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23654-2026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46164</v>
      </c>
      <c r="E829" s="1" t="n">
        <v>46262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46167</v>
      </c>
      <c r="E830" s="1" t="n">
        <v>46262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23900-2026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46262</v>
      </c>
      <c r="F831" t="inlineStr">
        <is>
          <t>GÄVLEBORGS LÄN</t>
        </is>
      </c>
      <c r="G831" t="inlineStr">
        <is>
          <t>NORDANSTIG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24265-2026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46169</v>
      </c>
      <c r="E832" s="1" t="n">
        <v>46262</v>
      </c>
      <c r="F832" t="inlineStr">
        <is>
          <t>GÄVLEBORGS LÄN</t>
        </is>
      </c>
      <c r="G832" t="inlineStr">
        <is>
          <t>NORDANSTIG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45637</v>
      </c>
      <c r="E833" s="1" t="n">
        <v>46262</v>
      </c>
      <c r="F833" t="inlineStr">
        <is>
          <t>GÄVLEBORGS LÄN</t>
        </is>
      </c>
      <c r="G833" t="inlineStr">
        <is>
          <t>NORDANSTIG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21473-2023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45063</v>
      </c>
      <c r="E834" s="1" t="n">
        <v>46262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17843-2023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45037</v>
      </c>
      <c r="E835" s="1" t="n">
        <v>46262</v>
      </c>
      <c r="F835" t="inlineStr">
        <is>
          <t>GÄVLEBORGS LÄN</t>
        </is>
      </c>
      <c r="G835" t="inlineStr">
        <is>
          <t>NORDANSTIG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36025-2023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46262</v>
      </c>
      <c r="F836" t="inlineStr">
        <is>
          <t>GÄVLEBORGS LÄN</t>
        </is>
      </c>
      <c r="G836" t="inlineStr">
        <is>
          <t>NORDANSTIG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41616-2023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45175</v>
      </c>
      <c r="E837" s="1" t="n">
        <v>46262</v>
      </c>
      <c r="F837" t="inlineStr">
        <is>
          <t>GÄVLEBORGS LÄN</t>
        </is>
      </c>
      <c r="G837" t="inlineStr">
        <is>
          <t>NORDANSTIG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24178-2026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46168</v>
      </c>
      <c r="E838" s="1" t="n">
        <v>46262</v>
      </c>
      <c r="F838" t="inlineStr">
        <is>
          <t>GÄVLEBORGS LÄN</t>
        </is>
      </c>
      <c r="G838" t="inlineStr">
        <is>
          <t>NORDANSTIG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57976-2022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44900</v>
      </c>
      <c r="E839" s="1" t="n">
        <v>46262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57983-2022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44900</v>
      </c>
      <c r="E840" s="1" t="n">
        <v>46262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24518-2026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46170</v>
      </c>
      <c r="E841" s="1" t="n">
        <v>46262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21187-2022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44704</v>
      </c>
      <c r="E842" s="1" t="n">
        <v>46262</v>
      </c>
      <c r="F842" t="inlineStr">
        <is>
          <t>GÄVLEBORGS LÄN</t>
        </is>
      </c>
      <c r="G842" t="inlineStr">
        <is>
          <t>NORDANSTIG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24500-2026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46170</v>
      </c>
      <c r="E843" s="1" t="n">
        <v>46262</v>
      </c>
      <c r="F843" t="inlineStr">
        <is>
          <t>GÄVLEBORGS LÄN</t>
        </is>
      </c>
      <c r="G843" t="inlineStr">
        <is>
          <t>NORDANSTIG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51806-2024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45607</v>
      </c>
      <c r="E844" s="1" t="n">
        <v>46262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51821-2024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45607</v>
      </c>
      <c r="E845" s="1" t="n">
        <v>46262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54156-2024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45616</v>
      </c>
      <c r="E846" s="1" t="n">
        <v>46262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48212-2024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45590</v>
      </c>
      <c r="E847" s="1" t="n">
        <v>46262</v>
      </c>
      <c r="F847" t="inlineStr">
        <is>
          <t>GÄVLEBORGS LÄN</t>
        </is>
      </c>
      <c r="G847" t="inlineStr">
        <is>
          <t>NORDANSTIG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46042</v>
      </c>
      <c r="E848" s="1" t="n">
        <v>46262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1849-2026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46035</v>
      </c>
      <c r="E849" s="1" t="n">
        <v>46262</v>
      </c>
      <c r="F849" t="inlineStr">
        <is>
          <t>GÄVLEBORGS LÄN</t>
        </is>
      </c>
      <c r="G849" t="inlineStr">
        <is>
          <t>NORDANSTIG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30630-2022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44763</v>
      </c>
      <c r="E850" s="1" t="n">
        <v>46262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36960-2023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45154</v>
      </c>
      <c r="E851" s="1" t="n">
        <v>46262</v>
      </c>
      <c r="F851" t="inlineStr">
        <is>
          <t>GÄVLEBORGS LÄN</t>
        </is>
      </c>
      <c r="G851" t="inlineStr">
        <is>
          <t>NORDANSTIG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31270-2024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45504</v>
      </c>
      <c r="E852" s="1" t="n">
        <v>46262</v>
      </c>
      <c r="F852" t="inlineStr">
        <is>
          <t>GÄVLEBORGS LÄN</t>
        </is>
      </c>
      <c r="G852" t="inlineStr">
        <is>
          <t>NORDANSTIG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51438-2023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45219</v>
      </c>
      <c r="E853" s="1" t="n">
        <v>46262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SCA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46262</v>
      </c>
      <c r="F854" t="inlineStr">
        <is>
          <t>GÄVLEBORGS LÄN</t>
        </is>
      </c>
      <c r="G854" t="inlineStr">
        <is>
          <t>NORDANSTIG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1034-2026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46030</v>
      </c>
      <c r="E855" s="1" t="n">
        <v>46262</v>
      </c>
      <c r="F855" t="inlineStr">
        <is>
          <t>GÄVLEBORGS LÄN</t>
        </is>
      </c>
      <c r="G855" t="inlineStr">
        <is>
          <t>NORDANSTIG</t>
        </is>
      </c>
      <c r="I855" t="n">
        <v>11.5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24646-2026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46171</v>
      </c>
      <c r="E856" s="1" t="n">
        <v>46262</v>
      </c>
      <c r="F856" t="inlineStr">
        <is>
          <t>GÄVLEBORGS LÄN</t>
        </is>
      </c>
      <c r="G856" t="inlineStr">
        <is>
          <t>NORDANSTIG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5963-2025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45695</v>
      </c>
      <c r="E857" s="1" t="n">
        <v>46262</v>
      </c>
      <c r="F857" t="inlineStr">
        <is>
          <t>GÄVLEBORGS LÄN</t>
        </is>
      </c>
      <c r="G857" t="inlineStr">
        <is>
          <t>NORDANSTIG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24612-2026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46171</v>
      </c>
      <c r="E858" s="1" t="n">
        <v>46262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17482-2022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44679</v>
      </c>
      <c r="E859" s="1" t="n">
        <v>46262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46262</v>
      </c>
      <c r="F860" t="inlineStr">
        <is>
          <t>GÄVLEBORGS LÄN</t>
        </is>
      </c>
      <c r="G860" t="inlineStr">
        <is>
          <t>NORDANSTIG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3819-2026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46043</v>
      </c>
      <c r="E861" s="1" t="n">
        <v>46262</v>
      </c>
      <c r="F861" t="inlineStr">
        <is>
          <t>GÄVLEBORGS LÄN</t>
        </is>
      </c>
      <c r="G861" t="inlineStr">
        <is>
          <t>NORDANSTIG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54519-2024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45617</v>
      </c>
      <c r="E862" s="1" t="n">
        <v>46262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11087-2022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44628</v>
      </c>
      <c r="E863" s="1" t="n">
        <v>46262</v>
      </c>
      <c r="F863" t="inlineStr">
        <is>
          <t>GÄVLEBORGS LÄN</t>
        </is>
      </c>
      <c r="G863" t="inlineStr">
        <is>
          <t>NORDANSTIG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25406-2026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46176</v>
      </c>
      <c r="E864" s="1" t="n">
        <v>46262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25166-2026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46175</v>
      </c>
      <c r="E865" s="1" t="n">
        <v>46262</v>
      </c>
      <c r="F865" t="inlineStr">
        <is>
          <t>GÄVLEBORGS LÄN</t>
        </is>
      </c>
      <c r="G865" t="inlineStr">
        <is>
          <t>NORDANSTIG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52006-2024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45607</v>
      </c>
      <c r="E866" s="1" t="n">
        <v>46262</v>
      </c>
      <c r="F866" t="inlineStr">
        <is>
          <t>GÄVLEBORGS LÄN</t>
        </is>
      </c>
      <c r="G866" t="inlineStr">
        <is>
          <t>NORDANSTIG</t>
        </is>
      </c>
      <c r="I866" t="n">
        <v>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25089-2026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46175</v>
      </c>
      <c r="E867" s="1" t="n">
        <v>46262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46136</v>
      </c>
      <c r="E868" s="1" t="n">
        <v>46262</v>
      </c>
      <c r="F868" t="inlineStr">
        <is>
          <t>GÄVLEBORGS LÄN</t>
        </is>
      </c>
      <c r="G868" t="inlineStr">
        <is>
          <t>NORDANSTIG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54401-2024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45617</v>
      </c>
      <c r="E869" s="1" t="n">
        <v>46262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10042-2025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45719</v>
      </c>
      <c r="E870" s="1" t="n">
        <v>46262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6.6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31385-2026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46220</v>
      </c>
      <c r="E871" s="1" t="n">
        <v>46262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12266-2025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45729</v>
      </c>
      <c r="E872" s="1" t="n">
        <v>46262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46051</v>
      </c>
      <c r="E873" s="1" t="n">
        <v>46262</v>
      </c>
      <c r="F873" t="inlineStr">
        <is>
          <t>GÄVLEBORGS LÄN</t>
        </is>
      </c>
      <c r="G873" t="inlineStr">
        <is>
          <t>NORDANSTIG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46043</v>
      </c>
      <c r="E874" s="1" t="n">
        <v>46262</v>
      </c>
      <c r="F874" t="inlineStr">
        <is>
          <t>GÄVLEBORGS LÄN</t>
        </is>
      </c>
      <c r="G874" t="inlineStr">
        <is>
          <t>NORDANSTIG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46262</v>
      </c>
      <c r="F875" t="inlineStr">
        <is>
          <t>GÄVLEBORGS LÄN</t>
        </is>
      </c>
      <c r="G875" t="inlineStr">
        <is>
          <t>NORDANSTIG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10910-2026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46079</v>
      </c>
      <c r="E876" s="1" t="n">
        <v>46262</v>
      </c>
      <c r="F876" t="inlineStr">
        <is>
          <t>GÄVLEBORGS LÄN</t>
        </is>
      </c>
      <c r="G876" t="inlineStr">
        <is>
          <t>NORDANSTIG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31538-2026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46223</v>
      </c>
      <c r="E877" s="1" t="n">
        <v>46262</v>
      </c>
      <c r="F877" t="inlineStr">
        <is>
          <t>GÄVLEBORGS LÄN</t>
        </is>
      </c>
      <c r="G877" t="inlineStr">
        <is>
          <t>NORDANSTIG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26728-2022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44739</v>
      </c>
      <c r="E878" s="1" t="n">
        <v>46262</v>
      </c>
      <c r="F878" t="inlineStr">
        <is>
          <t>GÄVLEBORGS LÄN</t>
        </is>
      </c>
      <c r="G878" t="inlineStr">
        <is>
          <t>NORDANSTIG</t>
        </is>
      </c>
      <c r="I878" t="n">
        <v>6.5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44500-2024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45574</v>
      </c>
      <c r="E879" s="1" t="n">
        <v>46262</v>
      </c>
      <c r="F879" t="inlineStr">
        <is>
          <t>GÄVLEBORGS LÄN</t>
        </is>
      </c>
      <c r="G879" t="inlineStr">
        <is>
          <t>NORDANSTIG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41074-2023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45173</v>
      </c>
      <c r="E880" s="1" t="n">
        <v>46262</v>
      </c>
      <c r="F880" t="inlineStr">
        <is>
          <t>GÄVLEBORGS LÄN</t>
        </is>
      </c>
      <c r="G880" t="inlineStr">
        <is>
          <t>NORDANSTIG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46177</v>
      </c>
      <c r="E881" s="1" t="n">
        <v>46262</v>
      </c>
      <c r="F881" t="inlineStr">
        <is>
          <t>GÄVLEBORGS LÄN</t>
        </is>
      </c>
      <c r="G881" t="inlineStr">
        <is>
          <t>NORDANSTIG</t>
        </is>
      </c>
      <c r="H881" t="inlineStr">
        <is>
          <t>SCA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31500-2026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46223</v>
      </c>
      <c r="E882" s="1" t="n">
        <v>46262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25704-2026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46178</v>
      </c>
      <c r="E883" s="1" t="n">
        <v>46262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5.1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60675-2024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45644</v>
      </c>
      <c r="E884" s="1" t="n">
        <v>46262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25931-2026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46179</v>
      </c>
      <c r="E885" s="1" t="n">
        <v>46262</v>
      </c>
      <c r="F885" t="inlineStr">
        <is>
          <t>GÄVLEBORGS LÄN</t>
        </is>
      </c>
      <c r="G885" t="inlineStr">
        <is>
          <t>NORDANSTIG</t>
        </is>
      </c>
      <c r="I885" t="n">
        <v>8.4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44938</v>
      </c>
      <c r="E886" s="1" t="n">
        <v>46262</v>
      </c>
      <c r="F886" t="inlineStr">
        <is>
          <t>GÄVLEBORGS LÄN</t>
        </is>
      </c>
      <c r="G886" t="inlineStr">
        <is>
          <t>NORDANSTIG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25633-2026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46177</v>
      </c>
      <c r="E887" s="1" t="n">
        <v>46262</v>
      </c>
      <c r="F887" t="inlineStr">
        <is>
          <t>GÄVLEBORGS LÄN</t>
        </is>
      </c>
      <c r="G887" t="inlineStr">
        <is>
          <t>NORDANSTIG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31406-2026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46220</v>
      </c>
      <c r="E888" s="1" t="n">
        <v>46262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31422-2026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46262</v>
      </c>
      <c r="F889" t="inlineStr">
        <is>
          <t>GÄVLEBORGS LÄN</t>
        </is>
      </c>
      <c r="G889" t="inlineStr">
        <is>
          <t>NORDANSTIG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31423-2026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46220</v>
      </c>
      <c r="E890" s="1" t="n">
        <v>46262</v>
      </c>
      <c r="F890" t="inlineStr">
        <is>
          <t>GÄVLEBORGS LÄN</t>
        </is>
      </c>
      <c r="G890" t="inlineStr">
        <is>
          <t>NORDANSTIG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43893-2023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45187</v>
      </c>
      <c r="E891" s="1" t="n">
        <v>46262</v>
      </c>
      <c r="F891" t="inlineStr">
        <is>
          <t>GÄVLEBORGS LÄN</t>
        </is>
      </c>
      <c r="G891" t="inlineStr">
        <is>
          <t>NORDANSTIG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16640-2025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45754</v>
      </c>
      <c r="E892" s="1" t="n">
        <v>46262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11627-2026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46084</v>
      </c>
      <c r="E893" s="1" t="n">
        <v>46262</v>
      </c>
      <c r="F893" t="inlineStr">
        <is>
          <t>GÄVLEBORGS LÄN</t>
        </is>
      </c>
      <c r="G893" t="inlineStr">
        <is>
          <t>NORDANSTIG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21153-2023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45062</v>
      </c>
      <c r="E894" s="1" t="n">
        <v>46262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26044-2026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46181</v>
      </c>
      <c r="E895" s="1" t="n">
        <v>46262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44952</v>
      </c>
      <c r="E896" s="1" t="n">
        <v>46262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4024-2023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44952</v>
      </c>
      <c r="E897" s="1" t="n">
        <v>46262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46262</v>
      </c>
      <c r="F898" t="inlineStr">
        <is>
          <t>GÄVLEBORGS LÄN</t>
        </is>
      </c>
      <c r="G898" t="inlineStr">
        <is>
          <t>NORDANSTIG</t>
        </is>
      </c>
      <c r="H898" t="inlineStr">
        <is>
          <t>SCA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32602-2024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45513</v>
      </c>
      <c r="E899" s="1" t="n">
        <v>46262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26126-2026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46181</v>
      </c>
      <c r="E900" s="1" t="n">
        <v>46262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73389-2021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44551</v>
      </c>
      <c r="E901" s="1" t="n">
        <v>46262</v>
      </c>
      <c r="F901" t="inlineStr">
        <is>
          <t>GÄVLEBORGS LÄN</t>
        </is>
      </c>
      <c r="G901" t="inlineStr">
        <is>
          <t>NORDANSTIG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31698-2026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46226</v>
      </c>
      <c r="E902" s="1" t="n">
        <v>46262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34913-2023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45142</v>
      </c>
      <c r="E903" s="1" t="n">
        <v>46262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34918-2023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45142</v>
      </c>
      <c r="E904" s="1" t="n">
        <v>46262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26486-2026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46262</v>
      </c>
      <c r="F905" t="inlineStr">
        <is>
          <t>GÄVLEBORGS LÄN</t>
        </is>
      </c>
      <c r="G905" t="inlineStr">
        <is>
          <t>NORDANSTIG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31732-2026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46227</v>
      </c>
      <c r="E906" s="1" t="n">
        <v>46262</v>
      </c>
      <c r="F906" t="inlineStr">
        <is>
          <t>GÄVLEBORGS LÄN</t>
        </is>
      </c>
      <c r="G906" t="inlineStr">
        <is>
          <t>NORDANSTIG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26684-2026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46184</v>
      </c>
      <c r="E907" s="1" t="n">
        <v>46262</v>
      </c>
      <c r="F907" t="inlineStr">
        <is>
          <t>GÄVLEBORGS LÄN</t>
        </is>
      </c>
      <c r="G907" t="inlineStr">
        <is>
          <t>NORDANSTIG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25273-2024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45462</v>
      </c>
      <c r="E908" s="1" t="n">
        <v>46262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31708-2026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46226</v>
      </c>
      <c r="E909" s="1" t="n">
        <v>46262</v>
      </c>
      <c r="F909" t="inlineStr">
        <is>
          <t>GÄVLEBORGS LÄN</t>
        </is>
      </c>
      <c r="G909" t="inlineStr">
        <is>
          <t>NORDANSTIG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19569-2025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45770</v>
      </c>
      <c r="E910" s="1" t="n">
        <v>46262</v>
      </c>
      <c r="F910" t="inlineStr">
        <is>
          <t>GÄVLEBORGS LÄN</t>
        </is>
      </c>
      <c r="G910" t="inlineStr">
        <is>
          <t>NORDANSTIG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26634-2026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46262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51250-2022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44868</v>
      </c>
      <c r="E912" s="1" t="n">
        <v>46262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27183-2026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46188</v>
      </c>
      <c r="E913" s="1" t="n">
        <v>46262</v>
      </c>
      <c r="F913" t="inlineStr">
        <is>
          <t>GÄVLEBORGS LÄN</t>
        </is>
      </c>
      <c r="G913" t="inlineStr">
        <is>
          <t>NORDANSTIG</t>
        </is>
      </c>
      <c r="I913" t="n">
        <v>4.5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27129-2026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46188</v>
      </c>
      <c r="E914" s="1" t="n">
        <v>46262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25.3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26842-2026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46185</v>
      </c>
      <c r="E915" s="1" t="n">
        <v>46262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50.7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46185</v>
      </c>
      <c r="E916" s="1" t="n">
        <v>46262</v>
      </c>
      <c r="F916" t="inlineStr">
        <is>
          <t>GÄVLEBORGS LÄN</t>
        </is>
      </c>
      <c r="G916" t="inlineStr">
        <is>
          <t>NORDANSTIG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27149-2026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46188</v>
      </c>
      <c r="E917" s="1" t="n">
        <v>46262</v>
      </c>
      <c r="F917" t="inlineStr">
        <is>
          <t>GÄVLEBORGS LÄN</t>
        </is>
      </c>
      <c r="G917" t="inlineStr">
        <is>
          <t>NORDANSTIG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58870-2023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45252</v>
      </c>
      <c r="E918" s="1" t="n">
        <v>46262</v>
      </c>
      <c r="F918" t="inlineStr">
        <is>
          <t>GÄVLEBORGS LÄN</t>
        </is>
      </c>
      <c r="G918" t="inlineStr">
        <is>
          <t>NORDANSTIG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51091-2024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45603</v>
      </c>
      <c r="E919" s="1" t="n">
        <v>46262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SCA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27114-2026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46188</v>
      </c>
      <c r="E920" s="1" t="n">
        <v>46262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36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27150-2026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46188</v>
      </c>
      <c r="E921" s="1" t="n">
        <v>46262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30130-2024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45489</v>
      </c>
      <c r="E922" s="1" t="n">
        <v>46262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25402-2024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45463</v>
      </c>
      <c r="E923" s="1" t="n">
        <v>46262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54385-2024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45617</v>
      </c>
      <c r="E924" s="1" t="n">
        <v>46262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26838-2026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46185</v>
      </c>
      <c r="E925" s="1" t="n">
        <v>46262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SCA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52206-2022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44869</v>
      </c>
      <c r="E926" s="1" t="n">
        <v>46262</v>
      </c>
      <c r="F926" t="inlineStr">
        <is>
          <t>GÄVLEBORGS LÄN</t>
        </is>
      </c>
      <c r="G926" t="inlineStr">
        <is>
          <t>NORDANSTIG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4556-2025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45687</v>
      </c>
      <c r="E927" s="1" t="n">
        <v>46262</v>
      </c>
      <c r="F927" t="inlineStr">
        <is>
          <t>GÄVLEBORGS LÄN</t>
        </is>
      </c>
      <c r="G927" t="inlineStr">
        <is>
          <t>NORDANSTIG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27236-2026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46188</v>
      </c>
      <c r="E928" s="1" t="n">
        <v>46262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12398-2023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44999</v>
      </c>
      <c r="E929" s="1" t="n">
        <v>46262</v>
      </c>
      <c r="F929" t="inlineStr">
        <is>
          <t>GÄVLEBORGS LÄN</t>
        </is>
      </c>
      <c r="G929" t="inlineStr">
        <is>
          <t>NORDANSTIG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6324-2023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44965</v>
      </c>
      <c r="E930" s="1" t="n">
        <v>46262</v>
      </c>
      <c r="F930" t="inlineStr">
        <is>
          <t>GÄVLEBORGS LÄN</t>
        </is>
      </c>
      <c r="G930" t="inlineStr">
        <is>
          <t>NORDANSTIG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2105-2023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44939</v>
      </c>
      <c r="E931" s="1" t="n">
        <v>46262</v>
      </c>
      <c r="F931" t="inlineStr">
        <is>
          <t>GÄVLEBORGS LÄN</t>
        </is>
      </c>
      <c r="G931" t="inlineStr">
        <is>
          <t>NORDANSTIG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59851-2024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45639</v>
      </c>
      <c r="E932" s="1" t="n">
        <v>46262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15464-2023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45020</v>
      </c>
      <c r="E933" s="1" t="n">
        <v>46262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41773-2025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45902</v>
      </c>
      <c r="E934" s="1" t="n">
        <v>46262</v>
      </c>
      <c r="F934" t="inlineStr">
        <is>
          <t>GÄVLEBORGS LÄN</t>
        </is>
      </c>
      <c r="G934" t="inlineStr">
        <is>
          <t>NORDANSTIG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62619-2023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45271</v>
      </c>
      <c r="E935" s="1" t="n">
        <v>46262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60285-2024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45642</v>
      </c>
      <c r="E936" s="1" t="n">
        <v>46262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58162-2024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45632</v>
      </c>
      <c r="E937" s="1" t="n">
        <v>46262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Kyrkan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40261-2023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45169</v>
      </c>
      <c r="E938" s="1" t="n">
        <v>46262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32092-2026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46234</v>
      </c>
      <c r="E939" s="1" t="n">
        <v>46262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72820-2021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44547</v>
      </c>
      <c r="E940" s="1" t="n">
        <v>46262</v>
      </c>
      <c r="F940" t="inlineStr">
        <is>
          <t>GÄVLEBORGS LÄN</t>
        </is>
      </c>
      <c r="G940" t="inlineStr">
        <is>
          <t>NORDANSTIG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45223</v>
      </c>
      <c r="E941" s="1" t="n">
        <v>46262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4414-2022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44589</v>
      </c>
      <c r="E942" s="1" t="n">
        <v>46262</v>
      </c>
      <c r="F942" t="inlineStr">
        <is>
          <t>GÄVLEBORGS LÄN</t>
        </is>
      </c>
      <c r="G942" t="inlineStr">
        <is>
          <t>NORDANSTIG</t>
        </is>
      </c>
      <c r="I942" t="n">
        <v>12.6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27975-2026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46195</v>
      </c>
      <c r="E943" s="1" t="n">
        <v>46262</v>
      </c>
      <c r="F943" t="inlineStr">
        <is>
          <t>GÄVLEBORGS LÄN</t>
        </is>
      </c>
      <c r="G943" t="inlineStr">
        <is>
          <t>NORDANSTIG</t>
        </is>
      </c>
      <c r="I943" t="n">
        <v>5.6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28391-2026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46262</v>
      </c>
      <c r="F944" t="inlineStr">
        <is>
          <t>GÄVLEBORGS LÄN</t>
        </is>
      </c>
      <c r="G944" t="inlineStr">
        <is>
          <t>NORDANSTIG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32340-2026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46238</v>
      </c>
      <c r="E945" s="1" t="n">
        <v>46262</v>
      </c>
      <c r="F945" t="inlineStr">
        <is>
          <t>GÄVLEBORGS LÄN</t>
        </is>
      </c>
      <c r="G945" t="inlineStr">
        <is>
          <t>NORDANSTIG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48636-2024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45593</v>
      </c>
      <c r="E946" s="1" t="n">
        <v>46262</v>
      </c>
      <c r="F946" t="inlineStr">
        <is>
          <t>GÄVLEBORGS LÄN</t>
        </is>
      </c>
      <c r="G946" t="inlineStr">
        <is>
          <t>NORDANSTIG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9884-2023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44985</v>
      </c>
      <c r="E947" s="1" t="n">
        <v>46262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55694-2024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45622</v>
      </c>
      <c r="E948" s="1" t="n">
        <v>46262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27976-2026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46262</v>
      </c>
      <c r="F949" t="inlineStr">
        <is>
          <t>GÄVLEBORGS LÄN</t>
        </is>
      </c>
      <c r="G949" t="inlineStr">
        <is>
          <t>NORDANSTIG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27981-2026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46195</v>
      </c>
      <c r="E950" s="1" t="n">
        <v>46262</v>
      </c>
      <c r="F950" t="inlineStr">
        <is>
          <t>GÄVLEBORGS LÄN</t>
        </is>
      </c>
      <c r="G950" t="inlineStr">
        <is>
          <t>NORDANSTIG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28226-2026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46196</v>
      </c>
      <c r="E951" s="1" t="n">
        <v>46262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11434-2024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45372</v>
      </c>
      <c r="E952" s="1" t="n">
        <v>46262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15226-2023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45019</v>
      </c>
      <c r="E953" s="1" t="n">
        <v>46262</v>
      </c>
      <c r="F953" t="inlineStr">
        <is>
          <t>GÄVLEBORGS LÄN</t>
        </is>
      </c>
      <c r="G953" t="inlineStr">
        <is>
          <t>NORDANSTIG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31894-2026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46231</v>
      </c>
      <c r="E954" s="1" t="n">
        <v>46262</v>
      </c>
      <c r="F954" t="inlineStr">
        <is>
          <t>GÄVLEBORGS LÄN</t>
        </is>
      </c>
      <c r="G954" t="inlineStr">
        <is>
          <t>NORDANSTIG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19566-2025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45770</v>
      </c>
      <c r="E955" s="1" t="n">
        <v>46262</v>
      </c>
      <c r="F955" t="inlineStr">
        <is>
          <t>GÄVLEBORGS LÄN</t>
        </is>
      </c>
      <c r="G955" t="inlineStr">
        <is>
          <t>NORDANSTIG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28370-2026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46196</v>
      </c>
      <c r="E956" s="1" t="n">
        <v>46262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32726-2026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46241</v>
      </c>
      <c r="E957" s="1" t="n">
        <v>46262</v>
      </c>
      <c r="F957" t="inlineStr">
        <is>
          <t>GÄVLEBORGS LÄN</t>
        </is>
      </c>
      <c r="G957" t="inlineStr">
        <is>
          <t>NORDANSTIG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28777-2026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46198</v>
      </c>
      <c r="E958" s="1" t="n">
        <v>46262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23369-2022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44720</v>
      </c>
      <c r="E959" s="1" t="n">
        <v>46262</v>
      </c>
      <c r="F959" t="inlineStr">
        <is>
          <t>GÄVLEBORGS LÄN</t>
        </is>
      </c>
      <c r="G959" t="inlineStr">
        <is>
          <t>NORDANSTIG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12607-2024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45382</v>
      </c>
      <c r="E960" s="1" t="n">
        <v>46262</v>
      </c>
      <c r="F960" t="inlineStr">
        <is>
          <t>GÄVLEBORGS LÄN</t>
        </is>
      </c>
      <c r="G960" t="inlineStr">
        <is>
          <t>NORDANSTIG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45310-2022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44844</v>
      </c>
      <c r="E961" s="1" t="n">
        <v>46262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28724-2026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46198</v>
      </c>
      <c r="E962" s="1" t="n">
        <v>46262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6820-2023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44967</v>
      </c>
      <c r="E963" s="1" t="n">
        <v>46262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28739-2026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46198</v>
      </c>
      <c r="E964" s="1" t="n">
        <v>46262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25821-2026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46178</v>
      </c>
      <c r="E965" s="1" t="n">
        <v>46262</v>
      </c>
      <c r="F965" t="inlineStr">
        <is>
          <t>GÄVLEBORGS LÄN</t>
        </is>
      </c>
      <c r="G965" t="inlineStr">
        <is>
          <t>NORDANSTIG</t>
        </is>
      </c>
      <c r="I965" t="n">
        <v>11.2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28529-2026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46197</v>
      </c>
      <c r="E966" s="1" t="n">
        <v>46262</v>
      </c>
      <c r="F966" t="inlineStr">
        <is>
          <t>GÄVLEBORGS LÄN</t>
        </is>
      </c>
      <c r="G966" t="inlineStr">
        <is>
          <t>NORDANSTIG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2592-2023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44943</v>
      </c>
      <c r="E967" s="1" t="n">
        <v>46262</v>
      </c>
      <c r="F967" t="inlineStr">
        <is>
          <t>GÄVLEBORGS LÄN</t>
        </is>
      </c>
      <c r="G967" t="inlineStr">
        <is>
          <t>NORDANSTIG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28734-2026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46198</v>
      </c>
      <c r="E968" s="1" t="n">
        <v>46262</v>
      </c>
      <c r="F968" t="inlineStr">
        <is>
          <t>GÄVLEBORGS LÄN</t>
        </is>
      </c>
      <c r="G968" t="inlineStr">
        <is>
          <t>NORDANSTIG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43075-2024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45567</v>
      </c>
      <c r="E969" s="1" t="n">
        <v>46262</v>
      </c>
      <c r="F969" t="inlineStr">
        <is>
          <t>GÄVLEBORGS LÄN</t>
        </is>
      </c>
      <c r="G969" t="inlineStr">
        <is>
          <t>NORDANSTIG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58891-2024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45636</v>
      </c>
      <c r="E970" s="1" t="n">
        <v>46262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56351-2024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45624</v>
      </c>
      <c r="E971" s="1" t="n">
        <v>46262</v>
      </c>
      <c r="F971" t="inlineStr">
        <is>
          <t>GÄVLEBORGS LÄN</t>
        </is>
      </c>
      <c r="G971" t="inlineStr">
        <is>
          <t>NORDANSTIG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58112-2024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45632</v>
      </c>
      <c r="E972" s="1" t="n">
        <v>46262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18525-2025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45763</v>
      </c>
      <c r="E973" s="1" t="n">
        <v>46262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29162-2026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46202</v>
      </c>
      <c r="E974" s="1" t="n">
        <v>46262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32938-2026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46244</v>
      </c>
      <c r="E975" s="1" t="n">
        <v>46262</v>
      </c>
      <c r="F975" t="inlineStr">
        <is>
          <t>GÄVLEBORGS LÄN</t>
        </is>
      </c>
      <c r="G975" t="inlineStr">
        <is>
          <t>NORDANSTIG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62816-2023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45271</v>
      </c>
      <c r="E976" s="1" t="n">
        <v>46262</v>
      </c>
      <c r="F976" t="inlineStr">
        <is>
          <t>GÄVLEBORGS LÄN</t>
        </is>
      </c>
      <c r="G976" t="inlineStr">
        <is>
          <t>NORDANSTIG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37295-2022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44808</v>
      </c>
      <c r="E977" s="1" t="n">
        <v>46262</v>
      </c>
      <c r="F977" t="inlineStr">
        <is>
          <t>GÄVLEBORGS LÄN</t>
        </is>
      </c>
      <c r="G977" t="inlineStr">
        <is>
          <t>NORDANSTIG</t>
        </is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32917-2026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46244</v>
      </c>
      <c r="E978" s="1" t="n">
        <v>46262</v>
      </c>
      <c r="F978" t="inlineStr">
        <is>
          <t>GÄVLEBORGS LÄN</t>
        </is>
      </c>
      <c r="G978" t="inlineStr">
        <is>
          <t>NORDANSTIG</t>
        </is>
      </c>
      <c r="I978" t="n">
        <v>7.4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15385-2023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45019</v>
      </c>
      <c r="E979" s="1" t="n">
        <v>46262</v>
      </c>
      <c r="F979" t="inlineStr">
        <is>
          <t>GÄVLEBORGS LÄN</t>
        </is>
      </c>
      <c r="G979" t="inlineStr">
        <is>
          <t>NORDANSTIG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7149-2022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44603</v>
      </c>
      <c r="E980" s="1" t="n">
        <v>46262</v>
      </c>
      <c r="F980" t="inlineStr">
        <is>
          <t>GÄVLEBORGS LÄN</t>
        </is>
      </c>
      <c r="G980" t="inlineStr">
        <is>
          <t>NORDANSTIG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55531-2024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45622</v>
      </c>
      <c r="E981" s="1" t="n">
        <v>46262</v>
      </c>
      <c r="F981" t="inlineStr">
        <is>
          <t>GÄVLEBORGS LÄN</t>
        </is>
      </c>
      <c r="G981" t="inlineStr">
        <is>
          <t>NORDANSTIG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7013-2023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44967</v>
      </c>
      <c r="E982" s="1" t="n">
        <v>46262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7014-2023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44967</v>
      </c>
      <c r="E983" s="1" t="n">
        <v>46262</v>
      </c>
      <c r="F983" t="inlineStr">
        <is>
          <t>GÄVLEBORGS LÄN</t>
        </is>
      </c>
      <c r="G983" t="inlineStr">
        <is>
          <t>NORDANSTIG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37974-2024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46262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54524-2024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45617</v>
      </c>
      <c r="E985" s="1" t="n">
        <v>46262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59422-2022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44907</v>
      </c>
      <c r="E986" s="1" t="n">
        <v>46262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37031-2024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45539</v>
      </c>
      <c r="E987" s="1" t="n">
        <v>46262</v>
      </c>
      <c r="F987" t="inlineStr">
        <is>
          <t>GÄVLEBORGS LÄN</t>
        </is>
      </c>
      <c r="G987" t="inlineStr">
        <is>
          <t>NORDANSTIG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51380-2024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45604</v>
      </c>
      <c r="E988" s="1" t="n">
        <v>46262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51988-2024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46262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29733-2026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46204</v>
      </c>
      <c r="E990" s="1" t="n">
        <v>46262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8.800000000000001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47762-2021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44448</v>
      </c>
      <c r="E991" s="1" t="n">
        <v>46262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38346-2024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45545</v>
      </c>
      <c r="E992" s="1" t="n">
        <v>46262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3.4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18322-2024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45422</v>
      </c>
      <c r="E993" s="1" t="n">
        <v>46262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54685-2024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45618</v>
      </c>
      <c r="E994" s="1" t="n">
        <v>46262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30263-2026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46206</v>
      </c>
      <c r="E995" s="1" t="n">
        <v>46262</v>
      </c>
      <c r="F995" t="inlineStr">
        <is>
          <t>GÄVLEBORGS LÄN</t>
        </is>
      </c>
      <c r="G995" t="inlineStr">
        <is>
          <t>NORDANSTIG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30259-2026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46206</v>
      </c>
      <c r="E996" s="1" t="n">
        <v>46262</v>
      </c>
      <c r="F996" t="inlineStr">
        <is>
          <t>GÄVLEBORGS LÄN</t>
        </is>
      </c>
      <c r="G996" t="inlineStr">
        <is>
          <t>NORDANSTIG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30267-2026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46206</v>
      </c>
      <c r="E997" s="1" t="n">
        <v>46262</v>
      </c>
      <c r="F997" t="inlineStr">
        <is>
          <t>GÄVLEBORGS LÄN</t>
        </is>
      </c>
      <c r="G997" t="inlineStr">
        <is>
          <t>NORDANSTIG</t>
        </is>
      </c>
      <c r="I997" t="n">
        <v>8.1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33884-2026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46251</v>
      </c>
      <c r="E998" s="1" t="n">
        <v>46262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23417-2023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45076</v>
      </c>
      <c r="E999" s="1" t="n">
        <v>46262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21085-2024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45439</v>
      </c>
      <c r="E1000" s="1" t="n">
        <v>46262</v>
      </c>
      <c r="F1000" t="inlineStr">
        <is>
          <t>GÄVLEBORGS LÄN</t>
        </is>
      </c>
      <c r="G1000" t="inlineStr">
        <is>
          <t>NORDANSTIG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20512-2022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44699</v>
      </c>
      <c r="E1001" s="1" t="n">
        <v>46262</v>
      </c>
      <c r="F1001" t="inlineStr">
        <is>
          <t>GÄVLEBORGS LÄN</t>
        </is>
      </c>
      <c r="G1001" t="inlineStr">
        <is>
          <t>NORDANSTIG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8898-2024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45357</v>
      </c>
      <c r="E1002" s="1" t="n">
        <v>46262</v>
      </c>
      <c r="F1002" t="inlineStr">
        <is>
          <t>GÄVLEBORGS LÄN</t>
        </is>
      </c>
      <c r="G1002" t="inlineStr">
        <is>
          <t>NORDANSTIG</t>
        </is>
      </c>
      <c r="I1002" t="n">
        <v>8.199999999999999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41620-2023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45175</v>
      </c>
      <c r="E1003" s="1" t="n">
        <v>46262</v>
      </c>
      <c r="F1003" t="inlineStr">
        <is>
          <t>GÄVLEBORGS LÄN</t>
        </is>
      </c>
      <c r="G1003" t="inlineStr">
        <is>
          <t>NORDANSTIG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12764-2025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45733</v>
      </c>
      <c r="E1004" s="1" t="n">
        <v>46262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45615</v>
      </c>
      <c r="E1005" s="1" t="n">
        <v>46262</v>
      </c>
      <c r="F1005" t="inlineStr">
        <is>
          <t>GÄVLEBORGS LÄN</t>
        </is>
      </c>
      <c r="G1005" t="inlineStr">
        <is>
          <t>NORDANSTIG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6093-2023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44964</v>
      </c>
      <c r="E1006" s="1" t="n">
        <v>46262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34229-2026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46253</v>
      </c>
      <c r="E1007" s="1" t="n">
        <v>46262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59799-2022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44908</v>
      </c>
      <c r="E1008" s="1" t="n">
        <v>46262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30431-2026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46209</v>
      </c>
      <c r="E1009" s="1" t="n">
        <v>46262</v>
      </c>
      <c r="F1009" t="inlineStr">
        <is>
          <t>GÄVLEBORGS LÄN</t>
        </is>
      </c>
      <c r="G1009" t="inlineStr">
        <is>
          <t>NORDANSTIG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18332-2024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45422</v>
      </c>
      <c r="E1010" s="1" t="n">
        <v>46262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30428-2026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46209</v>
      </c>
      <c r="E1011" s="1" t="n">
        <v>46262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31571-2024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45506</v>
      </c>
      <c r="E1012" s="1" t="n">
        <v>46262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5411-2022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44595</v>
      </c>
      <c r="E1013" s="1" t="n">
        <v>46262</v>
      </c>
      <c r="F1013" t="inlineStr">
        <is>
          <t>GÄVLEBORGS LÄN</t>
        </is>
      </c>
      <c r="G1013" t="inlineStr">
        <is>
          <t>NORDANSTIG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30390-2026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46209</v>
      </c>
      <c r="E1014" s="1" t="n">
        <v>46262</v>
      </c>
      <c r="F1014" t="inlineStr">
        <is>
          <t>GÄVLEBORGS LÄN</t>
        </is>
      </c>
      <c r="G1014" t="inlineStr">
        <is>
          <t>NORDANSTIG</t>
        </is>
      </c>
      <c r="I1014" t="n">
        <v>9.199999999999999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30391-2026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46209</v>
      </c>
      <c r="E1015" s="1" t="n">
        <v>46262</v>
      </c>
      <c r="F1015" t="inlineStr">
        <is>
          <t>GÄVLEBORGS LÄN</t>
        </is>
      </c>
      <c r="G1015" t="inlineStr">
        <is>
          <t>NORDANSTIG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55450-2024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45622</v>
      </c>
      <c r="E1016" s="1" t="n">
        <v>46262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34235-2026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46253</v>
      </c>
      <c r="E1017" s="1" t="n">
        <v>46262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55498-2024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45622</v>
      </c>
      <c r="E1018" s="1" t="n">
        <v>46262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34248-2026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46253</v>
      </c>
      <c r="E1019" s="1" t="n">
        <v>46262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34212-2026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46262</v>
      </c>
      <c r="F1020" t="inlineStr">
        <is>
          <t>GÄVLEBORGS LÄN</t>
        </is>
      </c>
      <c r="G1020" t="inlineStr">
        <is>
          <t>NORDANSTIG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41957-2023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45177</v>
      </c>
      <c r="E1021" s="1" t="n">
        <v>46262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10069-2025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45719</v>
      </c>
      <c r="E1022" s="1" t="n">
        <v>46262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60839-2023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45260</v>
      </c>
      <c r="E1023" s="1" t="n">
        <v>46262</v>
      </c>
      <c r="F1023" t="inlineStr">
        <is>
          <t>GÄVLEBORGS LÄN</t>
        </is>
      </c>
      <c r="G1023" t="inlineStr">
        <is>
          <t>NORDANSTIG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4559-2025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45687</v>
      </c>
      <c r="E1024" s="1" t="n">
        <v>46262</v>
      </c>
      <c r="F1024" t="inlineStr">
        <is>
          <t>GÄVLEBORGS LÄN</t>
        </is>
      </c>
      <c r="G1024" t="inlineStr">
        <is>
          <t>NORDANSTIG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14402-2025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45741</v>
      </c>
      <c r="E1025" s="1" t="n">
        <v>46262</v>
      </c>
      <c r="F1025" t="inlineStr">
        <is>
          <t>GÄVLEBORGS LÄN</t>
        </is>
      </c>
      <c r="G1025" t="inlineStr">
        <is>
          <t>NORDANSTIG</t>
        </is>
      </c>
      <c r="I1025" t="n">
        <v>17.1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48832-2022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44859</v>
      </c>
      <c r="E1026" s="1" t="n">
        <v>46262</v>
      </c>
      <c r="F1026" t="inlineStr">
        <is>
          <t>GÄVLEBORGS LÄN</t>
        </is>
      </c>
      <c r="G1026" t="inlineStr">
        <is>
          <t>NORDANSTIG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38332-2024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45545</v>
      </c>
      <c r="E1027" s="1" t="n">
        <v>46262</v>
      </c>
      <c r="F1027" t="inlineStr">
        <is>
          <t>GÄVLEBORGS LÄN</t>
        </is>
      </c>
      <c r="G1027" t="inlineStr">
        <is>
          <t>NORDANSTIG</t>
        </is>
      </c>
      <c r="I1027" t="n">
        <v>11.5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31365-2026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46213</v>
      </c>
      <c r="E1028" s="1" t="n">
        <v>46262</v>
      </c>
      <c r="F1028" t="inlineStr">
        <is>
          <t>GÄVLEBORGS LÄN</t>
        </is>
      </c>
      <c r="G1028" t="inlineStr">
        <is>
          <t>NORDANSTIG</t>
        </is>
      </c>
      <c r="I1028" t="n">
        <v>4.8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62089-2021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44502</v>
      </c>
      <c r="E1029" s="1" t="n">
        <v>46262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31366-2026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46213</v>
      </c>
      <c r="E1030" s="1" t="n">
        <v>46262</v>
      </c>
      <c r="F1030" t="inlineStr">
        <is>
          <t>GÄVLEBORGS LÄN</t>
        </is>
      </c>
      <c r="G1030" t="inlineStr">
        <is>
          <t>NORDANSTIG</t>
        </is>
      </c>
      <c r="I1030" t="n">
        <v>9.6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32827-2023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45124</v>
      </c>
      <c r="E1031" s="1" t="n">
        <v>46262</v>
      </c>
      <c r="F1031" t="inlineStr">
        <is>
          <t>GÄVLEBORGS LÄN</t>
        </is>
      </c>
      <c r="G1031" t="inlineStr">
        <is>
          <t>NORDANSTIG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33535-2022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44789</v>
      </c>
      <c r="E1032" s="1" t="n">
        <v>46262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33559-2022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44789</v>
      </c>
      <c r="E1033" s="1" t="n">
        <v>46262</v>
      </c>
      <c r="F1033" t="inlineStr">
        <is>
          <t>GÄVLEBORGS LÄN</t>
        </is>
      </c>
      <c r="G1033" t="inlineStr">
        <is>
          <t>NORDANSTIG</t>
        </is>
      </c>
      <c r="I1033" t="n">
        <v>3.3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30078-2024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45489</v>
      </c>
      <c r="E1034" s="1" t="n">
        <v>46262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884-2024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45301</v>
      </c>
      <c r="E1035" s="1" t="n">
        <v>46262</v>
      </c>
      <c r="F1035" t="inlineStr">
        <is>
          <t>GÄVLEBORGS LÄN</t>
        </is>
      </c>
      <c r="G1035" t="inlineStr">
        <is>
          <t>NORDANSTIG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59043-2024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45636</v>
      </c>
      <c r="E1036" s="1" t="n">
        <v>46262</v>
      </c>
      <c r="F1036" t="inlineStr">
        <is>
          <t>GÄVLEBORGS LÄN</t>
        </is>
      </c>
      <c r="G1036" t="inlineStr">
        <is>
          <t>NORDANSTIG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34542-2026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46255</v>
      </c>
      <c r="E1037" s="1" t="n">
        <v>46262</v>
      </c>
      <c r="F1037" t="inlineStr">
        <is>
          <t>GÄVLEBORGS LÄN</t>
        </is>
      </c>
      <c r="G1037" t="inlineStr">
        <is>
          <t>NORDANSTIG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34475-2026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46254</v>
      </c>
      <c r="E1038" s="1" t="n">
        <v>46262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SCA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18680-2025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45763</v>
      </c>
      <c r="E1039" s="1" t="n">
        <v>46262</v>
      </c>
      <c r="F1039" t="inlineStr">
        <is>
          <t>GÄVLEBORGS LÄN</t>
        </is>
      </c>
      <c r="G1039" t="inlineStr">
        <is>
          <t>NORDANSTIG</t>
        </is>
      </c>
      <c r="I1039" t="n">
        <v>9.4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8646-2026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46066</v>
      </c>
      <c r="E1040" s="1" t="n">
        <v>46262</v>
      </c>
      <c r="F1040" t="inlineStr">
        <is>
          <t>GÄVLEBORGS LÄN</t>
        </is>
      </c>
      <c r="G1040" t="inlineStr">
        <is>
          <t>NORDANSTIG</t>
        </is>
      </c>
      <c r="I1040" t="n">
        <v>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20876-2025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45777</v>
      </c>
      <c r="E1041" s="1" t="n">
        <v>46262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46259</v>
      </c>
      <c r="E1042" s="1" t="n">
        <v>46262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34999-2026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46259</v>
      </c>
      <c r="E1043" s="1" t="n">
        <v>46262</v>
      </c>
      <c r="F1043" t="inlineStr">
        <is>
          <t>GÄVLEBORGS LÄN</t>
        </is>
      </c>
      <c r="G1043" t="inlineStr">
        <is>
          <t>NORDANSTIG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45763</v>
      </c>
      <c r="E1044" s="1" t="n">
        <v>46262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18716-2025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45763</v>
      </c>
      <c r="E1045" s="1" t="n">
        <v>46262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21725-2025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45783</v>
      </c>
      <c r="E1046" s="1" t="n">
        <v>46262</v>
      </c>
      <c r="F1046" t="inlineStr">
        <is>
          <t>GÄVLEBORGS LÄN</t>
        </is>
      </c>
      <c r="G1046" t="inlineStr">
        <is>
          <t>NORDANSTIG</t>
        </is>
      </c>
      <c r="I1046" t="n">
        <v>6.4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30899-2026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46213</v>
      </c>
      <c r="E1047" s="1" t="n">
        <v>46262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34693-2026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46258</v>
      </c>
      <c r="E1048" s="1" t="n">
        <v>46262</v>
      </c>
      <c r="F1048" t="inlineStr">
        <is>
          <t>GÄVLEBORGS LÄN</t>
        </is>
      </c>
      <c r="G1048" t="inlineStr">
        <is>
          <t>NORDANSTIG</t>
        </is>
      </c>
      <c r="I1048" t="n">
        <v>9.199999999999999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46043</v>
      </c>
      <c r="E1049" s="1" t="n">
        <v>46262</v>
      </c>
      <c r="F1049" t="inlineStr">
        <is>
          <t>GÄVLEBORGS LÄN</t>
        </is>
      </c>
      <c r="G1049" t="inlineStr">
        <is>
          <t>NORDANSTIG</t>
        </is>
      </c>
      <c r="I1049" t="n">
        <v>14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26671-2026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46184</v>
      </c>
      <c r="E1050" s="1" t="n">
        <v>46262</v>
      </c>
      <c r="F1050" t="inlineStr">
        <is>
          <t>GÄVLEBORGS LÄN</t>
        </is>
      </c>
      <c r="G1050" t="inlineStr">
        <is>
          <t>NORDANSTIG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29372-2026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46203</v>
      </c>
      <c r="E1051" s="1" t="n">
        <v>46262</v>
      </c>
      <c r="F1051" t="inlineStr">
        <is>
          <t>GÄVLEBORGS LÄN</t>
        </is>
      </c>
      <c r="G1051" t="inlineStr">
        <is>
          <t>NORDANSTIG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26700-2026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46184</v>
      </c>
      <c r="E1052" s="1" t="n">
        <v>46262</v>
      </c>
      <c r="F1052" t="inlineStr">
        <is>
          <t>GÄVLEBORGS LÄN</t>
        </is>
      </c>
      <c r="G1052" t="inlineStr">
        <is>
          <t>NORDANSTIG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26696-2026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46184</v>
      </c>
      <c r="E1053" s="1" t="n">
        <v>46262</v>
      </c>
      <c r="F1053" t="inlineStr">
        <is>
          <t>GÄVLEBORGS LÄN</t>
        </is>
      </c>
      <c r="G1053" t="inlineStr">
        <is>
          <t>NORDANSTIG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29371-2026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46203</v>
      </c>
      <c r="E1054" s="1" t="n">
        <v>46262</v>
      </c>
      <c r="F1054" t="inlineStr">
        <is>
          <t>GÄVLEBORGS LÄN</t>
        </is>
      </c>
      <c r="G1054" t="inlineStr">
        <is>
          <t>NORDANSTIG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35342-2026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46261</v>
      </c>
      <c r="E1055" s="1" t="n">
        <v>46262</v>
      </c>
      <c r="F1055" t="inlineStr">
        <is>
          <t>GÄVLEBORGS LÄN</t>
        </is>
      </c>
      <c r="G1055" t="inlineStr">
        <is>
          <t>NORDANSTIG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46262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46262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46262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46262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46262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46262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46262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46262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46262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46262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46262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46262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46262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46262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46262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46262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46262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46262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2026-08-28T01:52:12Z</dcterms:created>
  <dcterms:modified xmlns:dcterms="http://purl.org/dc/terms/" xmlns:xsi="http://www.w3.org/2001/XMLSchema-instance" xsi:type="dcterms:W3CDTF">2026-08-28T01:52:13Z</dcterms:modified>
</cp:coreProperties>
</file>