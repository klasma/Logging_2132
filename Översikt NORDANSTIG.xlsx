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46260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46260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46260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46260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46260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46260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46260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46260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46260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46260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46260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46260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46260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46260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46260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46260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46260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46260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46260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46260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46260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46260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46260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46260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46260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46260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46260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46260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46260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46244</v>
      </c>
      <c r="E44" s="1" t="n">
        <v>46260</v>
      </c>
      <c r="F44" t="inlineStr">
        <is>
          <t>GÄVLEBORGS LÄN</t>
        </is>
      </c>
      <c r="G44" t="inlineStr">
        <is>
          <t>NORDANSTIG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Fjällig taggsvamp s.str.
Tibast</t>
        </is>
      </c>
      <c r="W44">
        <f>HYPERLINK("https://klasma.github.io/Logging_2132/artfynd/A 32946-2026 artfynd.xlsx", "A 32946-2026")</f>
        <v/>
      </c>
      <c r="X44">
        <f>HYPERLINK("https://klasma.github.io/Logging_2132/kartor/A 32946-2026 karta.png", "A 32946-2026")</f>
        <v/>
      </c>
      <c r="Y44">
        <f>HYPERLINK("https://klasma.github.io/Logging_2132/kartor_geotiff/A 32946-2026 georefererad karta.tif", "A 32946-2026")</f>
        <v/>
      </c>
      <c r="AA44">
        <f>HYPERLINK("https://klasma.github.io/Logging_2132/klagomål/A 32946-2026 FSC-klagomål.docx", "A 32946-2026")</f>
        <v/>
      </c>
      <c r="AB44">
        <f>HYPERLINK("https://klasma.github.io/Logging_2132/klagomålsmail/A 32946-2026 FSC-klagomål mail.docx", "A 32946-2026")</f>
        <v/>
      </c>
      <c r="AC44">
        <f>HYPERLINK("https://klasma.github.io/Logging_2132/tillsyn/A 32946-2026 tillsynsbegäran.docx", "A 32946-2026")</f>
        <v/>
      </c>
      <c r="AD44">
        <f>HYPERLINK("https://klasma.github.io/Logging_2132/tillsynsmail/A 32946-2026 tillsynsbegäran mail.docx", "A 32946-2026")</f>
        <v/>
      </c>
    </row>
    <row r="45" ht="15" customHeight="1">
      <c r="A45" t="inlineStr">
        <is>
          <t>A 321-2024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46260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1.5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Tibast
Tvåblad</t>
        </is>
      </c>
      <c r="W45">
        <f>HYPERLINK("https://klasma.github.io/Logging_2132/artfynd/A 321-2024 artfynd.xlsx", "A 321-2024")</f>
        <v/>
      </c>
      <c r="X45">
        <f>HYPERLINK("https://klasma.github.io/Logging_2132/kartor/A 321-2024 karta.png", "A 321-2024")</f>
        <v/>
      </c>
      <c r="Y45">
        <f>HYPERLINK("https://klasma.github.io/Logging_2132/kartor_geotiff/A 321-2024 georefererad karta.tif", "A 321-2024")</f>
        <v/>
      </c>
      <c r="AA45">
        <f>HYPERLINK("https://klasma.github.io/Logging_2132/klagomål/A 321-2024 FSC-klagomål.docx", "A 321-2024")</f>
        <v/>
      </c>
      <c r="AB45">
        <f>HYPERLINK("https://klasma.github.io/Logging_2132/klagomålsmail/A 321-2024 FSC-klagomål mail.docx", "A 321-2024")</f>
        <v/>
      </c>
      <c r="AC45">
        <f>HYPERLINK("https://klasma.github.io/Logging_2132/tillsyn/A 321-2024 tillsynsbegäran.docx", "A 321-2024")</f>
        <v/>
      </c>
      <c r="AD45">
        <f>HYPERLINK("https://klasma.github.io/Logging_2132/tillsynsmail/A 321-2024 tillsynsbegäran mail.docx", "A 321-2024")</f>
        <v/>
      </c>
    </row>
    <row r="46" ht="15" customHeight="1">
      <c r="A46" t="inlineStr">
        <is>
          <t>A 62767-2022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44884</v>
      </c>
      <c r="E46" s="1" t="n">
        <v>46260</v>
      </c>
      <c r="F46" t="inlineStr">
        <is>
          <t>GÄVLEBORGS LÄN</t>
        </is>
      </c>
      <c r="G46" t="inlineStr">
        <is>
          <t>NORDANSTIG</t>
        </is>
      </c>
      <c r="H46" t="inlineStr">
        <is>
          <t>SCA</t>
        </is>
      </c>
      <c r="I46" t="n">
        <v>13.3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26</v>
      </c>
      <c r="U46" t="n">
        <v>1</v>
      </c>
      <c r="V46" s="2" t="inlineStr">
        <is>
          <t>Skogsknipprot
Törnskata</t>
        </is>
      </c>
      <c r="W46">
        <f>HYPERLINK("https://klasma.github.io/Logging_2132/artfynd/A 62767-2022 artfynd.xlsx", "A 62767-2022")</f>
        <v/>
      </c>
      <c r="X46">
        <f>HYPERLINK("https://klasma.github.io/Logging_2132/kartor/A 62767-2022 karta.png", "A 62767-2022")</f>
        <v/>
      </c>
      <c r="Y46">
        <f>HYPERLINK("https://klasma.github.io/Logging_2132/kartor_geotiff/A 62767-2022 georefererad karta.tif", "A 62767-2022")</f>
        <v/>
      </c>
      <c r="AA46">
        <f>HYPERLINK("https://klasma.github.io/Logging_2132/klagomål/A 62767-2022 FSC-klagomål.docx", "A 62767-2022")</f>
        <v/>
      </c>
      <c r="AB46">
        <f>HYPERLINK("https://klasma.github.io/Logging_2132/klagomålsmail/A 62767-2022 FSC-klagomål mail.docx", "A 62767-2022")</f>
        <v/>
      </c>
      <c r="AC46">
        <f>HYPERLINK("https://klasma.github.io/Logging_2132/tillsyn/A 62767-2022 tillsynsbegäran.docx", "A 62767-2022")</f>
        <v/>
      </c>
      <c r="AD46">
        <f>HYPERLINK("https://klasma.github.io/Logging_2132/tillsynsmail/A 62767-2022 tillsynsbegäran mail.docx", "A 62767-2022")</f>
        <v/>
      </c>
      <c r="AE46">
        <f>HYPERLINK("https://klasma.github.io/Logging_2132/fåglar/A 62767-2022 prioriterade fågelarter.docx", "A 62767-2022")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46260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46260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46260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46260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46260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46260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46260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46260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46260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57806-2024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46260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57806-2024 artfynd.xlsx", "A 57806-2024")</f>
        <v/>
      </c>
      <c r="X56">
        <f>HYPERLINK("https://klasma.github.io/Logging_2132/kartor/A 57806-2024 karta.png", "A 57806-2024")</f>
        <v/>
      </c>
      <c r="Y56">
        <f>HYPERLINK("https://klasma.github.io/Logging_2132/kartor_geotiff/A 57806-2024 georefererad karta.tif", "A 57806-2024")</f>
        <v/>
      </c>
      <c r="Z56">
        <f>HYPERLINK("https://klasma.github.io/Logging_2132/knärot/A 57806-2024 karta knärot.png", "A 57806-2024")</f>
        <v/>
      </c>
      <c r="AA56">
        <f>HYPERLINK("https://klasma.github.io/Logging_2132/klagomål/A 57806-2024 FSC-klagomål.docx", "A 57806-2024")</f>
        <v/>
      </c>
      <c r="AB56">
        <f>HYPERLINK("https://klasma.github.io/Logging_2132/klagomålsmail/A 57806-2024 FSC-klagomål mail.docx", "A 57806-2024")</f>
        <v/>
      </c>
      <c r="AC56">
        <f>HYPERLINK("https://klasma.github.io/Logging_2132/tillsyn/A 57806-2024 tillsynsbegäran.docx", "A 57806-2024")</f>
        <v/>
      </c>
      <c r="AD56">
        <f>HYPERLINK("https://klasma.github.io/Logging_2132/tillsynsmail/A 57806-2024 tillsynsbegäran mail.docx", "A 57806-2024")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46260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2878-2026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46038</v>
      </c>
      <c r="E58" s="1" t="n">
        <v>46260</v>
      </c>
      <c r="F58" t="inlineStr">
        <is>
          <t>GÄVLEBORGS LÄN</t>
        </is>
      </c>
      <c r="G58" t="inlineStr">
        <is>
          <t>NORDANSTIG</t>
        </is>
      </c>
      <c r="I58" t="n">
        <v>3.4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Mindre hackspett</t>
        </is>
      </c>
      <c r="W58">
        <f>HYPERLINK("https://klasma.github.io/Logging_2132/artfynd/A 2878-2026 artfynd.xlsx", "A 2878-2026")</f>
        <v/>
      </c>
      <c r="X58">
        <f>HYPERLINK("https://klasma.github.io/Logging_2132/kartor/A 2878-2026 karta.png", "A 2878-2026")</f>
        <v/>
      </c>
      <c r="Y58">
        <f>HYPERLINK("https://klasma.github.io/Logging_2132/kartor_geotiff/A 2878-2026 georefererad karta.tif", "A 2878-2026")</f>
        <v/>
      </c>
      <c r="AA58">
        <f>HYPERLINK("https://klasma.github.io/Logging_2132/klagomål/A 2878-2026 FSC-klagomål.docx", "A 2878-2026")</f>
        <v/>
      </c>
      <c r="AB58">
        <f>HYPERLINK("https://klasma.github.io/Logging_2132/klagomålsmail/A 2878-2026 FSC-klagomål mail.docx", "A 2878-2026")</f>
        <v/>
      </c>
      <c r="AC58">
        <f>HYPERLINK("https://klasma.github.io/Logging_2132/tillsyn/A 2878-2026 tillsynsbegäran.docx", "A 2878-2026")</f>
        <v/>
      </c>
      <c r="AD58">
        <f>HYPERLINK("https://klasma.github.io/Logging_2132/tillsynsmail/A 2878-2026 tillsynsbegäran mail.docx", "A 2878-2026")</f>
        <v/>
      </c>
      <c r="AE58">
        <f>HYPERLINK("https://klasma.github.io/Logging_2132/fåglar/A 2878-2026 prioriterade fågelarter.docx", "A 2878-2026")</f>
        <v/>
      </c>
    </row>
    <row r="59" ht="15" customHeight="1">
      <c r="A59" t="inlineStr">
        <is>
          <t>A 16515-2023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45029</v>
      </c>
      <c r="E59" s="1" t="n">
        <v>46260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HYPERLINK("https://klasma.github.io/Logging_2132/artfynd/A 16515-2023 artfynd.xlsx", "A 16515-2023")</f>
        <v/>
      </c>
      <c r="X59">
        <f>HYPERLINK("https://klasma.github.io/Logging_2132/kartor/A 16515-2023 karta.png", "A 16515-2023")</f>
        <v/>
      </c>
      <c r="Y59">
        <f>HYPERLINK("https://klasma.github.io/Logging_2132/kartor_geotiff/A 16515-2023 georefererad karta.tif", "A 16515-2023")</f>
        <v/>
      </c>
      <c r="AA59">
        <f>HYPERLINK("https://klasma.github.io/Logging_2132/klagomål/A 16515-2023 FSC-klagomål.docx", "A 16515-2023")</f>
        <v/>
      </c>
      <c r="AB59">
        <f>HYPERLINK("https://klasma.github.io/Logging_2132/klagomålsmail/A 16515-2023 FSC-klagomål mail.docx", "A 16515-2023")</f>
        <v/>
      </c>
      <c r="AC59">
        <f>HYPERLINK("https://klasma.github.io/Logging_2132/tillsyn/A 16515-2023 tillsynsbegäran.docx", "A 16515-2023")</f>
        <v/>
      </c>
      <c r="AD59">
        <f>HYPERLINK("https://klasma.github.io/Logging_2132/tillsynsmail/A 16515-2023 tillsynsbegäran mail.docx", "A 16515-2023")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46260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46260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6109-2023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44964</v>
      </c>
      <c r="E62" s="1" t="n">
        <v>46260</v>
      </c>
      <c r="F62" t="inlineStr">
        <is>
          <t>GÄVLEBORGS LÄN</t>
        </is>
      </c>
      <c r="G62" t="inlineStr">
        <is>
          <t>NORDANSTIG</t>
        </is>
      </c>
      <c r="I62" t="n">
        <v>0.1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Mattlummer</t>
        </is>
      </c>
      <c r="W62">
        <f>HYPERLINK("https://klasma.github.io/Logging_2132/artfynd/A 6109-2023 artfynd.xlsx", "A 6109-2023")</f>
        <v/>
      </c>
      <c r="X62">
        <f>HYPERLINK("https://klasma.github.io/Logging_2132/kartor/A 6109-2023 karta.png", "A 6109-2023")</f>
        <v/>
      </c>
      <c r="Y62">
        <f>HYPERLINK("https://klasma.github.io/Logging_2132/kartor_geotiff/A 6109-2023 georefererad karta.tif", "A 6109-2023")</f>
        <v/>
      </c>
      <c r="AA62">
        <f>HYPERLINK("https://klasma.github.io/Logging_2132/klagomål/A 6109-2023 FSC-klagomål.docx", "A 6109-2023")</f>
        <v/>
      </c>
      <c r="AB62">
        <f>HYPERLINK("https://klasma.github.io/Logging_2132/klagomålsmail/A 6109-2023 FSC-klagomål mail.docx", "A 6109-2023")</f>
        <v/>
      </c>
      <c r="AC62">
        <f>HYPERLINK("https://klasma.github.io/Logging_2132/tillsyn/A 6109-2023 tillsynsbegäran.docx", "A 6109-2023")</f>
        <v/>
      </c>
      <c r="AD62">
        <f>HYPERLINK("https://klasma.github.io/Logging_2132/tillsynsmail/A 6109-2023 tillsynsbegäran mail.docx", "A 6109-2023")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46260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46260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HYPERLINK("https://klasma.github.io/Logging_2132/artfynd/A 55476-2025 artfynd.xlsx", "A 55476-2025")</f>
        <v/>
      </c>
      <c r="X64">
        <f>HYPERLINK("https://klasma.github.io/Logging_2132/kartor/A 55476-2025 karta.png", "A 55476-2025")</f>
        <v/>
      </c>
      <c r="Y64">
        <f>HYPERLINK("https://klasma.github.io/Logging_2132/kartor_geotiff/A 55476-2025 georefererad karta.tif", "A 55476-2025")</f>
        <v/>
      </c>
      <c r="AA64">
        <f>HYPERLINK("https://klasma.github.io/Logging_2132/klagomål/A 55476-2025 FSC-klagomål.docx", "A 55476-2025")</f>
        <v/>
      </c>
      <c r="AB64">
        <f>HYPERLINK("https://klasma.github.io/Logging_2132/klagomålsmail/A 55476-2025 FSC-klagomål mail.docx", "A 55476-2025")</f>
        <v/>
      </c>
      <c r="AC64">
        <f>HYPERLINK("https://klasma.github.io/Logging_2132/tillsyn/A 55476-2025 tillsynsbegäran.docx", "A 55476-2025")</f>
        <v/>
      </c>
      <c r="AD64">
        <f>HYPERLINK("https://klasma.github.io/Logging_2132/tillsynsmail/A 55476-2025 tillsynsbegäran mail.docx", "A 55476-2025")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46260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46260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46260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46260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46260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46260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46260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46260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26278-2026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46260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Lavskrika</t>
        </is>
      </c>
      <c r="W73">
        <f>HYPERLINK("https://klasma.github.io/Logging_2132/artfynd/A 26278-2026 artfynd.xlsx", "A 26278-2026")</f>
        <v/>
      </c>
      <c r="X73">
        <f>HYPERLINK("https://klasma.github.io/Logging_2132/kartor/A 26278-2026 karta.png", "A 26278-2026")</f>
        <v/>
      </c>
      <c r="Y73">
        <f>HYPERLINK("https://klasma.github.io/Logging_2132/kartor_geotiff/A 26278-2026 georefererad karta.tif", "A 26278-2026")</f>
        <v/>
      </c>
      <c r="AA73">
        <f>HYPERLINK("https://klasma.github.io/Logging_2132/klagomål/A 26278-2026 FSC-klagomål.docx", "A 26278-2026")</f>
        <v/>
      </c>
      <c r="AB73">
        <f>HYPERLINK("https://klasma.github.io/Logging_2132/klagomålsmail/A 26278-2026 FSC-klagomål mail.docx", "A 26278-2026")</f>
        <v/>
      </c>
      <c r="AC73">
        <f>HYPERLINK("https://klasma.github.io/Logging_2132/tillsyn/A 26278-2026 tillsynsbegäran.docx", "A 26278-2026")</f>
        <v/>
      </c>
      <c r="AD73">
        <f>HYPERLINK("https://klasma.github.io/Logging_2132/tillsynsmail/A 26278-2026 tillsynsbegäran mail.docx", "A 26278-2026")</f>
        <v/>
      </c>
      <c r="AE73">
        <f>HYPERLINK("https://klasma.github.io/Logging_2132/fåglar/A 26278-2026 prioriterade fågelarter.docx", "A 26278-2026")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46260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2254-2025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46260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0</v>
      </c>
      <c r="V75" s="2" t="inlineStr">
        <is>
          <t>Bredgentiana</t>
        </is>
      </c>
      <c r="W75">
        <f>HYPERLINK("https://klasma.github.io/Logging_2132/artfynd/A 2254-2025 artfynd.xlsx", "A 2254-2025")</f>
        <v/>
      </c>
      <c r="X75">
        <f>HYPERLINK("https://klasma.github.io/Logging_2132/kartor/A 2254-2025 karta.png", "A 2254-2025")</f>
        <v/>
      </c>
      <c r="Y75">
        <f>HYPERLINK("https://klasma.github.io/Logging_2132/kartor_geotiff/A 2254-2025 georefererad karta.tif", "A 2254-2025")</f>
        <v/>
      </c>
      <c r="AA75">
        <f>HYPERLINK("https://klasma.github.io/Logging_2132/klagomål/A 2254-2025 FSC-klagomål.docx", "A 2254-2025")</f>
        <v/>
      </c>
      <c r="AB75">
        <f>HYPERLINK("https://klasma.github.io/Logging_2132/klagomålsmail/A 2254-2025 FSC-klagomål mail.docx", "A 2254-2025")</f>
        <v/>
      </c>
      <c r="AC75">
        <f>HYPERLINK("https://klasma.github.io/Logging_2132/tillsyn/A 2254-2025 tillsynsbegäran.docx", "A 2254-2025")</f>
        <v/>
      </c>
      <c r="AD75">
        <f>HYPERLINK("https://klasma.github.io/Logging_2132/tillsynsmail/A 2254-2025 tillsynsbegäran mail.docx", "A 2254-2025")</f>
        <v/>
      </c>
    </row>
    <row r="76" ht="15" customHeight="1">
      <c r="A76" t="inlineStr">
        <is>
          <t>A 22041-2022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46260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6.2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Svavelriska</t>
        </is>
      </c>
      <c r="W76">
        <f>HYPERLINK("https://klasma.github.io/Logging_2132/artfynd/A 22041-2022 artfynd.xlsx", "A 22041-2022")</f>
        <v/>
      </c>
      <c r="X76">
        <f>HYPERLINK("https://klasma.github.io/Logging_2132/kartor/A 22041-2022 karta.png", "A 22041-2022")</f>
        <v/>
      </c>
      <c r="Y76">
        <f>HYPERLINK("https://klasma.github.io/Logging_2132/kartor_geotiff/A 22041-2022 georefererad karta.tif", "A 22041-2022")</f>
        <v/>
      </c>
      <c r="AA76">
        <f>HYPERLINK("https://klasma.github.io/Logging_2132/klagomål/A 22041-2022 FSC-klagomål.docx", "A 22041-2022")</f>
        <v/>
      </c>
      <c r="AB76">
        <f>HYPERLINK("https://klasma.github.io/Logging_2132/klagomålsmail/A 22041-2022 FSC-klagomål mail.docx", "A 22041-2022")</f>
        <v/>
      </c>
      <c r="AC76">
        <f>HYPERLINK("https://klasma.github.io/Logging_2132/tillsyn/A 22041-2022 tillsynsbegäran.docx", "A 22041-2022")</f>
        <v/>
      </c>
      <c r="AD76">
        <f>HYPERLINK("https://klasma.github.io/Logging_2132/tillsynsmail/A 22041-2022 tillsynsbegäran mail.docx", "A 22041-2022")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46260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46260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46260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46260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46260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46260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HYPERLINK("https://klasma.github.io/Logging_2132/artfynd/A 24758-2025 artfynd.xlsx", "A 24758-2025")</f>
        <v/>
      </c>
      <c r="X82">
        <f>HYPERLINK("https://klasma.github.io/Logging_2132/kartor/A 24758-2025 karta.png", "A 24758-2025")</f>
        <v/>
      </c>
      <c r="Y82">
        <f>HYPERLINK("https://klasma.github.io/Logging_2132/kartor_geotiff/A 24758-2025 georefererad karta.tif", "A 24758-2025")</f>
        <v/>
      </c>
      <c r="Z82">
        <f>HYPERLINK("https://klasma.github.io/Logging_2132/knärot/A 24758-2025 karta knärot.png", "A 24758-2025")</f>
        <v/>
      </c>
      <c r="AA82">
        <f>HYPERLINK("https://klasma.github.io/Logging_2132/klagomål/A 24758-2025 FSC-klagomål.docx", "A 24758-2025")</f>
        <v/>
      </c>
      <c r="AB82">
        <f>HYPERLINK("https://klasma.github.io/Logging_2132/klagomålsmail/A 24758-2025 FSC-klagomål mail.docx", "A 24758-2025")</f>
        <v/>
      </c>
      <c r="AC82">
        <f>HYPERLINK("https://klasma.github.io/Logging_2132/tillsyn/A 24758-2025 tillsynsbegäran.docx", "A 24758-2025")</f>
        <v/>
      </c>
      <c r="AD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46260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46260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46260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46260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46260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46260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46260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46260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46260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46260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46260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46260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46260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46260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46260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46260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46260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46260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44456</v>
      </c>
      <c r="E103" s="1" t="n">
        <v>46260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55314-2021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44475</v>
      </c>
      <c r="E104" s="1" t="n">
        <v>46260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44435</v>
      </c>
      <c r="E105" s="1" t="n">
        <v>46260</v>
      </c>
      <c r="F105" t="inlineStr">
        <is>
          <t>GÄVLEBORGS LÄN</t>
        </is>
      </c>
      <c r="G105" t="inlineStr">
        <is>
          <t>NORDANSTIG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46260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46260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46260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46260</v>
      </c>
      <c r="F109" t="inlineStr">
        <is>
          <t>GÄVLEBORGS LÄN</t>
        </is>
      </c>
      <c r="G109" t="inlineStr">
        <is>
          <t>NORDANSTIG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46260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46260</v>
      </c>
      <c r="F111" t="inlineStr">
        <is>
          <t>GÄVLEBORGS LÄN</t>
        </is>
      </c>
      <c r="G111" t="inlineStr">
        <is>
          <t>NORDANSTIG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46260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72594-2021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46260</v>
      </c>
      <c r="F113" t="inlineStr">
        <is>
          <t>GÄVLEBORGS LÄN</t>
        </is>
      </c>
      <c r="G113" t="inlineStr">
        <is>
          <t>NORDANSTIG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46260</v>
      </c>
      <c r="F114" t="inlineStr">
        <is>
          <t>GÄVLEBORGS LÄN</t>
        </is>
      </c>
      <c r="G114" t="inlineStr">
        <is>
          <t>NORDANSTIG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54496-2021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44473</v>
      </c>
      <c r="E115" s="1" t="n">
        <v>46260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46260</v>
      </c>
      <c r="F116" t="inlineStr">
        <is>
          <t>GÄVLEBORGS LÄN</t>
        </is>
      </c>
      <c r="G116" t="inlineStr">
        <is>
          <t>NORDANSTIG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44651</v>
      </c>
      <c r="E117" s="1" t="n">
        <v>46260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46260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46260</v>
      </c>
      <c r="F119" t="inlineStr">
        <is>
          <t>GÄVLEBORGS LÄN</t>
        </is>
      </c>
      <c r="G119" t="inlineStr">
        <is>
          <t>NORDANSTIG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46260</v>
      </c>
      <c r="F120" t="inlineStr">
        <is>
          <t>GÄVLEBORGS LÄN</t>
        </is>
      </c>
      <c r="G120" t="inlineStr">
        <is>
          <t>NORDANSTIG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46260</v>
      </c>
      <c r="F121" t="inlineStr">
        <is>
          <t>GÄVLEBORGS LÄN</t>
        </is>
      </c>
      <c r="G121" t="inlineStr">
        <is>
          <t>NORDANSTIG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44691</v>
      </c>
      <c r="E122" s="1" t="n">
        <v>46260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44797</v>
      </c>
      <c r="E123" s="1" t="n">
        <v>46260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46260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46260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46260</v>
      </c>
      <c r="F126" t="inlineStr">
        <is>
          <t>GÄVLEBORGS LÄN</t>
        </is>
      </c>
      <c r="G126" t="inlineStr">
        <is>
          <t>NORDANSTIG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72435-2021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44545</v>
      </c>
      <c r="E127" s="1" t="n">
        <v>46260</v>
      </c>
      <c r="F127" t="inlineStr">
        <is>
          <t>GÄVLEBORGS LÄN</t>
        </is>
      </c>
      <c r="G127" t="inlineStr">
        <is>
          <t>NORDANSTIG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44634</v>
      </c>
      <c r="E128" s="1" t="n">
        <v>46260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44732</v>
      </c>
      <c r="E129" s="1" t="n">
        <v>46260</v>
      </c>
      <c r="F129" t="inlineStr">
        <is>
          <t>GÄVLEBORGS LÄN</t>
        </is>
      </c>
      <c r="G129" t="inlineStr">
        <is>
          <t>NORDANSTIG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44490</v>
      </c>
      <c r="E130" s="1" t="n">
        <v>46260</v>
      </c>
      <c r="F130" t="inlineStr">
        <is>
          <t>GÄVLEBORGS LÄN</t>
        </is>
      </c>
      <c r="G130" t="inlineStr">
        <is>
          <t>NORDANSTIG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46260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46260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44620</v>
      </c>
      <c r="E133" s="1" t="n">
        <v>46260</v>
      </c>
      <c r="F133" t="inlineStr">
        <is>
          <t>GÄVLEBORGS LÄN</t>
        </is>
      </c>
      <c r="G133" t="inlineStr">
        <is>
          <t>NORDANSTIG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46260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44743</v>
      </c>
      <c r="E135" s="1" t="n">
        <v>46260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46260</v>
      </c>
      <c r="F136" t="inlineStr">
        <is>
          <t>GÄVLEBORGS LÄN</t>
        </is>
      </c>
      <c r="G136" t="inlineStr">
        <is>
          <t>NORDANSTIG</t>
        </is>
      </c>
      <c r="H136" t="inlineStr">
        <is>
          <t>SCA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44764</v>
      </c>
      <c r="E137" s="1" t="n">
        <v>46260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46260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46260</v>
      </c>
      <c r="F139" t="inlineStr">
        <is>
          <t>GÄVLEBORGS LÄN</t>
        </is>
      </c>
      <c r="G139" t="inlineStr">
        <is>
          <t>NORDANSTIG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73725-2021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46260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46260</v>
      </c>
      <c r="F141" t="inlineStr">
        <is>
          <t>GÄVLEBORGS LÄN</t>
        </is>
      </c>
      <c r="G141" t="inlineStr">
        <is>
          <t>NORDANSTIG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46260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44728</v>
      </c>
      <c r="E143" s="1" t="n">
        <v>46260</v>
      </c>
      <c r="F143" t="inlineStr">
        <is>
          <t>GÄVLEBORGS LÄN</t>
        </is>
      </c>
      <c r="G143" t="inlineStr">
        <is>
          <t>NORDANSTIG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44502</v>
      </c>
      <c r="E144" s="1" t="n">
        <v>46260</v>
      </c>
      <c r="F144" t="inlineStr">
        <is>
          <t>GÄVLEBORGS LÄN</t>
        </is>
      </c>
      <c r="G144" t="inlineStr">
        <is>
          <t>NORDANSTIG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46260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44820</v>
      </c>
      <c r="E146" s="1" t="n">
        <v>46260</v>
      </c>
      <c r="F146" t="inlineStr">
        <is>
          <t>GÄVLEBORGS LÄN</t>
        </is>
      </c>
      <c r="G146" t="inlineStr">
        <is>
          <t>NORDANSTIG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46260</v>
      </c>
      <c r="F147" t="inlineStr">
        <is>
          <t>GÄVLEBORGS LÄN</t>
        </is>
      </c>
      <c r="G147" t="inlineStr">
        <is>
          <t>NORDANSTIG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51543-2021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46260</v>
      </c>
      <c r="F148" t="inlineStr">
        <is>
          <t>GÄVLEBORGS LÄN</t>
        </is>
      </c>
      <c r="G148" t="inlineStr">
        <is>
          <t>NORDANSTIG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69127-2021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44530</v>
      </c>
      <c r="E149" s="1" t="n">
        <v>46260</v>
      </c>
      <c r="F149" t="inlineStr">
        <is>
          <t>GÄVLEBORGS LÄN</t>
        </is>
      </c>
      <c r="G149" t="inlineStr">
        <is>
          <t>NORDANSTIG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44503</v>
      </c>
      <c r="E150" s="1" t="n">
        <v>46260</v>
      </c>
      <c r="F150" t="inlineStr">
        <is>
          <t>GÄVLEBORGS LÄN</t>
        </is>
      </c>
      <c r="G150" t="inlineStr">
        <is>
          <t>NORDANSTIG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46260</v>
      </c>
      <c r="F151" t="inlineStr">
        <is>
          <t>GÄVLEBORGS LÄN</t>
        </is>
      </c>
      <c r="G151" t="inlineStr">
        <is>
          <t>NORDANSTIG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44728</v>
      </c>
      <c r="E152" s="1" t="n">
        <v>46260</v>
      </c>
      <c r="F152" t="inlineStr">
        <is>
          <t>GÄVLEBORGS LÄN</t>
        </is>
      </c>
      <c r="G152" t="inlineStr">
        <is>
          <t>NORDANSTIG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44566</v>
      </c>
      <c r="E153" s="1" t="n">
        <v>46260</v>
      </c>
      <c r="F153" t="inlineStr">
        <is>
          <t>GÄVLEBORGS LÄN</t>
        </is>
      </c>
      <c r="G153" t="inlineStr">
        <is>
          <t>NORDANSTIG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46260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46260</v>
      </c>
      <c r="F155" t="inlineStr">
        <is>
          <t>GÄVLEBORGS LÄN</t>
        </is>
      </c>
      <c r="G155" t="inlineStr">
        <is>
          <t>NORDANSTIG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44684</v>
      </c>
      <c r="E156" s="1" t="n">
        <v>46260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46260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26113-2022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44734</v>
      </c>
      <c r="E158" s="1" t="n">
        <v>46260</v>
      </c>
      <c r="F158" t="inlineStr">
        <is>
          <t>GÄVLEBORGS LÄN</t>
        </is>
      </c>
      <c r="G158" t="inlineStr">
        <is>
          <t>NORDANSTIG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44728</v>
      </c>
      <c r="E159" s="1" t="n">
        <v>46260</v>
      </c>
      <c r="F159" t="inlineStr">
        <is>
          <t>GÄVLEBORGS LÄN</t>
        </is>
      </c>
      <c r="G159" t="inlineStr">
        <is>
          <t>NORDANSTIG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46260</v>
      </c>
      <c r="F160" t="inlineStr">
        <is>
          <t>GÄVLEBORGS LÄN</t>
        </is>
      </c>
      <c r="G160" t="inlineStr">
        <is>
          <t>NORDANSTIG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46260</v>
      </c>
      <c r="F161" t="inlineStr">
        <is>
          <t>GÄVLEBORGS LÄN</t>
        </is>
      </c>
      <c r="G161" t="inlineStr">
        <is>
          <t>NORDANSTIG</t>
        </is>
      </c>
      <c r="H161" t="inlineStr">
        <is>
          <t>SCA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44692</v>
      </c>
      <c r="E162" s="1" t="n">
        <v>46260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46260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46260</v>
      </c>
      <c r="F164" t="inlineStr">
        <is>
          <t>GÄVLEBORGS LÄN</t>
        </is>
      </c>
      <c r="G164" t="inlineStr">
        <is>
          <t>NORDANSTIG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46260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46260</v>
      </c>
      <c r="F166" t="inlineStr">
        <is>
          <t>GÄVLEBORGS LÄN</t>
        </is>
      </c>
      <c r="G166" t="inlineStr">
        <is>
          <t>NORDANSTIG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46260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46260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46260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45644</v>
      </c>
      <c r="E170" s="1" t="n">
        <v>46260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62465-2021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46260</v>
      </c>
      <c r="F171" t="inlineStr">
        <is>
          <t>GÄVLEBORGS LÄN</t>
        </is>
      </c>
      <c r="G171" t="inlineStr">
        <is>
          <t>NORDANSTIG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45041</v>
      </c>
      <c r="E172" s="1" t="n">
        <v>46260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46260</v>
      </c>
      <c r="F173" t="inlineStr">
        <is>
          <t>GÄVLEBORGS LÄN</t>
        </is>
      </c>
      <c r="G173" t="inlineStr">
        <is>
          <t>NORDANSTIG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46260</v>
      </c>
      <c r="F174" t="inlineStr">
        <is>
          <t>GÄVLEBORGS LÄN</t>
        </is>
      </c>
      <c r="G174" t="inlineStr">
        <is>
          <t>NORDANSTIG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46260</v>
      </c>
      <c r="F175" t="inlineStr">
        <is>
          <t>GÄVLEBORGS LÄN</t>
        </is>
      </c>
      <c r="G175" t="inlineStr">
        <is>
          <t>NORDANSTIG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46260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45139</v>
      </c>
      <c r="E177" s="1" t="n">
        <v>46260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45573</v>
      </c>
      <c r="E178" s="1" t="n">
        <v>46260</v>
      </c>
      <c r="F178" t="inlineStr">
        <is>
          <t>GÄVLEBORGS LÄN</t>
        </is>
      </c>
      <c r="G178" t="inlineStr">
        <is>
          <t>NORDANSTIG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46260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46260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46260</v>
      </c>
      <c r="F181" t="inlineStr">
        <is>
          <t>GÄVLEBORGS LÄN</t>
        </is>
      </c>
      <c r="G181" t="inlineStr">
        <is>
          <t>NORDANSTIG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46260</v>
      </c>
      <c r="F182" t="inlineStr">
        <is>
          <t>GÄVLEBORGS LÄN</t>
        </is>
      </c>
      <c r="G182" t="inlineStr">
        <is>
          <t>NORDANSTIG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46260</v>
      </c>
      <c r="F183" t="inlineStr">
        <is>
          <t>GÄVLEBORGS LÄN</t>
        </is>
      </c>
      <c r="G183" t="inlineStr">
        <is>
          <t>NORDANSTIG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40241-2023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45169</v>
      </c>
      <c r="E184" s="1" t="n">
        <v>46260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44599</v>
      </c>
      <c r="E185" s="1" t="n">
        <v>46260</v>
      </c>
      <c r="F185" t="inlineStr">
        <is>
          <t>GÄVLEBORGS LÄN</t>
        </is>
      </c>
      <c r="G185" t="inlineStr">
        <is>
          <t>NORDANSTIG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46260</v>
      </c>
      <c r="F186" t="inlineStr">
        <is>
          <t>GÄVLEBORGS LÄN</t>
        </is>
      </c>
      <c r="G186" t="inlineStr">
        <is>
          <t>NORDANSTIG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46260</v>
      </c>
      <c r="F187" t="inlineStr">
        <is>
          <t>GÄVLEBORGS LÄN</t>
        </is>
      </c>
      <c r="G187" t="inlineStr">
        <is>
          <t>NORDANSTIG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46260</v>
      </c>
      <c r="F188" t="inlineStr">
        <is>
          <t>GÄVLEBORGS LÄN</t>
        </is>
      </c>
      <c r="G188" t="inlineStr">
        <is>
          <t>NORDANSTIG</t>
        </is>
      </c>
      <c r="H188" t="inlineStr">
        <is>
          <t>SCA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46260</v>
      </c>
      <c r="F189" t="inlineStr">
        <is>
          <t>GÄVLEBORGS LÄN</t>
        </is>
      </c>
      <c r="G189" t="inlineStr">
        <is>
          <t>NORDANSTIG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44795</v>
      </c>
      <c r="E190" s="1" t="n">
        <v>46260</v>
      </c>
      <c r="F190" t="inlineStr">
        <is>
          <t>GÄVLEBORGS LÄN</t>
        </is>
      </c>
      <c r="G190" t="inlineStr">
        <is>
          <t>NORDANSTIG</t>
        </is>
      </c>
      <c r="I190" t="n">
        <v>7.8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46260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46260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45345</v>
      </c>
      <c r="E193" s="1" t="n">
        <v>46260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62.5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45345</v>
      </c>
      <c r="E194" s="1" t="n">
        <v>46260</v>
      </c>
      <c r="F194" t="inlineStr">
        <is>
          <t>GÄVLEBORGS LÄN</t>
        </is>
      </c>
      <c r="G194" t="inlineStr">
        <is>
          <t>NORDANSTIG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46260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45762</v>
      </c>
      <c r="E196" s="1" t="n">
        <v>46260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44783</v>
      </c>
      <c r="E197" s="1" t="n">
        <v>46260</v>
      </c>
      <c r="F197" t="inlineStr">
        <is>
          <t>GÄVLEBORGS LÄN</t>
        </is>
      </c>
      <c r="G197" t="inlineStr">
        <is>
          <t>NORDANSTIG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46260</v>
      </c>
      <c r="F198" t="inlineStr">
        <is>
          <t>GÄVLEBORGS LÄN</t>
        </is>
      </c>
      <c r="G198" t="inlineStr">
        <is>
          <t>NORDANSTIG</t>
        </is>
      </c>
      <c r="H198" t="inlineStr">
        <is>
          <t>SCA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45691</v>
      </c>
      <c r="E199" s="1" t="n">
        <v>46260</v>
      </c>
      <c r="F199" t="inlineStr">
        <is>
          <t>GÄVLEBORGS LÄN</t>
        </is>
      </c>
      <c r="G199" t="inlineStr">
        <is>
          <t>NORDANSTIG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46260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45610</v>
      </c>
      <c r="E201" s="1" t="n">
        <v>46260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46260</v>
      </c>
      <c r="F202" t="inlineStr">
        <is>
          <t>GÄVLEBORGS LÄN</t>
        </is>
      </c>
      <c r="G202" t="inlineStr">
        <is>
          <t>NORDANSTIG</t>
        </is>
      </c>
      <c r="I202" t="n">
        <v>12.5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46260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46260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46260</v>
      </c>
      <c r="F205" t="inlineStr">
        <is>
          <t>GÄVLEBORGS LÄN</t>
        </is>
      </c>
      <c r="G205" t="inlineStr">
        <is>
          <t>NORDANSTIG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46260</v>
      </c>
      <c r="F206" t="inlineStr">
        <is>
          <t>GÄVLEBORGS LÄN</t>
        </is>
      </c>
      <c r="G206" t="inlineStr">
        <is>
          <t>NORDANSTIG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44886</v>
      </c>
      <c r="E207" s="1" t="n">
        <v>46260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46260</v>
      </c>
      <c r="F208" t="inlineStr">
        <is>
          <t>GÄVLEBORGS LÄN</t>
        </is>
      </c>
      <c r="G208" t="inlineStr">
        <is>
          <t>NORDANSTIG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14866-2024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45397</v>
      </c>
      <c r="E209" s="1" t="n">
        <v>46260</v>
      </c>
      <c r="F209" t="inlineStr">
        <is>
          <t>GÄVLEBORGS LÄN</t>
        </is>
      </c>
      <c r="G209" t="inlineStr">
        <is>
          <t>NORDANSTIG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45566</v>
      </c>
      <c r="E210" s="1" t="n">
        <v>46260</v>
      </c>
      <c r="F210" t="inlineStr">
        <is>
          <t>GÄVLEBORGS LÄN</t>
        </is>
      </c>
      <c r="G210" t="inlineStr">
        <is>
          <t>NORDANSTIG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37005-2022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46260</v>
      </c>
      <c r="F211" t="inlineStr">
        <is>
          <t>GÄVLEBORGS LÄN</t>
        </is>
      </c>
      <c r="G211" t="inlineStr">
        <is>
          <t>NORDANSTIG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46260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45622</v>
      </c>
      <c r="E213" s="1" t="n">
        <v>46260</v>
      </c>
      <c r="F213" t="inlineStr">
        <is>
          <t>GÄVLEBORGS LÄN</t>
        </is>
      </c>
      <c r="G213" t="inlineStr">
        <is>
          <t>NORDANSTIG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45306</v>
      </c>
      <c r="E214" s="1" t="n">
        <v>46260</v>
      </c>
      <c r="F214" t="inlineStr">
        <is>
          <t>GÄVLEBORGS LÄN</t>
        </is>
      </c>
      <c r="G214" t="inlineStr">
        <is>
          <t>NORDANSTIG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46260</v>
      </c>
      <c r="F215" t="inlineStr">
        <is>
          <t>GÄVLEBORGS LÄN</t>
        </is>
      </c>
      <c r="G215" t="inlineStr">
        <is>
          <t>NORDANSTIG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46260</v>
      </c>
      <c r="F216" t="inlineStr">
        <is>
          <t>GÄVLEBORGS LÄN</t>
        </is>
      </c>
      <c r="G216" t="inlineStr">
        <is>
          <t>NORDANSTIG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46260</v>
      </c>
      <c r="F217" t="inlineStr">
        <is>
          <t>GÄVLEBORGS LÄN</t>
        </is>
      </c>
      <c r="G217" t="inlineStr">
        <is>
          <t>NORDANSTIG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32149-2024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45511</v>
      </c>
      <c r="E218" s="1" t="n">
        <v>46260</v>
      </c>
      <c r="F218" t="inlineStr">
        <is>
          <t>GÄVLEBORGS LÄN</t>
        </is>
      </c>
      <c r="G218" t="inlineStr">
        <is>
          <t>NORDANSTIG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61419-2024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45646</v>
      </c>
      <c r="E219" s="1" t="n">
        <v>46260</v>
      </c>
      <c r="F219" t="inlineStr">
        <is>
          <t>GÄVLEBORGS LÄN</t>
        </is>
      </c>
      <c r="G219" t="inlineStr">
        <is>
          <t>NORDANSTIG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46260</v>
      </c>
      <c r="F220" t="inlineStr">
        <is>
          <t>GÄVLEBORGS LÄN</t>
        </is>
      </c>
      <c r="G220" t="inlineStr">
        <is>
          <t>NORDANSTIG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46260</v>
      </c>
      <c r="F221" t="inlineStr">
        <is>
          <t>GÄVLEBORGS LÄN</t>
        </is>
      </c>
      <c r="G221" t="inlineStr">
        <is>
          <t>NORDANSTIG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46260</v>
      </c>
      <c r="F222" t="inlineStr">
        <is>
          <t>GÄVLEBORGS LÄN</t>
        </is>
      </c>
      <c r="G222" t="inlineStr">
        <is>
          <t>NORDANSTIG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46260</v>
      </c>
      <c r="F223" t="inlineStr">
        <is>
          <t>GÄVLEBORGS LÄN</t>
        </is>
      </c>
      <c r="G223" t="inlineStr">
        <is>
          <t>NORDANSTIG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46260</v>
      </c>
      <c r="F224" t="inlineStr">
        <is>
          <t>GÄVLEBORGS LÄN</t>
        </is>
      </c>
      <c r="G224" t="inlineStr">
        <is>
          <t>NORDANSTIG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46041</v>
      </c>
      <c r="E225" s="1" t="n">
        <v>46260</v>
      </c>
      <c r="F225" t="inlineStr">
        <is>
          <t>GÄVLEBORGS LÄN</t>
        </is>
      </c>
      <c r="G225" t="inlineStr">
        <is>
          <t>NORDANSTIG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46260</v>
      </c>
      <c r="F226" t="inlineStr">
        <is>
          <t>GÄVLEBORGS LÄN</t>
        </is>
      </c>
      <c r="G226" t="inlineStr">
        <is>
          <t>NORDANSTIG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46260</v>
      </c>
      <c r="F227" t="inlineStr">
        <is>
          <t>GÄVLEBORGS LÄN</t>
        </is>
      </c>
      <c r="G227" t="inlineStr">
        <is>
          <t>NORDANSTIG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18761-2024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45426</v>
      </c>
      <c r="E228" s="1" t="n">
        <v>46260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46260</v>
      </c>
      <c r="F229" t="inlineStr">
        <is>
          <t>GÄVLEBORGS LÄN</t>
        </is>
      </c>
      <c r="G229" t="inlineStr">
        <is>
          <t>NORDANSTIG</t>
        </is>
      </c>
      <c r="I229" t="n">
        <v>21.1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46260</v>
      </c>
      <c r="F230" t="inlineStr">
        <is>
          <t>GÄVLEBORGS LÄN</t>
        </is>
      </c>
      <c r="G230" t="inlineStr">
        <is>
          <t>NORDANSTIG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46260</v>
      </c>
      <c r="F231" t="inlineStr">
        <is>
          <t>GÄVLEBORGS LÄN</t>
        </is>
      </c>
      <c r="G231" t="inlineStr">
        <is>
          <t>NORDANSTIG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46039</v>
      </c>
      <c r="E232" s="1" t="n">
        <v>46260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45176</v>
      </c>
      <c r="E233" s="1" t="n">
        <v>46260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46260</v>
      </c>
      <c r="F234" t="inlineStr">
        <is>
          <t>GÄVLEBORGS LÄN</t>
        </is>
      </c>
      <c r="G234" t="inlineStr">
        <is>
          <t>NORDANSTIG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46260</v>
      </c>
      <c r="F235" t="inlineStr">
        <is>
          <t>GÄVLEBORGS LÄN</t>
        </is>
      </c>
      <c r="G235" t="inlineStr">
        <is>
          <t>NORDANSTIG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46260</v>
      </c>
      <c r="F236" t="inlineStr">
        <is>
          <t>GÄVLEBORGS LÄN</t>
        </is>
      </c>
      <c r="G236" t="inlineStr">
        <is>
          <t>NORDANSTIG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46260</v>
      </c>
      <c r="F237" t="inlineStr">
        <is>
          <t>GÄVLEBORGS LÄN</t>
        </is>
      </c>
      <c r="G237" t="inlineStr">
        <is>
          <t>NORDANSTIG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46260</v>
      </c>
      <c r="F238" t="inlineStr">
        <is>
          <t>GÄVLEBORGS LÄN</t>
        </is>
      </c>
      <c r="G238" t="inlineStr">
        <is>
          <t>NORDANSTIG</t>
        </is>
      </c>
      <c r="I238" t="n">
        <v>24.7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46260</v>
      </c>
      <c r="F239" t="inlineStr">
        <is>
          <t>GÄVLEBORGS LÄN</t>
        </is>
      </c>
      <c r="G239" t="inlineStr">
        <is>
          <t>NORDANSTIG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45425</v>
      </c>
      <c r="E240" s="1" t="n">
        <v>46260</v>
      </c>
      <c r="F240" t="inlineStr">
        <is>
          <t>GÄVLEBORGS LÄN</t>
        </is>
      </c>
      <c r="G240" t="inlineStr">
        <is>
          <t>NORDANSTIG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46260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46260</v>
      </c>
      <c r="F242" t="inlineStr">
        <is>
          <t>GÄVLEBORGS LÄN</t>
        </is>
      </c>
      <c r="G242" t="inlineStr">
        <is>
          <t>NORDANSTIG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45499</v>
      </c>
      <c r="E243" s="1" t="n">
        <v>46260</v>
      </c>
      <c r="F243" t="inlineStr">
        <is>
          <t>GÄVLEBORGS LÄN</t>
        </is>
      </c>
      <c r="G243" t="inlineStr">
        <is>
          <t>NORDANSTIG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46260</v>
      </c>
      <c r="F244" t="inlineStr">
        <is>
          <t>GÄVLEBORGS LÄN</t>
        </is>
      </c>
      <c r="G244" t="inlineStr">
        <is>
          <t>NORDANSTIG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46260</v>
      </c>
      <c r="F245" t="inlineStr">
        <is>
          <t>GÄVLEBORGS LÄN</t>
        </is>
      </c>
      <c r="G245" t="inlineStr">
        <is>
          <t>NORDANSTIG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46260</v>
      </c>
      <c r="F246" t="inlineStr">
        <is>
          <t>GÄVLEBORGS LÄN</t>
        </is>
      </c>
      <c r="G246" t="inlineStr">
        <is>
          <t>NORDANSTIG</t>
        </is>
      </c>
      <c r="I246" t="n">
        <v>11.3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46260</v>
      </c>
      <c r="F247" t="inlineStr">
        <is>
          <t>GÄVLEBORGS LÄN</t>
        </is>
      </c>
      <c r="G247" t="inlineStr">
        <is>
          <t>NORDANSTIG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46260</v>
      </c>
      <c r="F248" t="inlineStr">
        <is>
          <t>GÄVLEBORGS LÄN</t>
        </is>
      </c>
      <c r="G248" t="inlineStr">
        <is>
          <t>NORDANSTIG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46260</v>
      </c>
      <c r="F249" t="inlineStr">
        <is>
          <t>GÄVLEBORGS LÄN</t>
        </is>
      </c>
      <c r="G249" t="inlineStr">
        <is>
          <t>NORDANSTIG</t>
        </is>
      </c>
      <c r="I249" t="n">
        <v>10.8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46260</v>
      </c>
      <c r="F250" t="inlineStr">
        <is>
          <t>GÄVLEBORGS LÄN</t>
        </is>
      </c>
      <c r="G250" t="inlineStr">
        <is>
          <t>NORDANSTIG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46260</v>
      </c>
      <c r="F251" t="inlineStr">
        <is>
          <t>GÄVLEBORGS LÄN</t>
        </is>
      </c>
      <c r="G251" t="inlineStr">
        <is>
          <t>NORDANSTIG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46260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46260</v>
      </c>
      <c r="F253" t="inlineStr">
        <is>
          <t>GÄVLEBORGS LÄN</t>
        </is>
      </c>
      <c r="G253" t="inlineStr">
        <is>
          <t>NORDANSTIG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46260</v>
      </c>
      <c r="F254" t="inlineStr">
        <is>
          <t>GÄVLEBORGS LÄN</t>
        </is>
      </c>
      <c r="G254" t="inlineStr">
        <is>
          <t>NORDANSTIG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46260</v>
      </c>
      <c r="F255" t="inlineStr">
        <is>
          <t>GÄVLEBORGS LÄN</t>
        </is>
      </c>
      <c r="G255" t="inlineStr">
        <is>
          <t>NORDANSTIG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46260</v>
      </c>
      <c r="F256" t="inlineStr">
        <is>
          <t>GÄVLEBORGS LÄN</t>
        </is>
      </c>
      <c r="G256" t="inlineStr">
        <is>
          <t>NORDANSTIG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46260</v>
      </c>
      <c r="F257" t="inlineStr">
        <is>
          <t>GÄVLEBORGS LÄN</t>
        </is>
      </c>
      <c r="G257" t="inlineStr">
        <is>
          <t>NORDANSTIG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46260</v>
      </c>
      <c r="F258" t="inlineStr">
        <is>
          <t>GÄVLEBORGS LÄN</t>
        </is>
      </c>
      <c r="G258" t="inlineStr">
        <is>
          <t>NORDANSTIG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46260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46260</v>
      </c>
      <c r="F260" t="inlineStr">
        <is>
          <t>GÄVLEBORGS LÄN</t>
        </is>
      </c>
      <c r="G260" t="inlineStr">
        <is>
          <t>NORDANSTIG</t>
        </is>
      </c>
      <c r="I260" t="n">
        <v>15.3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46260</v>
      </c>
      <c r="F261" t="inlineStr">
        <is>
          <t>GÄVLEBORGS LÄN</t>
        </is>
      </c>
      <c r="G261" t="inlineStr">
        <is>
          <t>NORDANSTIG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46260</v>
      </c>
      <c r="F262" t="inlineStr">
        <is>
          <t>GÄVLEBORGS LÄN</t>
        </is>
      </c>
      <c r="G262" t="inlineStr">
        <is>
          <t>NORDANSTIG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46260</v>
      </c>
      <c r="F263" t="inlineStr">
        <is>
          <t>GÄVLEBORGS LÄN</t>
        </is>
      </c>
      <c r="G263" t="inlineStr">
        <is>
          <t>NORDANSTIG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46260</v>
      </c>
      <c r="F264" t="inlineStr">
        <is>
          <t>GÄVLEBORGS LÄN</t>
        </is>
      </c>
      <c r="G264" t="inlineStr">
        <is>
          <t>NORDANSTIG</t>
        </is>
      </c>
      <c r="I264" t="n">
        <v>15.3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46260</v>
      </c>
      <c r="F265" t="inlineStr">
        <is>
          <t>GÄVLEBORGS LÄN</t>
        </is>
      </c>
      <c r="G265" t="inlineStr">
        <is>
          <t>NORDANSTIG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46260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46260</v>
      </c>
      <c r="F267" t="inlineStr">
        <is>
          <t>GÄVLEBORGS LÄN</t>
        </is>
      </c>
      <c r="G267" t="inlineStr">
        <is>
          <t>NORDANSTIG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45663</v>
      </c>
      <c r="E268" s="1" t="n">
        <v>46260</v>
      </c>
      <c r="F268" t="inlineStr">
        <is>
          <t>GÄVLEBORGS LÄN</t>
        </is>
      </c>
      <c r="G268" t="inlineStr">
        <is>
          <t>NORDANSTIG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46260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27804-2025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46260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46260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71442-2021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44540</v>
      </c>
      <c r="E272" s="1" t="n">
        <v>46260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46260</v>
      </c>
      <c r="F273" t="inlineStr">
        <is>
          <t>GÄVLEBORGS LÄN</t>
        </is>
      </c>
      <c r="G273" t="inlineStr">
        <is>
          <t>NORDANSTIG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46260</v>
      </c>
      <c r="F274" t="inlineStr">
        <is>
          <t>GÄVLEBORGS LÄN</t>
        </is>
      </c>
      <c r="G274" t="inlineStr">
        <is>
          <t>NORDANSTIG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46260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45637</v>
      </c>
      <c r="E276" s="1" t="n">
        <v>46260</v>
      </c>
      <c r="F276" t="inlineStr">
        <is>
          <t>GÄVLEBORGS LÄN</t>
        </is>
      </c>
      <c r="G276" t="inlineStr">
        <is>
          <t>NORDANSTIG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45670</v>
      </c>
      <c r="E277" s="1" t="n">
        <v>46260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46260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46260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46260</v>
      </c>
      <c r="F280" t="inlineStr">
        <is>
          <t>GÄVLEBORGS LÄN</t>
        </is>
      </c>
      <c r="G280" t="inlineStr">
        <is>
          <t>NORDANSTIG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46260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46260</v>
      </c>
      <c r="F282" t="inlineStr">
        <is>
          <t>GÄVLEBORGS LÄN</t>
        </is>
      </c>
      <c r="G282" t="inlineStr">
        <is>
          <t>NORDANSTIG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46260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23.8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46260</v>
      </c>
      <c r="F284" t="inlineStr">
        <is>
          <t>GÄVLEBORGS LÄN</t>
        </is>
      </c>
      <c r="G284" t="inlineStr">
        <is>
          <t>NORDANSTIG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46260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45890</v>
      </c>
      <c r="E286" s="1" t="n">
        <v>46260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46260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46051</v>
      </c>
      <c r="E288" s="1" t="n">
        <v>46260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46260</v>
      </c>
      <c r="F289" t="inlineStr">
        <is>
          <t>GÄVLEBORGS LÄN</t>
        </is>
      </c>
      <c r="G289" t="inlineStr">
        <is>
          <t>NORDANSTIG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46053</v>
      </c>
      <c r="E290" s="1" t="n">
        <v>46260</v>
      </c>
      <c r="F290" t="inlineStr">
        <is>
          <t>GÄVLEBORGS LÄN</t>
        </is>
      </c>
      <c r="G290" t="inlineStr">
        <is>
          <t>NORDANSTIG</t>
        </is>
      </c>
      <c r="I290" t="n">
        <v>45.3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46260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46260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46260</v>
      </c>
      <c r="F293" t="inlineStr">
        <is>
          <t>GÄVLEBORGS LÄN</t>
        </is>
      </c>
      <c r="G293" t="inlineStr">
        <is>
          <t>NORDANSTIG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46260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46260</v>
      </c>
      <c r="F295" t="inlineStr">
        <is>
          <t>GÄVLEBORGS LÄN</t>
        </is>
      </c>
      <c r="G295" t="inlineStr">
        <is>
          <t>NORDANSTIG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46053</v>
      </c>
      <c r="E296" s="1" t="n">
        <v>46260</v>
      </c>
      <c r="F296" t="inlineStr">
        <is>
          <t>GÄVLEBORGS LÄN</t>
        </is>
      </c>
      <c r="G296" t="inlineStr">
        <is>
          <t>NORDANSTIG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46260</v>
      </c>
      <c r="F297" t="inlineStr">
        <is>
          <t>GÄVLEBORGS LÄN</t>
        </is>
      </c>
      <c r="G297" t="inlineStr">
        <is>
          <t>NORDANSTIG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46260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45896</v>
      </c>
      <c r="E299" s="1" t="n">
        <v>46260</v>
      </c>
      <c r="F299" t="inlineStr">
        <is>
          <t>GÄVLEBORGS LÄN</t>
        </is>
      </c>
      <c r="G299" t="inlineStr">
        <is>
          <t>NORDANSTIG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46260</v>
      </c>
      <c r="F300" t="inlineStr">
        <is>
          <t>GÄVLEBORGS LÄN</t>
        </is>
      </c>
      <c r="G300" t="inlineStr">
        <is>
          <t>NORDANSTIG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45861</v>
      </c>
      <c r="E301" s="1" t="n">
        <v>46260</v>
      </c>
      <c r="F301" t="inlineStr">
        <is>
          <t>GÄVLEBORGS LÄN</t>
        </is>
      </c>
      <c r="G301" t="inlineStr">
        <is>
          <t>NORDANSTIG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46260</v>
      </c>
      <c r="F302" t="inlineStr">
        <is>
          <t>GÄVLEBORGS LÄN</t>
        </is>
      </c>
      <c r="G302" t="inlineStr">
        <is>
          <t>NORDANSTIG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46260</v>
      </c>
      <c r="F303" t="inlineStr">
        <is>
          <t>GÄVLEBORGS LÄN</t>
        </is>
      </c>
      <c r="G303" t="inlineStr">
        <is>
          <t>NORDANSTIG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46057</v>
      </c>
      <c r="E304" s="1" t="n">
        <v>46260</v>
      </c>
      <c r="F304" t="inlineStr">
        <is>
          <t>GÄVLEBORGS LÄN</t>
        </is>
      </c>
      <c r="G304" t="inlineStr">
        <is>
          <t>NORDANSTIG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46260</v>
      </c>
      <c r="F305" t="inlineStr">
        <is>
          <t>GÄVLEBORGS LÄN</t>
        </is>
      </c>
      <c r="G305" t="inlineStr">
        <is>
          <t>NORDANSTIG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46260</v>
      </c>
      <c r="F306" t="inlineStr">
        <is>
          <t>GÄVLEBORGS LÄN</t>
        </is>
      </c>
      <c r="G306" t="inlineStr">
        <is>
          <t>NORDANSTIG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46260</v>
      </c>
      <c r="F307" t="inlineStr">
        <is>
          <t>GÄVLEBORGS LÄN</t>
        </is>
      </c>
      <c r="G307" t="inlineStr">
        <is>
          <t>NORDANSTIG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46260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46260</v>
      </c>
      <c r="F309" t="inlineStr">
        <is>
          <t>GÄVLEBORGS LÄN</t>
        </is>
      </c>
      <c r="G309" t="inlineStr">
        <is>
          <t>NORDANSTIG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46260</v>
      </c>
      <c r="F310" t="inlineStr">
        <is>
          <t>GÄVLEBORGS LÄN</t>
        </is>
      </c>
      <c r="G310" t="inlineStr">
        <is>
          <t>NORDANSTIG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45297</v>
      </c>
      <c r="E311" s="1" t="n">
        <v>46260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11113-2026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46079</v>
      </c>
      <c r="E312" s="1" t="n">
        <v>46260</v>
      </c>
      <c r="F312" t="inlineStr">
        <is>
          <t>GÄVLEBORGS LÄN</t>
        </is>
      </c>
      <c r="G312" t="inlineStr">
        <is>
          <t>NORDANSTIG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46260</v>
      </c>
      <c r="F313" t="inlineStr">
        <is>
          <t>GÄVLEBORGS LÄN</t>
        </is>
      </c>
      <c r="G313" t="inlineStr">
        <is>
          <t>NORDANSTIG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45903</v>
      </c>
      <c r="E314" s="1" t="n">
        <v>46260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46260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46260</v>
      </c>
      <c r="F316" t="inlineStr">
        <is>
          <t>GÄVLEBORGS LÄN</t>
        </is>
      </c>
      <c r="G316" t="inlineStr">
        <is>
          <t>NORDANSTIG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46260</v>
      </c>
      <c r="F317" t="inlineStr">
        <is>
          <t>GÄVLEBORGS LÄN</t>
        </is>
      </c>
      <c r="G317" t="inlineStr">
        <is>
          <t>NORDANSTIG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46260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74460-2021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44560</v>
      </c>
      <c r="E319" s="1" t="n">
        <v>46260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46260</v>
      </c>
      <c r="F320" t="inlineStr">
        <is>
          <t>GÄVLEBORGS LÄN</t>
        </is>
      </c>
      <c r="G320" t="inlineStr">
        <is>
          <t>NORDANSTIG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46260</v>
      </c>
      <c r="F321" t="inlineStr">
        <is>
          <t>GÄVLEBORGS LÄN</t>
        </is>
      </c>
      <c r="G321" t="inlineStr">
        <is>
          <t>NORDANSTIG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7944-2026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46063</v>
      </c>
      <c r="E322" s="1" t="n">
        <v>46260</v>
      </c>
      <c r="F322" t="inlineStr">
        <is>
          <t>GÄVLEBORGS LÄN</t>
        </is>
      </c>
      <c r="G322" t="inlineStr">
        <is>
          <t>NORDANSTIG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46260</v>
      </c>
      <c r="F323" t="inlineStr">
        <is>
          <t>GÄVLEBORGS LÄN</t>
        </is>
      </c>
      <c r="G323" t="inlineStr">
        <is>
          <t>NORDANSTIG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46260</v>
      </c>
      <c r="F324" t="inlineStr">
        <is>
          <t>GÄVLEBORGS LÄN</t>
        </is>
      </c>
      <c r="G324" t="inlineStr">
        <is>
          <t>NORDANSTIG</t>
        </is>
      </c>
      <c r="I324" t="n">
        <v>13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55948-2024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45623</v>
      </c>
      <c r="E325" s="1" t="n">
        <v>46260</v>
      </c>
      <c r="F325" t="inlineStr">
        <is>
          <t>GÄVLEBORGS LÄN</t>
        </is>
      </c>
      <c r="G325" t="inlineStr">
        <is>
          <t>NORDANSTIG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46260</v>
      </c>
      <c r="F326" t="inlineStr">
        <is>
          <t>GÄVLEBORGS LÄN</t>
        </is>
      </c>
      <c r="G326" t="inlineStr">
        <is>
          <t>NORDANSTIG</t>
        </is>
      </c>
      <c r="I326" t="n">
        <v>10.5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46260</v>
      </c>
      <c r="F327" t="inlineStr">
        <is>
          <t>GÄVLEBORGS LÄN</t>
        </is>
      </c>
      <c r="G327" t="inlineStr">
        <is>
          <t>NORDANSTIG</t>
        </is>
      </c>
      <c r="I327" t="n">
        <v>38.1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46260</v>
      </c>
      <c r="F328" t="inlineStr">
        <is>
          <t>GÄVLEBORGS LÄN</t>
        </is>
      </c>
      <c r="G328" t="inlineStr">
        <is>
          <t>NORDANSTIG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46260</v>
      </c>
      <c r="F329" t="inlineStr">
        <is>
          <t>GÄVLEBORGS LÄN</t>
        </is>
      </c>
      <c r="G329" t="inlineStr">
        <is>
          <t>NORDANSTIG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46260</v>
      </c>
      <c r="F330" t="inlineStr">
        <is>
          <t>GÄVLEBORGS LÄN</t>
        </is>
      </c>
      <c r="G330" t="inlineStr">
        <is>
          <t>NORDANSTIG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45904</v>
      </c>
      <c r="E331" s="1" t="n">
        <v>46260</v>
      </c>
      <c r="F331" t="inlineStr">
        <is>
          <t>GÄVLEBORGS LÄN</t>
        </is>
      </c>
      <c r="G331" t="inlineStr">
        <is>
          <t>NORDANSTIG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46260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46260</v>
      </c>
      <c r="F333" t="inlineStr">
        <is>
          <t>GÄVLEBORGS LÄN</t>
        </is>
      </c>
      <c r="G333" t="inlineStr">
        <is>
          <t>NORDANSTIG</t>
        </is>
      </c>
      <c r="I333" t="n">
        <v>19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45904</v>
      </c>
      <c r="E334" s="1" t="n">
        <v>46260</v>
      </c>
      <c r="F334" t="inlineStr">
        <is>
          <t>GÄVLEBORGS LÄN</t>
        </is>
      </c>
      <c r="G334" t="inlineStr">
        <is>
          <t>NORDANSTIG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45196</v>
      </c>
      <c r="E335" s="1" t="n">
        <v>46260</v>
      </c>
      <c r="F335" t="inlineStr">
        <is>
          <t>GÄVLEBORGS LÄN</t>
        </is>
      </c>
      <c r="G335" t="inlineStr">
        <is>
          <t>NORDANSTIG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46260</v>
      </c>
      <c r="F336" t="inlineStr">
        <is>
          <t>GÄVLEBORGS LÄN</t>
        </is>
      </c>
      <c r="G336" t="inlineStr">
        <is>
          <t>NORDANSTIG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45419</v>
      </c>
      <c r="E337" s="1" t="n">
        <v>46260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46260</v>
      </c>
      <c r="F338" t="inlineStr">
        <is>
          <t>GÄVLEBORGS LÄN</t>
        </is>
      </c>
      <c r="G338" t="inlineStr">
        <is>
          <t>NORDANSTIG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46260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46260</v>
      </c>
      <c r="F340" t="inlineStr">
        <is>
          <t>GÄVLEBORGS LÄN</t>
        </is>
      </c>
      <c r="G340" t="inlineStr">
        <is>
          <t>NORDANSTIG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46260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46260</v>
      </c>
      <c r="F342" t="inlineStr">
        <is>
          <t>GÄVLEBORGS LÄN</t>
        </is>
      </c>
      <c r="G342" t="inlineStr">
        <is>
          <t>NORDANSTIG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46260</v>
      </c>
      <c r="F343" t="inlineStr">
        <is>
          <t>GÄVLEBORGS LÄN</t>
        </is>
      </c>
      <c r="G343" t="inlineStr">
        <is>
          <t>NORDANSTIG</t>
        </is>
      </c>
      <c r="H343" t="inlineStr">
        <is>
          <t>Naturvårdsverket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46260</v>
      </c>
      <c r="F344" t="inlineStr">
        <is>
          <t>GÄVLEBORGS LÄN</t>
        </is>
      </c>
      <c r="G344" t="inlineStr">
        <is>
          <t>NORDANSTIG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46260</v>
      </c>
      <c r="F345" t="inlineStr">
        <is>
          <t>GÄVLEBORGS LÄN</t>
        </is>
      </c>
      <c r="G345" t="inlineStr">
        <is>
          <t>NORDANSTIG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46260</v>
      </c>
      <c r="F346" t="inlineStr">
        <is>
          <t>GÄVLEBORGS LÄN</t>
        </is>
      </c>
      <c r="G346" t="inlineStr">
        <is>
          <t>NORDANSTIG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46260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46260</v>
      </c>
      <c r="F348" t="inlineStr">
        <is>
          <t>GÄVLEBORGS LÄN</t>
        </is>
      </c>
      <c r="G348" t="inlineStr">
        <is>
          <t>NORDANSTIG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9500-2026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46260</v>
      </c>
      <c r="F349" t="inlineStr">
        <is>
          <t>GÄVLEBORGS LÄN</t>
        </is>
      </c>
      <c r="G349" t="inlineStr">
        <is>
          <t>NORDANSTIG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59930-2024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45642</v>
      </c>
      <c r="E350" s="1" t="n">
        <v>46260</v>
      </c>
      <c r="F350" t="inlineStr">
        <is>
          <t>GÄVLEBORGS LÄN</t>
        </is>
      </c>
      <c r="G350" t="inlineStr">
        <is>
          <t>NORDANSTIG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46260</v>
      </c>
      <c r="F351" t="inlineStr">
        <is>
          <t>GÄVLEBORGS LÄN</t>
        </is>
      </c>
      <c r="G351" t="inlineStr">
        <is>
          <t>NORDANSTIG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46070</v>
      </c>
      <c r="E352" s="1" t="n">
        <v>46260</v>
      </c>
      <c r="F352" t="inlineStr">
        <is>
          <t>GÄVLEBORGS LÄN</t>
        </is>
      </c>
      <c r="G352" t="inlineStr">
        <is>
          <t>NORDANSTIG</t>
        </is>
      </c>
      <c r="I352" t="n">
        <v>15.6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32350-2022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44781</v>
      </c>
      <c r="E353" s="1" t="n">
        <v>46260</v>
      </c>
      <c r="F353" t="inlineStr">
        <is>
          <t>GÄVLEBORGS LÄN</t>
        </is>
      </c>
      <c r="G353" t="inlineStr">
        <is>
          <t>NORDANSTIG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46260</v>
      </c>
      <c r="F354" t="inlineStr">
        <is>
          <t>GÄVLEBORGS LÄN</t>
        </is>
      </c>
      <c r="G354" t="inlineStr">
        <is>
          <t>NORDANSTIG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45236</v>
      </c>
      <c r="E355" s="1" t="n">
        <v>46260</v>
      </c>
      <c r="F355" t="inlineStr">
        <is>
          <t>GÄVLEBORGS LÄN</t>
        </is>
      </c>
      <c r="G355" t="inlineStr">
        <is>
          <t>NORDANSTIG</t>
        </is>
      </c>
      <c r="H355" t="inlineStr">
        <is>
          <t>SCA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46260</v>
      </c>
      <c r="F356" t="inlineStr">
        <is>
          <t>GÄVLEBORGS LÄN</t>
        </is>
      </c>
      <c r="G356" t="inlineStr">
        <is>
          <t>NORDANSTIG</t>
        </is>
      </c>
      <c r="I356" t="n">
        <v>12.2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46260</v>
      </c>
      <c r="F357" t="inlineStr">
        <is>
          <t>GÄVLEBORGS LÄN</t>
        </is>
      </c>
      <c r="G357" t="inlineStr">
        <is>
          <t>NORDANSTIG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43507-2025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45911</v>
      </c>
      <c r="E358" s="1" t="n">
        <v>46260</v>
      </c>
      <c r="F358" t="inlineStr">
        <is>
          <t>GÄVLEBORGS LÄN</t>
        </is>
      </c>
      <c r="G358" t="inlineStr">
        <is>
          <t>NORDANSTIG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46260</v>
      </c>
      <c r="F359" t="inlineStr">
        <is>
          <t>GÄVLEBORGS LÄN</t>
        </is>
      </c>
      <c r="G359" t="inlineStr">
        <is>
          <t>NORDANSTIG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46260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44907</v>
      </c>
      <c r="E361" s="1" t="n">
        <v>46260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46260</v>
      </c>
      <c r="F362" t="inlineStr">
        <is>
          <t>GÄVLEBORGS LÄN</t>
        </is>
      </c>
      <c r="G362" t="inlineStr">
        <is>
          <t>NORDANSTIG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46260</v>
      </c>
      <c r="F363" t="inlineStr">
        <is>
          <t>GÄVLEBORGS LÄN</t>
        </is>
      </c>
      <c r="G363" t="inlineStr">
        <is>
          <t>NORDANSTIG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46260</v>
      </c>
      <c r="F364" t="inlineStr">
        <is>
          <t>GÄVLEBORGS LÄN</t>
        </is>
      </c>
      <c r="G364" t="inlineStr">
        <is>
          <t>NORDANSTIG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46260</v>
      </c>
      <c r="F365" t="inlineStr">
        <is>
          <t>GÄVLEBORGS LÄN</t>
        </is>
      </c>
      <c r="G365" t="inlineStr">
        <is>
          <t>NORDANSTIG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46260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46073</v>
      </c>
      <c r="E367" s="1" t="n">
        <v>46260</v>
      </c>
      <c r="F367" t="inlineStr">
        <is>
          <t>GÄVLEBORGS LÄN</t>
        </is>
      </c>
      <c r="G367" t="inlineStr">
        <is>
          <t>NORDANSTIG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46260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46260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35931-2023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45148</v>
      </c>
      <c r="E370" s="1" t="n">
        <v>46260</v>
      </c>
      <c r="F370" t="inlineStr">
        <is>
          <t>GÄVLEBORGS LÄN</t>
        </is>
      </c>
      <c r="G370" t="inlineStr">
        <is>
          <t>NORDANSTIG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46260</v>
      </c>
      <c r="F371" t="inlineStr">
        <is>
          <t>GÄVLEBORGS LÄN</t>
        </is>
      </c>
      <c r="G371" t="inlineStr">
        <is>
          <t>NORDANSTIG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46260</v>
      </c>
      <c r="F372" t="inlineStr">
        <is>
          <t>GÄVLEBORGS LÄN</t>
        </is>
      </c>
      <c r="G372" t="inlineStr">
        <is>
          <t>NORDANSTIG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46260</v>
      </c>
      <c r="F373" t="inlineStr">
        <is>
          <t>GÄVLEBORGS LÄN</t>
        </is>
      </c>
      <c r="G373" t="inlineStr">
        <is>
          <t>NORDANSTIG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46260</v>
      </c>
      <c r="F374" t="inlineStr">
        <is>
          <t>GÄVLEBORGS LÄN</t>
        </is>
      </c>
      <c r="G374" t="inlineStr">
        <is>
          <t>NORDANSTIG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46260</v>
      </c>
      <c r="F375" t="inlineStr">
        <is>
          <t>GÄVLEBORGS LÄN</t>
        </is>
      </c>
      <c r="G375" t="inlineStr">
        <is>
          <t>NORDANSTIG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44599-2025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46260</v>
      </c>
      <c r="F376" t="inlineStr">
        <is>
          <t>GÄVLEBORGS LÄN</t>
        </is>
      </c>
      <c r="G376" t="inlineStr">
        <is>
          <t>NORDANSTIG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46078</v>
      </c>
      <c r="E377" s="1" t="n">
        <v>46260</v>
      </c>
      <c r="F377" t="inlineStr">
        <is>
          <t>GÄVLEBORGS LÄN</t>
        </is>
      </c>
      <c r="G377" t="inlineStr">
        <is>
          <t>NORDANSTIG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7916-2022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44608</v>
      </c>
      <c r="E378" s="1" t="n">
        <v>46260</v>
      </c>
      <c r="F378" t="inlineStr">
        <is>
          <t>GÄVLEBORGS LÄN</t>
        </is>
      </c>
      <c r="G378" t="inlineStr">
        <is>
          <t>NORDANSTIG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46260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46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44603-2025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46260</v>
      </c>
      <c r="F380" t="inlineStr">
        <is>
          <t>GÄVLEBORGS LÄN</t>
        </is>
      </c>
      <c r="G380" t="inlineStr">
        <is>
          <t>NORDANSTIG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46260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46260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46260</v>
      </c>
      <c r="F383" t="inlineStr">
        <is>
          <t>GÄVLEBORGS LÄN</t>
        </is>
      </c>
      <c r="G383" t="inlineStr">
        <is>
          <t>NORDANSTIG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46260</v>
      </c>
      <c r="F384" t="inlineStr">
        <is>
          <t>GÄVLEBORGS LÄN</t>
        </is>
      </c>
      <c r="G384" t="inlineStr">
        <is>
          <t>NORDANSTIG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46260</v>
      </c>
      <c r="F385" t="inlineStr">
        <is>
          <t>GÄVLEBORGS LÄN</t>
        </is>
      </c>
      <c r="G385" t="inlineStr">
        <is>
          <t>NORDANSTIG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46080</v>
      </c>
      <c r="E386" s="1" t="n">
        <v>46260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44811</v>
      </c>
      <c r="E387" s="1" t="n">
        <v>46260</v>
      </c>
      <c r="F387" t="inlineStr">
        <is>
          <t>GÄVLEBORGS LÄN</t>
        </is>
      </c>
      <c r="G387" t="inlineStr">
        <is>
          <t>NORDANSTIG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45918</v>
      </c>
      <c r="E388" s="1" t="n">
        <v>46260</v>
      </c>
      <c r="F388" t="inlineStr">
        <is>
          <t>GÄVLEBORGS LÄN</t>
        </is>
      </c>
      <c r="G388" t="inlineStr">
        <is>
          <t>NORDANSTIG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44978-2025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45918</v>
      </c>
      <c r="E389" s="1" t="n">
        <v>46260</v>
      </c>
      <c r="F389" t="inlineStr">
        <is>
          <t>GÄVLEBORGS LÄN</t>
        </is>
      </c>
      <c r="G389" t="inlineStr">
        <is>
          <t>NORDANSTIG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44983-2025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45918</v>
      </c>
      <c r="E390" s="1" t="n">
        <v>46260</v>
      </c>
      <c r="F390" t="inlineStr">
        <is>
          <t>GÄVLEBORGS LÄN</t>
        </is>
      </c>
      <c r="G390" t="inlineStr">
        <is>
          <t>NORDANSTIG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46260</v>
      </c>
      <c r="F391" t="inlineStr">
        <is>
          <t>GÄVLEBORGS LÄN</t>
        </is>
      </c>
      <c r="G391" t="inlineStr">
        <is>
          <t>NORDANSTIG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37686-2024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46260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45902-2025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45923</v>
      </c>
      <c r="E393" s="1" t="n">
        <v>46260</v>
      </c>
      <c r="F393" t="inlineStr">
        <is>
          <t>GÄVLEBORGS LÄN</t>
        </is>
      </c>
      <c r="G393" t="inlineStr">
        <is>
          <t>NORDANSTIG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45131</v>
      </c>
      <c r="E394" s="1" t="n">
        <v>46260</v>
      </c>
      <c r="F394" t="inlineStr">
        <is>
          <t>GÄVLEBORGS LÄN</t>
        </is>
      </c>
      <c r="G394" t="inlineStr">
        <is>
          <t>NORDANSTIG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46260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46260</v>
      </c>
      <c r="F396" t="inlineStr">
        <is>
          <t>GÄVLEBORGS LÄN</t>
        </is>
      </c>
      <c r="G396" t="inlineStr">
        <is>
          <t>NORDANSTIG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46260</v>
      </c>
      <c r="F397" t="inlineStr">
        <is>
          <t>GÄVLEBORGS LÄN</t>
        </is>
      </c>
      <c r="G397" t="inlineStr">
        <is>
          <t>NORDANSTIG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46260</v>
      </c>
      <c r="F398" t="inlineStr">
        <is>
          <t>GÄVLEBORGS LÄN</t>
        </is>
      </c>
      <c r="G398" t="inlineStr">
        <is>
          <t>NORDANSTIG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46260</v>
      </c>
      <c r="F399" t="inlineStr">
        <is>
          <t>GÄVLEBORGS LÄN</t>
        </is>
      </c>
      <c r="G399" t="inlineStr">
        <is>
          <t>NORDANSTIG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46260</v>
      </c>
      <c r="F400" t="inlineStr">
        <is>
          <t>GÄVLEBORGS LÄN</t>
        </is>
      </c>
      <c r="G400" t="inlineStr">
        <is>
          <t>NORDANSTIG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46260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45271</v>
      </c>
      <c r="E402" s="1" t="n">
        <v>46260</v>
      </c>
      <c r="F402" t="inlineStr">
        <is>
          <t>GÄVLEBORGS LÄN</t>
        </is>
      </c>
      <c r="G402" t="inlineStr">
        <is>
          <t>NORDANSTIG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46086</v>
      </c>
      <c r="E403" s="1" t="n">
        <v>46260</v>
      </c>
      <c r="F403" t="inlineStr">
        <is>
          <t>GÄVLEBORGS LÄN</t>
        </is>
      </c>
      <c r="G403" t="inlineStr">
        <is>
          <t>NORDANSTIG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46260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46260</v>
      </c>
      <c r="F405" t="inlineStr">
        <is>
          <t>GÄVLEBORGS LÄN</t>
        </is>
      </c>
      <c r="G405" t="inlineStr">
        <is>
          <t>NORDANSTIG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46260</v>
      </c>
      <c r="F406" t="inlineStr">
        <is>
          <t>GÄVLEBORGS LÄN</t>
        </is>
      </c>
      <c r="G406" t="inlineStr">
        <is>
          <t>NORDANSTIG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12328-2026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46260</v>
      </c>
      <c r="F407" t="inlineStr">
        <is>
          <t>GÄVLEBORGS LÄN</t>
        </is>
      </c>
      <c r="G407" t="inlineStr">
        <is>
          <t>NORDANSTIG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12334-2026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46087</v>
      </c>
      <c r="E408" s="1" t="n">
        <v>46260</v>
      </c>
      <c r="F408" t="inlineStr">
        <is>
          <t>GÄVLEBORGS LÄN</t>
        </is>
      </c>
      <c r="G408" t="inlineStr">
        <is>
          <t>NORDANSTIG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46260</v>
      </c>
      <c r="F409" t="inlineStr">
        <is>
          <t>GÄVLEBORGS LÄN</t>
        </is>
      </c>
      <c r="G409" t="inlineStr">
        <is>
          <t>NORDANSTIG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46260</v>
      </c>
      <c r="F410" t="inlineStr">
        <is>
          <t>GÄVLEBORGS LÄN</t>
        </is>
      </c>
      <c r="G410" t="inlineStr">
        <is>
          <t>NORDANSTIG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46260</v>
      </c>
      <c r="F411" t="inlineStr">
        <is>
          <t>GÄVLEBORGS LÄN</t>
        </is>
      </c>
      <c r="G411" t="inlineStr">
        <is>
          <t>NORDANSTIG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46260</v>
      </c>
      <c r="F412" t="inlineStr">
        <is>
          <t>GÄVLEBORGS LÄN</t>
        </is>
      </c>
      <c r="G412" t="inlineStr">
        <is>
          <t>NORDANSTIG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30940-2022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44768</v>
      </c>
      <c r="E413" s="1" t="n">
        <v>46260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12956-2026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46092</v>
      </c>
      <c r="E414" s="1" t="n">
        <v>46260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46260</v>
      </c>
      <c r="F415" t="inlineStr">
        <is>
          <t>GÄVLEBORGS LÄN</t>
        </is>
      </c>
      <c r="G415" t="inlineStr">
        <is>
          <t>NORDANSTIG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45912</v>
      </c>
      <c r="E416" s="1" t="n">
        <v>46260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45545</v>
      </c>
      <c r="E417" s="1" t="n">
        <v>46260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45931</v>
      </c>
      <c r="E418" s="1" t="n">
        <v>46260</v>
      </c>
      <c r="F418" t="inlineStr">
        <is>
          <t>GÄVLEBORGS LÄN</t>
        </is>
      </c>
      <c r="G418" t="inlineStr">
        <is>
          <t>NORDANSTIG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46260</v>
      </c>
      <c r="F419" t="inlineStr">
        <is>
          <t>GÄVLEBORGS LÄN</t>
        </is>
      </c>
      <c r="G419" t="inlineStr">
        <is>
          <t>NORDANSTIG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46260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13822-2026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46260</v>
      </c>
      <c r="F421" t="inlineStr">
        <is>
          <t>GÄVLEBORGS LÄN</t>
        </is>
      </c>
      <c r="G421" t="inlineStr">
        <is>
          <t>NORDANSTIG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46260</v>
      </c>
      <c r="F422" t="inlineStr">
        <is>
          <t>GÄVLEBORGS LÄN</t>
        </is>
      </c>
      <c r="G422" t="inlineStr">
        <is>
          <t>NORDANSTIG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47790-2025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45931</v>
      </c>
      <c r="E423" s="1" t="n">
        <v>46260</v>
      </c>
      <c r="F423" t="inlineStr">
        <is>
          <t>GÄVLEBORGS LÄN</t>
        </is>
      </c>
      <c r="G423" t="inlineStr">
        <is>
          <t>NORDANSTIG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25724-2024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46260</v>
      </c>
      <c r="F424" t="inlineStr">
        <is>
          <t>GÄVLEBORGS LÄN</t>
        </is>
      </c>
      <c r="G424" t="inlineStr">
        <is>
          <t>NORDANSTIG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46260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46097</v>
      </c>
      <c r="E426" s="1" t="n">
        <v>46260</v>
      </c>
      <c r="F426" t="inlineStr">
        <is>
          <t>GÄVLEBORGS LÄN</t>
        </is>
      </c>
      <c r="G426" t="inlineStr">
        <is>
          <t>NORDANSTIG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46098</v>
      </c>
      <c r="E427" s="1" t="n">
        <v>46260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46260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9.199999999999999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45677</v>
      </c>
      <c r="E429" s="1" t="n">
        <v>46260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45936</v>
      </c>
      <c r="E430" s="1" t="n">
        <v>46260</v>
      </c>
      <c r="F430" t="inlineStr">
        <is>
          <t>GÄVLEBORGS LÄN</t>
        </is>
      </c>
      <c r="G430" t="inlineStr">
        <is>
          <t>NORDANSTIG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46260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46260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45936</v>
      </c>
      <c r="E433" s="1" t="n">
        <v>46260</v>
      </c>
      <c r="F433" t="inlineStr">
        <is>
          <t>GÄVLEBORGS LÄN</t>
        </is>
      </c>
      <c r="G433" t="inlineStr">
        <is>
          <t>NORDANSTIG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14244-2026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46260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48677-2025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45936</v>
      </c>
      <c r="E435" s="1" t="n">
        <v>46260</v>
      </c>
      <c r="F435" t="inlineStr">
        <is>
          <t>GÄVLEBORGS LÄN</t>
        </is>
      </c>
      <c r="G435" t="inlineStr">
        <is>
          <t>NORDANSTIG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45937</v>
      </c>
      <c r="E436" s="1" t="n">
        <v>46260</v>
      </c>
      <c r="F436" t="inlineStr">
        <is>
          <t>GÄVLEBORGS LÄN</t>
        </is>
      </c>
      <c r="G436" t="inlineStr">
        <is>
          <t>NORDANSTIG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49287-2025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46260</v>
      </c>
      <c r="F437" t="inlineStr">
        <is>
          <t>GÄVLEBORGS LÄN</t>
        </is>
      </c>
      <c r="G437" t="inlineStr">
        <is>
          <t>NORDANSTIG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46260</v>
      </c>
      <c r="F438" t="inlineStr">
        <is>
          <t>GÄVLEBORGS LÄN</t>
        </is>
      </c>
      <c r="G438" t="inlineStr">
        <is>
          <t>NORDANSTIG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49328-2025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45938</v>
      </c>
      <c r="E439" s="1" t="n">
        <v>46260</v>
      </c>
      <c r="F439" t="inlineStr">
        <is>
          <t>GÄVLEBORGS LÄN</t>
        </is>
      </c>
      <c r="G439" t="inlineStr">
        <is>
          <t>NORDANSTIG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46260</v>
      </c>
      <c r="F440" t="inlineStr">
        <is>
          <t>GÄVLEBORGS LÄN</t>
        </is>
      </c>
      <c r="G440" t="inlineStr">
        <is>
          <t>NORDANSTIG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45939</v>
      </c>
      <c r="E441" s="1" t="n">
        <v>46260</v>
      </c>
      <c r="F441" t="inlineStr">
        <is>
          <t>GÄVLEBORGS LÄN</t>
        </is>
      </c>
      <c r="G441" t="inlineStr">
        <is>
          <t>NORDANSTIG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49263-2025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45938</v>
      </c>
      <c r="E442" s="1" t="n">
        <v>46260</v>
      </c>
      <c r="F442" t="inlineStr">
        <is>
          <t>GÄVLEBORGS LÄN</t>
        </is>
      </c>
      <c r="G442" t="inlineStr">
        <is>
          <t>NORDANSTIG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49309-2025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46260</v>
      </c>
      <c r="F443" t="inlineStr">
        <is>
          <t>GÄVLEBORGS LÄN</t>
        </is>
      </c>
      <c r="G443" t="inlineStr">
        <is>
          <t>NORDANSTIG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46260</v>
      </c>
      <c r="F444" t="inlineStr">
        <is>
          <t>GÄVLEBORGS LÄN</t>
        </is>
      </c>
      <c r="G444" t="inlineStr">
        <is>
          <t>NORDANSTIG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46260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46260</v>
      </c>
      <c r="F446" t="inlineStr">
        <is>
          <t>GÄVLEBORGS LÄN</t>
        </is>
      </c>
      <c r="G446" t="inlineStr">
        <is>
          <t>NORDANSTIG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45646</v>
      </c>
      <c r="E447" s="1" t="n">
        <v>46260</v>
      </c>
      <c r="F447" t="inlineStr">
        <is>
          <t>GÄVLEBORGS LÄN</t>
        </is>
      </c>
      <c r="G447" t="inlineStr">
        <is>
          <t>NORDANSTIG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49595-2025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45939</v>
      </c>
      <c r="E448" s="1" t="n">
        <v>46260</v>
      </c>
      <c r="F448" t="inlineStr">
        <is>
          <t>GÄVLEBORGS LÄN</t>
        </is>
      </c>
      <c r="G448" t="inlineStr">
        <is>
          <t>NORDANSTIG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46104</v>
      </c>
      <c r="E449" s="1" t="n">
        <v>46260</v>
      </c>
      <c r="F449" t="inlineStr">
        <is>
          <t>GÄVLEBORGS LÄN</t>
        </is>
      </c>
      <c r="G449" t="inlineStr">
        <is>
          <t>NORDANSTIG</t>
        </is>
      </c>
      <c r="I449" t="n">
        <v>8.4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15010-2026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46104</v>
      </c>
      <c r="E450" s="1" t="n">
        <v>46260</v>
      </c>
      <c r="F450" t="inlineStr">
        <is>
          <t>GÄVLEBORGS LÄN</t>
        </is>
      </c>
      <c r="G450" t="inlineStr">
        <is>
          <t>NORDANSTIG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45938</v>
      </c>
      <c r="E451" s="1" t="n">
        <v>46260</v>
      </c>
      <c r="F451" t="inlineStr">
        <is>
          <t>GÄVLEBORGS LÄN</t>
        </is>
      </c>
      <c r="G451" t="inlineStr">
        <is>
          <t>NORDANSTIG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48832-2025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46260</v>
      </c>
      <c r="F452" t="inlineStr">
        <is>
          <t>GÄVLEBORGS LÄN</t>
        </is>
      </c>
      <c r="G452" t="inlineStr">
        <is>
          <t>NORDANSTIG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45939</v>
      </c>
      <c r="E453" s="1" t="n">
        <v>46260</v>
      </c>
      <c r="F453" t="inlineStr">
        <is>
          <t>GÄVLEBORGS LÄN</t>
        </is>
      </c>
      <c r="G453" t="inlineStr">
        <is>
          <t>NORDANSTIG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46125</v>
      </c>
      <c r="E454" s="1" t="n">
        <v>46260</v>
      </c>
      <c r="F454" t="inlineStr">
        <is>
          <t>GÄVLEBORGS LÄN</t>
        </is>
      </c>
      <c r="G454" t="inlineStr">
        <is>
          <t>NORDANSTIG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45939</v>
      </c>
      <c r="E455" s="1" t="n">
        <v>46260</v>
      </c>
      <c r="F455" t="inlineStr">
        <is>
          <t>GÄVLEBORGS LÄN</t>
        </is>
      </c>
      <c r="G455" t="inlineStr">
        <is>
          <t>NORDANSTIG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49334-2025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45938</v>
      </c>
      <c r="E456" s="1" t="n">
        <v>46260</v>
      </c>
      <c r="F456" t="inlineStr">
        <is>
          <t>GÄVLEBORGS LÄN</t>
        </is>
      </c>
      <c r="G456" t="inlineStr">
        <is>
          <t>NORDANSTIG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46260</v>
      </c>
      <c r="F457" t="inlineStr">
        <is>
          <t>GÄVLEBORGS LÄN</t>
        </is>
      </c>
      <c r="G457" t="inlineStr">
        <is>
          <t>NORDANSTIG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15973-2022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44664</v>
      </c>
      <c r="E458" s="1" t="n">
        <v>46260</v>
      </c>
      <c r="F458" t="inlineStr">
        <is>
          <t>GÄVLEBORGS LÄN</t>
        </is>
      </c>
      <c r="G458" t="inlineStr">
        <is>
          <t>NORDANSTIG</t>
        </is>
      </c>
      <c r="H458" t="inlineStr">
        <is>
          <t>SCA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41701-2023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45176</v>
      </c>
      <c r="E459" s="1" t="n">
        <v>46260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46260</v>
      </c>
      <c r="F460" t="inlineStr">
        <is>
          <t>GÄVLEBORGS LÄN</t>
        </is>
      </c>
      <c r="G460" t="inlineStr">
        <is>
          <t>NORDANSTIG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46260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46107</v>
      </c>
      <c r="E462" s="1" t="n">
        <v>46260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30022-2025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45826</v>
      </c>
      <c r="E463" s="1" t="n">
        <v>46260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46260</v>
      </c>
      <c r="F464" t="inlineStr">
        <is>
          <t>GÄVLEBORGS LÄN</t>
        </is>
      </c>
      <c r="G464" t="inlineStr">
        <is>
          <t>NORDANSTIG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51101-2025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45947</v>
      </c>
      <c r="E465" s="1" t="n">
        <v>46260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46260</v>
      </c>
      <c r="F466" t="inlineStr">
        <is>
          <t>GÄVLEBORGS LÄN</t>
        </is>
      </c>
      <c r="G466" t="inlineStr">
        <is>
          <t>NORDANSTIG</t>
        </is>
      </c>
      <c r="H466" t="inlineStr">
        <is>
          <t>Kommuner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16184-2026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46260</v>
      </c>
      <c r="F467" t="inlineStr">
        <is>
          <t>GÄVLEBORGS LÄN</t>
        </is>
      </c>
      <c r="G467" t="inlineStr">
        <is>
          <t>NORDANSTIG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16294-2026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46111</v>
      </c>
      <c r="E468" s="1" t="n">
        <v>46260</v>
      </c>
      <c r="F468" t="inlineStr">
        <is>
          <t>GÄVLEBORGS LÄN</t>
        </is>
      </c>
      <c r="G468" t="inlineStr">
        <is>
          <t>NORDANSTIG</t>
        </is>
      </c>
      <c r="H468" t="inlineStr">
        <is>
          <t>Kommuner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46260</v>
      </c>
      <c r="F469" t="inlineStr">
        <is>
          <t>GÄVLEBORGS LÄN</t>
        </is>
      </c>
      <c r="G469" t="inlineStr">
        <is>
          <t>NORDANSTIG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45827</v>
      </c>
      <c r="E470" s="1" t="n">
        <v>46260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11.2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50842-2025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45946</v>
      </c>
      <c r="E471" s="1" t="n">
        <v>46260</v>
      </c>
      <c r="F471" t="inlineStr">
        <is>
          <t>GÄVLEBORGS LÄN</t>
        </is>
      </c>
      <c r="G471" t="inlineStr">
        <is>
          <t>NORDANSTIG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51115-2025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45947</v>
      </c>
      <c r="E472" s="1" t="n">
        <v>46260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51014-2025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45947</v>
      </c>
      <c r="E473" s="1" t="n">
        <v>46260</v>
      </c>
      <c r="F473" t="inlineStr">
        <is>
          <t>GÄVLEBORGS LÄN</t>
        </is>
      </c>
      <c r="G473" t="inlineStr">
        <is>
          <t>NORDANSTIG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16687-2026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46260</v>
      </c>
      <c r="F474" t="inlineStr">
        <is>
          <t>GÄVLEBORGS LÄN</t>
        </is>
      </c>
      <c r="G474" t="inlineStr">
        <is>
          <t>NORDANSTIG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46260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46260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34.8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49284-2025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46260</v>
      </c>
      <c r="F477" t="inlineStr">
        <is>
          <t>GÄVLEBORGS LÄN</t>
        </is>
      </c>
      <c r="G477" t="inlineStr">
        <is>
          <t>NORDANSTIG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16528-2026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46260</v>
      </c>
      <c r="F478" t="inlineStr">
        <is>
          <t>GÄVLEBORGS LÄN</t>
        </is>
      </c>
      <c r="G478" t="inlineStr">
        <is>
          <t>NORDANSTIG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16293-2026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46260</v>
      </c>
      <c r="F479" t="inlineStr">
        <is>
          <t>GÄVLEBORGS LÄN</t>
        </is>
      </c>
      <c r="G479" t="inlineStr">
        <is>
          <t>NORDANSTIG</t>
        </is>
      </c>
      <c r="H479" t="inlineStr">
        <is>
          <t>Kommuner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46260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46260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46260</v>
      </c>
      <c r="F482" t="inlineStr">
        <is>
          <t>GÄVLEBORGS LÄN</t>
        </is>
      </c>
      <c r="G482" t="inlineStr">
        <is>
          <t>NORDANSTIG</t>
        </is>
      </c>
      <c r="H482" t="inlineStr">
        <is>
          <t>Kommuner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1483-2022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44573</v>
      </c>
      <c r="E483" s="1" t="n">
        <v>46260</v>
      </c>
      <c r="F483" t="inlineStr">
        <is>
          <t>GÄVLEBORGS LÄN</t>
        </is>
      </c>
      <c r="G483" t="inlineStr">
        <is>
          <t>NORDANSTIG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46260</v>
      </c>
      <c r="F484" t="inlineStr">
        <is>
          <t>GÄVLEBORGS LÄN</t>
        </is>
      </c>
      <c r="G484" t="inlineStr">
        <is>
          <t>NORDANSTIG</t>
        </is>
      </c>
      <c r="I484" t="n">
        <v>30.9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44945</v>
      </c>
      <c r="E485" s="1" t="n">
        <v>46260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51464-2025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45950</v>
      </c>
      <c r="E486" s="1" t="n">
        <v>46260</v>
      </c>
      <c r="F486" t="inlineStr">
        <is>
          <t>GÄVLEBORGS LÄN</t>
        </is>
      </c>
      <c r="G486" t="inlineStr">
        <is>
          <t>NORDANSTIG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46260</v>
      </c>
      <c r="F487" t="inlineStr">
        <is>
          <t>GÄVLEBORGS LÄN</t>
        </is>
      </c>
      <c r="G487" t="inlineStr">
        <is>
          <t>NORDANSTIG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51680-2025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45951</v>
      </c>
      <c r="E488" s="1" t="n">
        <v>46260</v>
      </c>
      <c r="F488" t="inlineStr">
        <is>
          <t>GÄVLEBORGS LÄN</t>
        </is>
      </c>
      <c r="G488" t="inlineStr">
        <is>
          <t>NORDANSTIG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16703-2026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46260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30842-2024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45497</v>
      </c>
      <c r="E490" s="1" t="n">
        <v>46260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46260</v>
      </c>
      <c r="F491" t="inlineStr">
        <is>
          <t>GÄVLEBORGS LÄN</t>
        </is>
      </c>
      <c r="G491" t="inlineStr">
        <is>
          <t>NORDANSTIG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46118</v>
      </c>
      <c r="E492" s="1" t="n">
        <v>46260</v>
      </c>
      <c r="F492" t="inlineStr">
        <is>
          <t>GÄVLEBORGS LÄN</t>
        </is>
      </c>
      <c r="G492" t="inlineStr">
        <is>
          <t>NORDANSTIG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51998-2023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45223</v>
      </c>
      <c r="E493" s="1" t="n">
        <v>46260</v>
      </c>
      <c r="F493" t="inlineStr">
        <is>
          <t>GÄVLEBORGS LÄN</t>
        </is>
      </c>
      <c r="G493" t="inlineStr">
        <is>
          <t>NORDANSTIG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46260</v>
      </c>
      <c r="F494" t="inlineStr">
        <is>
          <t>GÄVLEBORGS LÄN</t>
        </is>
      </c>
      <c r="G494" t="inlineStr">
        <is>
          <t>NORDANSTIG</t>
        </is>
      </c>
      <c r="I494" t="n">
        <v>16.3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17303-2026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46260</v>
      </c>
      <c r="F495" t="inlineStr">
        <is>
          <t>GÄVLEBORGS LÄN</t>
        </is>
      </c>
      <c r="G495" t="inlineStr">
        <is>
          <t>NORDANSTIG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46260</v>
      </c>
      <c r="F496" t="inlineStr">
        <is>
          <t>GÄVLEBORGS LÄN</t>
        </is>
      </c>
      <c r="G496" t="inlineStr">
        <is>
          <t>NORDANSTIG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46260</v>
      </c>
      <c r="F497" t="inlineStr">
        <is>
          <t>GÄVLEBORGS LÄN</t>
        </is>
      </c>
      <c r="G497" t="inlineStr">
        <is>
          <t>NORDANSTIG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46260</v>
      </c>
      <c r="F498" t="inlineStr">
        <is>
          <t>GÄVLEBORGS LÄN</t>
        </is>
      </c>
      <c r="G498" t="inlineStr">
        <is>
          <t>NORDANSTIG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46260</v>
      </c>
      <c r="F499" t="inlineStr">
        <is>
          <t>GÄVLEBORGS LÄN</t>
        </is>
      </c>
      <c r="G499" t="inlineStr">
        <is>
          <t>NORDANSTIG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46260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17498-2026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46120</v>
      </c>
      <c r="E501" s="1" t="n">
        <v>46260</v>
      </c>
      <c r="F501" t="inlineStr">
        <is>
          <t>GÄVLEBORGS LÄN</t>
        </is>
      </c>
      <c r="G501" t="inlineStr">
        <is>
          <t>NORDANSTIG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46260</v>
      </c>
      <c r="F502" t="inlineStr">
        <is>
          <t>GÄVLEBORGS LÄN</t>
        </is>
      </c>
      <c r="G502" t="inlineStr">
        <is>
          <t>NORDANSTIG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46260</v>
      </c>
      <c r="F503" t="inlineStr">
        <is>
          <t>GÄVLEBORGS LÄN</t>
        </is>
      </c>
      <c r="G503" t="inlineStr">
        <is>
          <t>NORDANSTIG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45525</v>
      </c>
      <c r="E504" s="1" t="n">
        <v>46260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45434</v>
      </c>
      <c r="E505" s="1" t="n">
        <v>46260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9.1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28711-2022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44748</v>
      </c>
      <c r="E506" s="1" t="n">
        <v>46260</v>
      </c>
      <c r="F506" t="inlineStr">
        <is>
          <t>GÄVLEBORGS LÄN</t>
        </is>
      </c>
      <c r="G506" t="inlineStr">
        <is>
          <t>NORDANSTIG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45946</v>
      </c>
      <c r="E507" s="1" t="n">
        <v>46260</v>
      </c>
      <c r="F507" t="inlineStr">
        <is>
          <t>GÄVLEBORGS LÄN</t>
        </is>
      </c>
      <c r="G507" t="inlineStr">
        <is>
          <t>NORDANSTIG</t>
        </is>
      </c>
      <c r="I507" t="n">
        <v>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46260</v>
      </c>
      <c r="F508" t="inlineStr">
        <is>
          <t>GÄVLEBORGS LÄN</t>
        </is>
      </c>
      <c r="G508" t="inlineStr">
        <is>
          <t>NORDANSTIG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18933-2023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45044</v>
      </c>
      <c r="E509" s="1" t="n">
        <v>46260</v>
      </c>
      <c r="F509" t="inlineStr">
        <is>
          <t>GÄVLEBORGS LÄN</t>
        </is>
      </c>
      <c r="G509" t="inlineStr">
        <is>
          <t>NORDANSTIG</t>
        </is>
      </c>
      <c r="I509" t="n">
        <v>26.6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7012-2025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45701</v>
      </c>
      <c r="E510" s="1" t="n">
        <v>46260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46260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46260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43.6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7796-2026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46062</v>
      </c>
      <c r="E513" s="1" t="n">
        <v>46260</v>
      </c>
      <c r="F513" t="inlineStr">
        <is>
          <t>GÄVLEBORGS LÄN</t>
        </is>
      </c>
      <c r="G513" t="inlineStr">
        <is>
          <t>NORDANSTIG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46260</v>
      </c>
      <c r="F514" t="inlineStr">
        <is>
          <t>GÄVLEBORGS LÄN</t>
        </is>
      </c>
      <c r="G514" t="inlineStr">
        <is>
          <t>NORDANSTIG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46126</v>
      </c>
      <c r="E515" s="1" t="n">
        <v>46260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53028-2025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46260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17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25200-2022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44729</v>
      </c>
      <c r="E517" s="1" t="n">
        <v>46260</v>
      </c>
      <c r="F517" t="inlineStr">
        <is>
          <t>GÄVLEBORGS LÄN</t>
        </is>
      </c>
      <c r="G517" t="inlineStr">
        <is>
          <t>NORDANSTIG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14501-2026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46100</v>
      </c>
      <c r="E518" s="1" t="n">
        <v>46260</v>
      </c>
      <c r="F518" t="inlineStr">
        <is>
          <t>GÄVLEBORGS LÄN</t>
        </is>
      </c>
      <c r="G518" t="inlineStr">
        <is>
          <t>NORDANSTIG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46260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45960</v>
      </c>
      <c r="E520" s="1" t="n">
        <v>46260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46260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46260</v>
      </c>
      <c r="F522" t="inlineStr">
        <is>
          <t>GÄVLEBORGS LÄN</t>
        </is>
      </c>
      <c r="G522" t="inlineStr">
        <is>
          <t>NORDANSTIG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46260</v>
      </c>
      <c r="F523" t="inlineStr">
        <is>
          <t>GÄVLEBORGS LÄN</t>
        </is>
      </c>
      <c r="G523" t="inlineStr">
        <is>
          <t>NORDANSTIG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55453-2025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45971</v>
      </c>
      <c r="E524" s="1" t="n">
        <v>46260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55460-2025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45971</v>
      </c>
      <c r="E525" s="1" t="n">
        <v>46260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16659-2026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46112</v>
      </c>
      <c r="E526" s="1" t="n">
        <v>46260</v>
      </c>
      <c r="F526" t="inlineStr">
        <is>
          <t>GÄVLEBORGS LÄN</t>
        </is>
      </c>
      <c r="G526" t="inlineStr">
        <is>
          <t>NORDANSTIG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45971</v>
      </c>
      <c r="E527" s="1" t="n">
        <v>46260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19896-2025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45771</v>
      </c>
      <c r="E528" s="1" t="n">
        <v>46260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46260</v>
      </c>
      <c r="F529" t="inlineStr">
        <is>
          <t>GÄVLEBORGS LÄN</t>
        </is>
      </c>
      <c r="G529" t="inlineStr">
        <is>
          <t>NORDANSTIG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55513-2025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46260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46134</v>
      </c>
      <c r="E531" s="1" t="n">
        <v>46260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58872-2024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45636</v>
      </c>
      <c r="E532" s="1" t="n">
        <v>46260</v>
      </c>
      <c r="F532" t="inlineStr">
        <is>
          <t>GÄVLEBORGS LÄN</t>
        </is>
      </c>
      <c r="G532" t="inlineStr">
        <is>
          <t>NORDANSTIG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46260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46260</v>
      </c>
      <c r="F534" t="inlineStr">
        <is>
          <t>GÄVLEBORGS LÄN</t>
        </is>
      </c>
      <c r="G534" t="inlineStr">
        <is>
          <t>NORDANSTIG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54200-2023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46260</v>
      </c>
      <c r="F535" t="inlineStr">
        <is>
          <t>GÄVLEBORGS LÄN</t>
        </is>
      </c>
      <c r="G535" t="inlineStr">
        <is>
          <t>NORDANSTIG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46260</v>
      </c>
      <c r="F536" t="inlineStr">
        <is>
          <t>GÄVLEBORGS LÄN</t>
        </is>
      </c>
      <c r="G536" t="inlineStr">
        <is>
          <t>NORDANSTIG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45973</v>
      </c>
      <c r="E537" s="1" t="n">
        <v>46260</v>
      </c>
      <c r="F537" t="inlineStr">
        <is>
          <t>GÄVLEBORGS LÄN</t>
        </is>
      </c>
      <c r="G537" t="inlineStr">
        <is>
          <t>NORDANSTIG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56039-2025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45973</v>
      </c>
      <c r="E538" s="1" t="n">
        <v>46260</v>
      </c>
      <c r="F538" t="inlineStr">
        <is>
          <t>GÄVLEBORGS LÄN</t>
        </is>
      </c>
      <c r="G538" t="inlineStr">
        <is>
          <t>NORDANSTIG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45973</v>
      </c>
      <c r="E539" s="1" t="n">
        <v>46260</v>
      </c>
      <c r="F539" t="inlineStr">
        <is>
          <t>GÄVLEBORGS LÄN</t>
        </is>
      </c>
      <c r="G539" t="inlineStr">
        <is>
          <t>NORDANSTIG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30870-2025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46260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56357-2025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45974</v>
      </c>
      <c r="E541" s="1" t="n">
        <v>46260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19982-2026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46260</v>
      </c>
      <c r="F542" t="inlineStr">
        <is>
          <t>GÄVLEBORGS LÄN</t>
        </is>
      </c>
      <c r="G542" t="inlineStr">
        <is>
          <t>NORDANSTIG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45974</v>
      </c>
      <c r="E543" s="1" t="n">
        <v>46260</v>
      </c>
      <c r="F543" t="inlineStr">
        <is>
          <t>GÄVLEBORGS LÄN</t>
        </is>
      </c>
      <c r="G543" t="inlineStr">
        <is>
          <t>NORDANSTIG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46260</v>
      </c>
      <c r="F544" t="inlineStr">
        <is>
          <t>GÄVLEBORGS LÄN</t>
        </is>
      </c>
      <c r="G544" t="inlineStr">
        <is>
          <t>NORDANSTIG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46260</v>
      </c>
      <c r="F545" t="inlineStr">
        <is>
          <t>GÄVLEBORGS LÄN</t>
        </is>
      </c>
      <c r="G545" t="inlineStr">
        <is>
          <t>NORDANSTIG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64034-2025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46021</v>
      </c>
      <c r="E546" s="1" t="n">
        <v>46260</v>
      </c>
      <c r="F546" t="inlineStr">
        <is>
          <t>GÄVLEBORGS LÄN</t>
        </is>
      </c>
      <c r="G546" t="inlineStr">
        <is>
          <t>NORDANSTIG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46260</v>
      </c>
      <c r="F547" t="inlineStr">
        <is>
          <t>GÄVLEBORGS LÄN</t>
        </is>
      </c>
      <c r="G547" t="inlineStr">
        <is>
          <t>NORDANSTIG</t>
        </is>
      </c>
      <c r="H547" t="inlineStr">
        <is>
          <t>SCA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45169</v>
      </c>
      <c r="E548" s="1" t="n">
        <v>46260</v>
      </c>
      <c r="F548" t="inlineStr">
        <is>
          <t>GÄVLEBORGS LÄN</t>
        </is>
      </c>
      <c r="G548" t="inlineStr">
        <is>
          <t>NORDANSTIG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55206-2022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44886</v>
      </c>
      <c r="E549" s="1" t="n">
        <v>46260</v>
      </c>
      <c r="F549" t="inlineStr">
        <is>
          <t>GÄVLEBORGS LÄN</t>
        </is>
      </c>
      <c r="G549" t="inlineStr">
        <is>
          <t>NORDANSTIG</t>
        </is>
      </c>
      <c r="H549" t="inlineStr">
        <is>
          <t>SCA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45546</v>
      </c>
      <c r="E550" s="1" t="n">
        <v>46260</v>
      </c>
      <c r="F550" t="inlineStr">
        <is>
          <t>GÄVLEBORGS LÄN</t>
        </is>
      </c>
      <c r="G550" t="inlineStr">
        <is>
          <t>NORDANSTIG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38589-2024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45546</v>
      </c>
      <c r="E551" s="1" t="n">
        <v>46260</v>
      </c>
      <c r="F551" t="inlineStr">
        <is>
          <t>GÄVLEBORGS LÄN</t>
        </is>
      </c>
      <c r="G551" t="inlineStr">
        <is>
          <t>NORDANSTIG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46260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44075-2025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45915</v>
      </c>
      <c r="E553" s="1" t="n">
        <v>46260</v>
      </c>
      <c r="F553" t="inlineStr">
        <is>
          <t>GÄVLEBORGS LÄN</t>
        </is>
      </c>
      <c r="G553" t="inlineStr">
        <is>
          <t>NORDANSTIG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57558-2025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45980</v>
      </c>
      <c r="E554" s="1" t="n">
        <v>46260</v>
      </c>
      <c r="F554" t="inlineStr">
        <is>
          <t>GÄVLEBORGS LÄN</t>
        </is>
      </c>
      <c r="G554" t="inlineStr">
        <is>
          <t>NORDANSTIG</t>
        </is>
      </c>
      <c r="H554" t="inlineStr">
        <is>
          <t>SCA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57559-2025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45980</v>
      </c>
      <c r="E555" s="1" t="n">
        <v>46260</v>
      </c>
      <c r="F555" t="inlineStr">
        <is>
          <t>GÄVLEBORGS LÄN</t>
        </is>
      </c>
      <c r="G555" t="inlineStr">
        <is>
          <t>NORDANSTIG</t>
        </is>
      </c>
      <c r="H555" t="inlineStr">
        <is>
          <t>SCA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46260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63786-2025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46019</v>
      </c>
      <c r="E557" s="1" t="n">
        <v>46260</v>
      </c>
      <c r="F557" t="inlineStr">
        <is>
          <t>GÄVLEBORGS LÄN</t>
        </is>
      </c>
      <c r="G557" t="inlineStr">
        <is>
          <t>NORDANSTIG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58522-2025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45985</v>
      </c>
      <c r="E558" s="1" t="n">
        <v>46260</v>
      </c>
      <c r="F558" t="inlineStr">
        <is>
          <t>GÄVLEBORGS LÄN</t>
        </is>
      </c>
      <c r="G558" t="inlineStr">
        <is>
          <t>NORDANSTIG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60398-2023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45259</v>
      </c>
      <c r="E559" s="1" t="n">
        <v>46260</v>
      </c>
      <c r="F559" t="inlineStr">
        <is>
          <t>GÄVLEBORGS LÄN</t>
        </is>
      </c>
      <c r="G559" t="inlineStr">
        <is>
          <t>NORDANSTIG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46033</v>
      </c>
      <c r="E560" s="1" t="n">
        <v>46260</v>
      </c>
      <c r="F560" t="inlineStr">
        <is>
          <t>GÄVLEBORGS LÄN</t>
        </is>
      </c>
      <c r="G560" t="inlineStr">
        <is>
          <t>NORDANSTIG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29401-2025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46260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52695-2024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45610</v>
      </c>
      <c r="E562" s="1" t="n">
        <v>46260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44874</v>
      </c>
      <c r="E563" s="1" t="n">
        <v>46260</v>
      </c>
      <c r="F563" t="inlineStr">
        <is>
          <t>GÄVLEBORGS LÄN</t>
        </is>
      </c>
      <c r="G563" t="inlineStr">
        <is>
          <t>NORDANSTIG</t>
        </is>
      </c>
      <c r="H563" t="inlineStr">
        <is>
          <t>SCA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46260</v>
      </c>
      <c r="F564" t="inlineStr">
        <is>
          <t>GÄVLEBORGS LÄN</t>
        </is>
      </c>
      <c r="G564" t="inlineStr">
        <is>
          <t>NORDANSTIG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58535-2025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46260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58532-2025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46260</v>
      </c>
      <c r="F566" t="inlineStr">
        <is>
          <t>GÄVLEBORGS LÄN</t>
        </is>
      </c>
      <c r="G566" t="inlineStr">
        <is>
          <t>NORDANSTIG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45986</v>
      </c>
      <c r="E567" s="1" t="n">
        <v>46260</v>
      </c>
      <c r="F567" t="inlineStr">
        <is>
          <t>GÄVLEBORGS LÄN</t>
        </is>
      </c>
      <c r="G567" t="inlineStr">
        <is>
          <t>NORDANSTIG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42947-2022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44833</v>
      </c>
      <c r="E568" s="1" t="n">
        <v>46260</v>
      </c>
      <c r="F568" t="inlineStr">
        <is>
          <t>GÄVLEBORGS LÄN</t>
        </is>
      </c>
      <c r="G568" t="inlineStr">
        <is>
          <t>NORDANSTIG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58531-2025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46260</v>
      </c>
      <c r="F569" t="inlineStr">
        <is>
          <t>GÄVLEBORGS LÄN</t>
        </is>
      </c>
      <c r="G569" t="inlineStr">
        <is>
          <t>NORDANSTIG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45832</v>
      </c>
      <c r="E570" s="1" t="n">
        <v>46260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59008-2025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45987</v>
      </c>
      <c r="E571" s="1" t="n">
        <v>46260</v>
      </c>
      <c r="F571" t="inlineStr">
        <is>
          <t>GÄVLEBORGS LÄN</t>
        </is>
      </c>
      <c r="G571" t="inlineStr">
        <is>
          <t>NORDANSTIG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45832</v>
      </c>
      <c r="E572" s="1" t="n">
        <v>46260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40613-2023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45170</v>
      </c>
      <c r="E573" s="1" t="n">
        <v>46260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7503-2022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44607</v>
      </c>
      <c r="E574" s="1" t="n">
        <v>46260</v>
      </c>
      <c r="F574" t="inlineStr">
        <is>
          <t>GÄVLEBORGS LÄN</t>
        </is>
      </c>
      <c r="G574" t="inlineStr">
        <is>
          <t>NORDANSTIG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40798-2022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44824</v>
      </c>
      <c r="E575" s="1" t="n">
        <v>46260</v>
      </c>
      <c r="F575" t="inlineStr">
        <is>
          <t>GÄVLEBORGS LÄN</t>
        </is>
      </c>
      <c r="G575" t="inlineStr">
        <is>
          <t>NORDANSTIG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44644</v>
      </c>
      <c r="E576" s="1" t="n">
        <v>46260</v>
      </c>
      <c r="F576" t="inlineStr">
        <is>
          <t>GÄVLEBORGS LÄN</t>
        </is>
      </c>
      <c r="G576" t="inlineStr">
        <is>
          <t>NORDANSTIG</t>
        </is>
      </c>
      <c r="I576" t="n">
        <v>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59997-2025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45993</v>
      </c>
      <c r="E577" s="1" t="n">
        <v>46260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20288-2026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46260</v>
      </c>
      <c r="F578" t="inlineStr">
        <is>
          <t>GÄVLEBORGS LÄN</t>
        </is>
      </c>
      <c r="G578" t="inlineStr">
        <is>
          <t>NORDANSTIG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46260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43883-2021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44434</v>
      </c>
      <c r="E580" s="1" t="n">
        <v>46260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46136</v>
      </c>
      <c r="E581" s="1" t="n">
        <v>46260</v>
      </c>
      <c r="F581" t="inlineStr">
        <is>
          <t>GÄVLEBORGS LÄN</t>
        </is>
      </c>
      <c r="G581" t="inlineStr">
        <is>
          <t>NORDANSTIG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46260</v>
      </c>
      <c r="F582" t="inlineStr">
        <is>
          <t>GÄVLEBORGS LÄN</t>
        </is>
      </c>
      <c r="G582" t="inlineStr">
        <is>
          <t>NORDANSTIG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42717-2024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45566</v>
      </c>
      <c r="E583" s="1" t="n">
        <v>46260</v>
      </c>
      <c r="F583" t="inlineStr">
        <is>
          <t>GÄVLEBORGS LÄN</t>
        </is>
      </c>
      <c r="G583" t="inlineStr">
        <is>
          <t>NORDANSTIG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45995</v>
      </c>
      <c r="E584" s="1" t="n">
        <v>46260</v>
      </c>
      <c r="F584" t="inlineStr">
        <is>
          <t>GÄVLEBORGS LÄN</t>
        </is>
      </c>
      <c r="G584" t="inlineStr">
        <is>
          <t>NORDANSTIG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46260</v>
      </c>
      <c r="F585" t="inlineStr">
        <is>
          <t>GÄVLEBORGS LÄN</t>
        </is>
      </c>
      <c r="G585" t="inlineStr">
        <is>
          <t>NORDANSTIG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45489</v>
      </c>
      <c r="E586" s="1" t="n">
        <v>46260</v>
      </c>
      <c r="F586" t="inlineStr">
        <is>
          <t>GÄVLEBORGS LÄN</t>
        </is>
      </c>
      <c r="G586" t="inlineStr">
        <is>
          <t>NORDANSTIG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46260</v>
      </c>
      <c r="F587" t="inlineStr">
        <is>
          <t>GÄVLEBORGS LÄN</t>
        </is>
      </c>
      <c r="G587" t="inlineStr">
        <is>
          <t>NORDANSTIG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60299-2025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45994</v>
      </c>
      <c r="E588" s="1" t="n">
        <v>46260</v>
      </c>
      <c r="F588" t="inlineStr">
        <is>
          <t>GÄVLEBORGS LÄN</t>
        </is>
      </c>
      <c r="G588" t="inlineStr">
        <is>
          <t>NORDANSTIG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46135</v>
      </c>
      <c r="E589" s="1" t="n">
        <v>46260</v>
      </c>
      <c r="F589" t="inlineStr">
        <is>
          <t>GÄVLEBORGS LÄN</t>
        </is>
      </c>
      <c r="G589" t="inlineStr">
        <is>
          <t>NORDANSTIG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60787-2025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45999</v>
      </c>
      <c r="E590" s="1" t="n">
        <v>46260</v>
      </c>
      <c r="F590" t="inlineStr">
        <is>
          <t>GÄVLEBORGS LÄN</t>
        </is>
      </c>
      <c r="G590" t="inlineStr">
        <is>
          <t>NORDANSTIG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38048-2024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46260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45509</v>
      </c>
      <c r="E592" s="1" t="n">
        <v>46260</v>
      </c>
      <c r="F592" t="inlineStr">
        <is>
          <t>GÄVLEBORGS LÄN</t>
        </is>
      </c>
      <c r="G592" t="inlineStr">
        <is>
          <t>NORDANSTIG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46260</v>
      </c>
      <c r="F593" t="inlineStr">
        <is>
          <t>GÄVLEBORGS LÄN</t>
        </is>
      </c>
      <c r="G593" t="inlineStr">
        <is>
          <t>NORDANSTIG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32082-2025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45835</v>
      </c>
      <c r="E594" s="1" t="n">
        <v>46260</v>
      </c>
      <c r="F594" t="inlineStr">
        <is>
          <t>GÄVLEBORGS LÄN</t>
        </is>
      </c>
      <c r="G594" t="inlineStr">
        <is>
          <t>NORDANSTIG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61072-2025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46260</v>
      </c>
      <c r="F595" t="inlineStr">
        <is>
          <t>GÄVLEBORGS LÄN</t>
        </is>
      </c>
      <c r="G595" t="inlineStr">
        <is>
          <t>NORDANSTIG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46260</v>
      </c>
      <c r="F596" t="inlineStr">
        <is>
          <t>GÄVLEBORGS LÄN</t>
        </is>
      </c>
      <c r="G596" t="inlineStr">
        <is>
          <t>NORDANSTIG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46260</v>
      </c>
      <c r="F597" t="inlineStr">
        <is>
          <t>GÄVLEBORGS LÄN</t>
        </is>
      </c>
      <c r="G597" t="inlineStr">
        <is>
          <t>NORDANSTIG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46260</v>
      </c>
      <c r="F598" t="inlineStr">
        <is>
          <t>GÄVLEBORGS LÄN</t>
        </is>
      </c>
      <c r="G598" t="inlineStr">
        <is>
          <t>NORDANSTIG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46026</v>
      </c>
      <c r="E599" s="1" t="n">
        <v>46260</v>
      </c>
      <c r="F599" t="inlineStr">
        <is>
          <t>GÄVLEBORGS LÄN</t>
        </is>
      </c>
      <c r="G599" t="inlineStr">
        <is>
          <t>NORDANSTIG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59912-2024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45641</v>
      </c>
      <c r="E600" s="1" t="n">
        <v>46260</v>
      </c>
      <c r="F600" t="inlineStr">
        <is>
          <t>GÄVLEBORGS LÄN</t>
        </is>
      </c>
      <c r="G600" t="inlineStr">
        <is>
          <t>NORDANSTIG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59930-2024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45642</v>
      </c>
      <c r="E601" s="1" t="n">
        <v>46260</v>
      </c>
      <c r="F601" t="inlineStr">
        <is>
          <t>GÄVLEBORGS LÄN</t>
        </is>
      </c>
      <c r="G601" t="inlineStr">
        <is>
          <t>NORDANSTIG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51681-2025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46260</v>
      </c>
      <c r="F602" t="inlineStr">
        <is>
          <t>GÄVLEBORGS LÄN</t>
        </is>
      </c>
      <c r="G602" t="inlineStr">
        <is>
          <t>NORDANSTIG</t>
        </is>
      </c>
      <c r="I602" t="n">
        <v>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38514-2025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45884</v>
      </c>
      <c r="E603" s="1" t="n">
        <v>46260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46055</v>
      </c>
      <c r="E604" s="1" t="n">
        <v>46260</v>
      </c>
      <c r="F604" t="inlineStr">
        <is>
          <t>GÄVLEBORGS LÄN</t>
        </is>
      </c>
      <c r="G604" t="inlineStr">
        <is>
          <t>NORDANSTIG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62185-2025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46006</v>
      </c>
      <c r="E605" s="1" t="n">
        <v>46260</v>
      </c>
      <c r="F605" t="inlineStr">
        <is>
          <t>GÄVLEBORGS LÄN</t>
        </is>
      </c>
      <c r="G605" t="inlineStr">
        <is>
          <t>NORDANSTIG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64033-2025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46021</v>
      </c>
      <c r="E606" s="1" t="n">
        <v>46260</v>
      </c>
      <c r="F606" t="inlineStr">
        <is>
          <t>GÄVLEBORGS LÄN</t>
        </is>
      </c>
      <c r="G606" t="inlineStr">
        <is>
          <t>NORDANSTIG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62182-2025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46006</v>
      </c>
      <c r="E607" s="1" t="n">
        <v>46260</v>
      </c>
      <c r="F607" t="inlineStr">
        <is>
          <t>GÄVLEBORGS LÄN</t>
        </is>
      </c>
      <c r="G607" t="inlineStr">
        <is>
          <t>NORDANSTIG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46260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8.6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44964</v>
      </c>
      <c r="E609" s="1" t="n">
        <v>46260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46031</v>
      </c>
      <c r="E610" s="1" t="n">
        <v>46260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33377-2022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44788</v>
      </c>
      <c r="E611" s="1" t="n">
        <v>46260</v>
      </c>
      <c r="F611" t="inlineStr">
        <is>
          <t>GÄVLEBORGS LÄN</t>
        </is>
      </c>
      <c r="G611" t="inlineStr">
        <is>
          <t>NORDANSTIG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45551-2024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46260</v>
      </c>
      <c r="F612" t="inlineStr">
        <is>
          <t>GÄVLEBORGS LÄN</t>
        </is>
      </c>
      <c r="G612" t="inlineStr">
        <is>
          <t>NORDANSTIG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11582-2026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46084</v>
      </c>
      <c r="E613" s="1" t="n">
        <v>46260</v>
      </c>
      <c r="F613" t="inlineStr">
        <is>
          <t>GÄVLEBORGS LÄN</t>
        </is>
      </c>
      <c r="G613" t="inlineStr">
        <is>
          <t>NORDANSTIG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45835</v>
      </c>
      <c r="E614" s="1" t="n">
        <v>46260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46054</v>
      </c>
      <c r="E615" s="1" t="n">
        <v>46260</v>
      </c>
      <c r="F615" t="inlineStr">
        <is>
          <t>GÄVLEBORGS LÄN</t>
        </is>
      </c>
      <c r="G615" t="inlineStr">
        <is>
          <t>NORDANSTIG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45429</v>
      </c>
      <c r="E616" s="1" t="n">
        <v>46260</v>
      </c>
      <c r="F616" t="inlineStr">
        <is>
          <t>GÄVLEBORGS LÄN</t>
        </is>
      </c>
      <c r="G616" t="inlineStr">
        <is>
          <t>NORDANSTIG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19569-2024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45429</v>
      </c>
      <c r="E617" s="1" t="n">
        <v>46260</v>
      </c>
      <c r="F617" t="inlineStr">
        <is>
          <t>GÄVLEBORGS LÄN</t>
        </is>
      </c>
      <c r="G617" t="inlineStr">
        <is>
          <t>NORDANSTIG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62833-2025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46008</v>
      </c>
      <c r="E618" s="1" t="n">
        <v>46260</v>
      </c>
      <c r="F618" t="inlineStr">
        <is>
          <t>GÄVLEBORGS LÄN</t>
        </is>
      </c>
      <c r="G618" t="inlineStr">
        <is>
          <t>NORDANSTIG</t>
        </is>
      </c>
      <c r="H618" t="inlineStr">
        <is>
          <t>SCA</t>
        </is>
      </c>
      <c r="I618" t="n">
        <v>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46070</v>
      </c>
      <c r="E619" s="1" t="n">
        <v>46260</v>
      </c>
      <c r="F619" t="inlineStr">
        <is>
          <t>GÄVLEBORGS LÄN</t>
        </is>
      </c>
      <c r="G619" t="inlineStr">
        <is>
          <t>NORDANSTIG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9031-2026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46069</v>
      </c>
      <c r="E620" s="1" t="n">
        <v>46260</v>
      </c>
      <c r="F620" t="inlineStr">
        <is>
          <t>GÄVLEBORGS LÄN</t>
        </is>
      </c>
      <c r="G620" t="inlineStr">
        <is>
          <t>NORDANSTIG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46048</v>
      </c>
      <c r="E621" s="1" t="n">
        <v>46260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45880</v>
      </c>
      <c r="E622" s="1" t="n">
        <v>46260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20532-2026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46140</v>
      </c>
      <c r="E623" s="1" t="n">
        <v>46260</v>
      </c>
      <c r="F623" t="inlineStr">
        <is>
          <t>GÄVLEBORGS LÄN</t>
        </is>
      </c>
      <c r="G623" t="inlineStr">
        <is>
          <t>NORDANSTIG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46260</v>
      </c>
      <c r="F624" t="inlineStr">
        <is>
          <t>GÄVLEBORGS LÄN</t>
        </is>
      </c>
      <c r="G624" t="inlineStr">
        <is>
          <t>NORDANSTIG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46260</v>
      </c>
      <c r="F625" t="inlineStr">
        <is>
          <t>GÄVLEBORGS LÄN</t>
        </is>
      </c>
      <c r="G625" t="inlineStr">
        <is>
          <t>NORDANSTIG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61141-2022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44915</v>
      </c>
      <c r="E626" s="1" t="n">
        <v>46260</v>
      </c>
      <c r="F626" t="inlineStr">
        <is>
          <t>GÄVLEBORGS LÄN</t>
        </is>
      </c>
      <c r="G626" t="inlineStr">
        <is>
          <t>NORDANSTIG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18401-2023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45042</v>
      </c>
      <c r="E627" s="1" t="n">
        <v>46260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45839</v>
      </c>
      <c r="E628" s="1" t="n">
        <v>46260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22784-2025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45789</v>
      </c>
      <c r="E629" s="1" t="n">
        <v>46260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55.6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45537</v>
      </c>
      <c r="E630" s="1" t="n">
        <v>46260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40104-2024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45554</v>
      </c>
      <c r="E631" s="1" t="n">
        <v>46260</v>
      </c>
      <c r="F631" t="inlineStr">
        <is>
          <t>GÄVLEBORGS LÄN</t>
        </is>
      </c>
      <c r="G631" t="inlineStr">
        <is>
          <t>NORDANSTIG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45950</v>
      </c>
      <c r="E632" s="1" t="n">
        <v>46260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58165-2023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45250</v>
      </c>
      <c r="E633" s="1" t="n">
        <v>46260</v>
      </c>
      <c r="F633" t="inlineStr">
        <is>
          <t>GÄVLEBORGS LÄN</t>
        </is>
      </c>
      <c r="G633" t="inlineStr">
        <is>
          <t>NORDANSTIG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54705-2024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45618</v>
      </c>
      <c r="E634" s="1" t="n">
        <v>46260</v>
      </c>
      <c r="F634" t="inlineStr">
        <is>
          <t>GÄVLEBORGS LÄN</t>
        </is>
      </c>
      <c r="G634" t="inlineStr">
        <is>
          <t>NORDANSTIG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45313</v>
      </c>
      <c r="E635" s="1" t="n">
        <v>46260</v>
      </c>
      <c r="F635" t="inlineStr">
        <is>
          <t>GÄVLEBORGS LÄN</t>
        </is>
      </c>
      <c r="G635" t="inlineStr">
        <is>
          <t>NORDANSTIG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21118-2026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46146</v>
      </c>
      <c r="E636" s="1" t="n">
        <v>46260</v>
      </c>
      <c r="F636" t="inlineStr">
        <is>
          <t>GÄVLEBORGS LÄN</t>
        </is>
      </c>
      <c r="G636" t="inlineStr">
        <is>
          <t>NORDANSTIG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45712</v>
      </c>
      <c r="E637" s="1" t="n">
        <v>46260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25631-2023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45089</v>
      </c>
      <c r="E638" s="1" t="n">
        <v>46260</v>
      </c>
      <c r="F638" t="inlineStr">
        <is>
          <t>GÄVLEBORGS LÄN</t>
        </is>
      </c>
      <c r="G638" t="inlineStr">
        <is>
          <t>NORDANSTIG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17254-2026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46260</v>
      </c>
      <c r="F639" t="inlineStr">
        <is>
          <t>GÄVLEBORGS LÄN</t>
        </is>
      </c>
      <c r="G639" t="inlineStr">
        <is>
          <t>NORDANSTIG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24106-2023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45079</v>
      </c>
      <c r="E640" s="1" t="n">
        <v>46260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46146</v>
      </c>
      <c r="E641" s="1" t="n">
        <v>46260</v>
      </c>
      <c r="F641" t="inlineStr">
        <is>
          <t>GÄVLEBORGS LÄN</t>
        </is>
      </c>
      <c r="G641" t="inlineStr">
        <is>
          <t>NORDANSTIG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63986-2025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46021</v>
      </c>
      <c r="E642" s="1" t="n">
        <v>46260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7.8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46035</v>
      </c>
      <c r="E643" s="1" t="n">
        <v>46260</v>
      </c>
      <c r="F643" t="inlineStr">
        <is>
          <t>GÄVLEBORGS LÄN</t>
        </is>
      </c>
      <c r="G643" t="inlineStr">
        <is>
          <t>NORDANSTIG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21093-2026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46146</v>
      </c>
      <c r="E644" s="1" t="n">
        <v>46260</v>
      </c>
      <c r="F644" t="inlineStr">
        <is>
          <t>GÄVLEBORGS LÄN</t>
        </is>
      </c>
      <c r="G644" t="inlineStr">
        <is>
          <t>NORDANSTIG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21055-2026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46146</v>
      </c>
      <c r="E645" s="1" t="n">
        <v>46260</v>
      </c>
      <c r="F645" t="inlineStr">
        <is>
          <t>GÄVLEBORGS LÄN</t>
        </is>
      </c>
      <c r="G645" t="inlineStr">
        <is>
          <t>NORDANSTIG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48607-2023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45208</v>
      </c>
      <c r="E646" s="1" t="n">
        <v>46260</v>
      </c>
      <c r="F646" t="inlineStr">
        <is>
          <t>GÄVLEBORGS LÄN</t>
        </is>
      </c>
      <c r="G646" t="inlineStr">
        <is>
          <t>NORDANSTIG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46038</v>
      </c>
      <c r="E647" s="1" t="n">
        <v>46260</v>
      </c>
      <c r="F647" t="inlineStr">
        <is>
          <t>GÄVLEBORGS LÄN</t>
        </is>
      </c>
      <c r="G647" t="inlineStr">
        <is>
          <t>NORDANSTIG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46260</v>
      </c>
      <c r="F648" t="inlineStr">
        <is>
          <t>GÄVLEBORGS LÄN</t>
        </is>
      </c>
      <c r="G648" t="inlineStr">
        <is>
          <t>NORDANSTIG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46024</v>
      </c>
      <c r="E649" s="1" t="n">
        <v>46260</v>
      </c>
      <c r="F649" t="inlineStr">
        <is>
          <t>GÄVLEBORGS LÄN</t>
        </is>
      </c>
      <c r="G649" t="inlineStr">
        <is>
          <t>NORDANSTIG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46026</v>
      </c>
      <c r="E650" s="1" t="n">
        <v>46260</v>
      </c>
      <c r="F650" t="inlineStr">
        <is>
          <t>GÄVLEBORGS LÄN</t>
        </is>
      </c>
      <c r="G650" t="inlineStr">
        <is>
          <t>NORDANSTIG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18638-2023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45043</v>
      </c>
      <c r="E651" s="1" t="n">
        <v>46260</v>
      </c>
      <c r="F651" t="inlineStr">
        <is>
          <t>GÄVLEBORGS LÄN</t>
        </is>
      </c>
      <c r="G651" t="inlineStr">
        <is>
          <t>NORDANSTIG</t>
        </is>
      </c>
      <c r="I651" t="n">
        <v>11.3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924-2026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46260</v>
      </c>
      <c r="F652" t="inlineStr">
        <is>
          <t>GÄVLEBORGS LÄN</t>
        </is>
      </c>
      <c r="G652" t="inlineStr">
        <is>
          <t>NORDANSTIG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42780-2022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44832</v>
      </c>
      <c r="E653" s="1" t="n">
        <v>46260</v>
      </c>
      <c r="F653" t="inlineStr">
        <is>
          <t>GÄVLEBORGS LÄN</t>
        </is>
      </c>
      <c r="G653" t="inlineStr">
        <is>
          <t>NORDANSTIG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51740-2023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45222</v>
      </c>
      <c r="E654" s="1" t="n">
        <v>46260</v>
      </c>
      <c r="F654" t="inlineStr">
        <is>
          <t>GÄVLEBORGS LÄN</t>
        </is>
      </c>
      <c r="G654" t="inlineStr">
        <is>
          <t>NORDANSTIG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18529-2022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44686</v>
      </c>
      <c r="E655" s="1" t="n">
        <v>46260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6583-2022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44601</v>
      </c>
      <c r="E656" s="1" t="n">
        <v>46260</v>
      </c>
      <c r="F656" t="inlineStr">
        <is>
          <t>GÄVLEBORGS LÄN</t>
        </is>
      </c>
      <c r="G656" t="inlineStr">
        <is>
          <t>NORDANSTIG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46149</v>
      </c>
      <c r="E657" s="1" t="n">
        <v>46260</v>
      </c>
      <c r="F657" t="inlineStr">
        <is>
          <t>GÄVLEBORGS LÄN</t>
        </is>
      </c>
      <c r="G657" t="inlineStr">
        <is>
          <t>NORDANSTIG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33097-2025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45840</v>
      </c>
      <c r="E658" s="1" t="n">
        <v>46260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45741</v>
      </c>
      <c r="E659" s="1" t="n">
        <v>46260</v>
      </c>
      <c r="F659" t="inlineStr">
        <is>
          <t>GÄVLEBORGS LÄN</t>
        </is>
      </c>
      <c r="G659" t="inlineStr">
        <is>
          <t>NORDANSTIG</t>
        </is>
      </c>
      <c r="I659" t="n">
        <v>16.7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46149</v>
      </c>
      <c r="E660" s="1" t="n">
        <v>46260</v>
      </c>
      <c r="F660" t="inlineStr">
        <is>
          <t>GÄVLEBORGS LÄN</t>
        </is>
      </c>
      <c r="G660" t="inlineStr">
        <is>
          <t>NORDANSTIG</t>
        </is>
      </c>
      <c r="I660" t="n">
        <v>10.7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10680-2026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46078</v>
      </c>
      <c r="E661" s="1" t="n">
        <v>46260</v>
      </c>
      <c r="F661" t="inlineStr">
        <is>
          <t>GÄVLEBORGS LÄN</t>
        </is>
      </c>
      <c r="G661" t="inlineStr">
        <is>
          <t>NORDANSTIG</t>
        </is>
      </c>
      <c r="I661" t="n">
        <v>10.9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46030</v>
      </c>
      <c r="E662" s="1" t="n">
        <v>46260</v>
      </c>
      <c r="F662" t="inlineStr">
        <is>
          <t>GÄVLEBORGS LÄN</t>
        </is>
      </c>
      <c r="G662" t="inlineStr">
        <is>
          <t>NORDANSTIG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46031</v>
      </c>
      <c r="E663" s="1" t="n">
        <v>46260</v>
      </c>
      <c r="F663" t="inlineStr">
        <is>
          <t>GÄVLEBORGS LÄN</t>
        </is>
      </c>
      <c r="G663" t="inlineStr">
        <is>
          <t>NORDANSTIG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21157-2022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44704</v>
      </c>
      <c r="E664" s="1" t="n">
        <v>46260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58876-2024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45636</v>
      </c>
      <c r="E665" s="1" t="n">
        <v>46260</v>
      </c>
      <c r="F665" t="inlineStr">
        <is>
          <t>GÄVLEBORGS LÄN</t>
        </is>
      </c>
      <c r="G665" t="inlineStr">
        <is>
          <t>NORDANSTIG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18691-2026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46128</v>
      </c>
      <c r="E666" s="1" t="n">
        <v>46260</v>
      </c>
      <c r="F666" t="inlineStr">
        <is>
          <t>GÄVLEBORGS LÄN</t>
        </is>
      </c>
      <c r="G666" t="inlineStr">
        <is>
          <t>NORDANSTIG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33532-2025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45841</v>
      </c>
      <c r="E667" s="1" t="n">
        <v>46260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1053-2026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46030</v>
      </c>
      <c r="E668" s="1" t="n">
        <v>46260</v>
      </c>
      <c r="F668" t="inlineStr">
        <is>
          <t>GÄVLEBORGS LÄN</t>
        </is>
      </c>
      <c r="G668" t="inlineStr">
        <is>
          <t>NORDANSTIG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1063-2026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46260</v>
      </c>
      <c r="F669" t="inlineStr">
        <is>
          <t>GÄVLEBORGS LÄN</t>
        </is>
      </c>
      <c r="G669" t="inlineStr">
        <is>
          <t>NORDANSTIG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45841</v>
      </c>
      <c r="E670" s="1" t="n">
        <v>46260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51560-2023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45222</v>
      </c>
      <c r="E671" s="1" t="n">
        <v>46260</v>
      </c>
      <c r="F671" t="inlineStr">
        <is>
          <t>GÄVLEBORGS LÄN</t>
        </is>
      </c>
      <c r="G671" t="inlineStr">
        <is>
          <t>NORDANSTIG</t>
        </is>
      </c>
      <c r="I671" t="n">
        <v>26.9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46034</v>
      </c>
      <c r="E672" s="1" t="n">
        <v>46260</v>
      </c>
      <c r="F672" t="inlineStr">
        <is>
          <t>GÄVLEBORGS LÄN</t>
        </is>
      </c>
      <c r="G672" t="inlineStr">
        <is>
          <t>NORDANSTIG</t>
        </is>
      </c>
      <c r="I672" t="n">
        <v>12.7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45141</v>
      </c>
      <c r="E673" s="1" t="n">
        <v>46260</v>
      </c>
      <c r="F673" t="inlineStr">
        <is>
          <t>GÄVLEBORGS LÄN</t>
        </is>
      </c>
      <c r="G673" t="inlineStr">
        <is>
          <t>NORDANSTIG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14415-2022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44652</v>
      </c>
      <c r="E674" s="1" t="n">
        <v>46260</v>
      </c>
      <c r="F674" t="inlineStr">
        <is>
          <t>GÄVLEBORGS LÄN</t>
        </is>
      </c>
      <c r="G674" t="inlineStr">
        <is>
          <t>NORDANSTIG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45297</v>
      </c>
      <c r="E675" s="1" t="n">
        <v>46260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46260</v>
      </c>
      <c r="F676" t="inlineStr">
        <is>
          <t>GÄVLEBORGS LÄN</t>
        </is>
      </c>
      <c r="G676" t="inlineStr">
        <is>
          <t>NORDANSTIG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56281-2024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46260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1958-2026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46035</v>
      </c>
      <c r="E678" s="1" t="n">
        <v>46260</v>
      </c>
      <c r="F678" t="inlineStr">
        <is>
          <t>GÄVLEBORGS LÄN</t>
        </is>
      </c>
      <c r="G678" t="inlineStr">
        <is>
          <t>NORDANSTIG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46035</v>
      </c>
      <c r="E679" s="1" t="n">
        <v>46260</v>
      </c>
      <c r="F679" t="inlineStr">
        <is>
          <t>GÄVLEBORGS LÄN</t>
        </is>
      </c>
      <c r="G679" t="inlineStr">
        <is>
          <t>NORDANSTIG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46119</v>
      </c>
      <c r="E680" s="1" t="n">
        <v>46260</v>
      </c>
      <c r="F680" t="inlineStr">
        <is>
          <t>GÄVLEBORGS LÄN</t>
        </is>
      </c>
      <c r="G680" t="inlineStr">
        <is>
          <t>NORDANSTIG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12216-2025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45729</v>
      </c>
      <c r="E681" s="1" t="n">
        <v>46260</v>
      </c>
      <c r="F681" t="inlineStr">
        <is>
          <t>GÄVLEBORGS LÄN</t>
        </is>
      </c>
      <c r="G681" t="inlineStr">
        <is>
          <t>NORDANSTIG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14961-2025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45743</v>
      </c>
      <c r="E682" s="1" t="n">
        <v>46260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33355-2025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45841</v>
      </c>
      <c r="E683" s="1" t="n">
        <v>46260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34.6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46042</v>
      </c>
      <c r="E684" s="1" t="n">
        <v>46260</v>
      </c>
      <c r="F684" t="inlineStr">
        <is>
          <t>GÄVLEBORGS LÄN</t>
        </is>
      </c>
      <c r="G684" t="inlineStr">
        <is>
          <t>NORDANSTIG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22621-2026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46155</v>
      </c>
      <c r="E685" s="1" t="n">
        <v>46260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14532-2026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46260</v>
      </c>
      <c r="F686" t="inlineStr">
        <is>
          <t>GÄVLEBORGS LÄN</t>
        </is>
      </c>
      <c r="G686" t="inlineStr">
        <is>
          <t>NORDANSTIG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46026</v>
      </c>
      <c r="E687" s="1" t="n">
        <v>46260</v>
      </c>
      <c r="F687" t="inlineStr">
        <is>
          <t>GÄVLEBORGS LÄN</t>
        </is>
      </c>
      <c r="G687" t="inlineStr">
        <is>
          <t>NORDANSTIG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22607-2026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46260</v>
      </c>
      <c r="F688" t="inlineStr">
        <is>
          <t>GÄVLEBORGS LÄN</t>
        </is>
      </c>
      <c r="G688" t="inlineStr">
        <is>
          <t>NORDANSTIG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46035</v>
      </c>
      <c r="E689" s="1" t="n">
        <v>46260</v>
      </c>
      <c r="F689" t="inlineStr">
        <is>
          <t>GÄVLEBORGS LÄN</t>
        </is>
      </c>
      <c r="G689" t="inlineStr">
        <is>
          <t>NORDANSTIG</t>
        </is>
      </c>
      <c r="I689" t="n">
        <v>15.6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45303</v>
      </c>
      <c r="E690" s="1" t="n">
        <v>46260</v>
      </c>
      <c r="F690" t="inlineStr">
        <is>
          <t>GÄVLEBORGS LÄN</t>
        </is>
      </c>
      <c r="G690" t="inlineStr">
        <is>
          <t>NORDANSTIG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32622-2022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44783</v>
      </c>
      <c r="E691" s="1" t="n">
        <v>46260</v>
      </c>
      <c r="F691" t="inlineStr">
        <is>
          <t>GÄVLEBORGS LÄN</t>
        </is>
      </c>
      <c r="G691" t="inlineStr">
        <is>
          <t>NORDANSTIG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5981-2026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46052</v>
      </c>
      <c r="E692" s="1" t="n">
        <v>46260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22733-2026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46157</v>
      </c>
      <c r="E693" s="1" t="n">
        <v>46260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43465-2024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45568</v>
      </c>
      <c r="E694" s="1" t="n">
        <v>46260</v>
      </c>
      <c r="F694" t="inlineStr">
        <is>
          <t>GÄVLEBORGS LÄN</t>
        </is>
      </c>
      <c r="G694" t="inlineStr">
        <is>
          <t>NORDANSTIG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38298-2024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45545</v>
      </c>
      <c r="E695" s="1" t="n">
        <v>46260</v>
      </c>
      <c r="F695" t="inlineStr">
        <is>
          <t>GÄVLEBORGS LÄN</t>
        </is>
      </c>
      <c r="G695" t="inlineStr">
        <is>
          <t>NORDANSTIG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36464-2024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45537</v>
      </c>
      <c r="E696" s="1" t="n">
        <v>46260</v>
      </c>
      <c r="F696" t="inlineStr">
        <is>
          <t>GÄVLEBORGS LÄN</t>
        </is>
      </c>
      <c r="G696" t="inlineStr">
        <is>
          <t>NORDANSTIG</t>
        </is>
      </c>
      <c r="H696" t="inlineStr">
        <is>
          <t>SCA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23039-2026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46161</v>
      </c>
      <c r="E697" s="1" t="n">
        <v>46260</v>
      </c>
      <c r="F697" t="inlineStr">
        <is>
          <t>GÄVLEBORGS LÄN</t>
        </is>
      </c>
      <c r="G697" t="inlineStr">
        <is>
          <t>NORDANSTIG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63145-2023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45273</v>
      </c>
      <c r="E698" s="1" t="n">
        <v>46260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34342-2025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46260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15622-2025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45748</v>
      </c>
      <c r="E700" s="1" t="n">
        <v>46260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23002-2026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46160</v>
      </c>
      <c r="E701" s="1" t="n">
        <v>46260</v>
      </c>
      <c r="F701" t="inlineStr">
        <is>
          <t>GÄVLEBORGS LÄN</t>
        </is>
      </c>
      <c r="G701" t="inlineStr">
        <is>
          <t>NORDANSTIG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45846</v>
      </c>
      <c r="E702" s="1" t="n">
        <v>46260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9382-2022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44616</v>
      </c>
      <c r="E703" s="1" t="n">
        <v>46260</v>
      </c>
      <c r="F703" t="inlineStr">
        <is>
          <t>GÄVLEBORGS LÄN</t>
        </is>
      </c>
      <c r="G703" t="inlineStr">
        <is>
          <t>NORDANSTIG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46260</v>
      </c>
      <c r="F704" t="inlineStr">
        <is>
          <t>GÄVLEBORGS LÄN</t>
        </is>
      </c>
      <c r="G704" t="inlineStr">
        <is>
          <t>NORDANSTIG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15494-2023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45020</v>
      </c>
      <c r="E705" s="1" t="n">
        <v>46260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15496-2023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45020</v>
      </c>
      <c r="E706" s="1" t="n">
        <v>46260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46299-2023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45197</v>
      </c>
      <c r="E707" s="1" t="n">
        <v>46260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10484-2023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44987</v>
      </c>
      <c r="E708" s="1" t="n">
        <v>46260</v>
      </c>
      <c r="F708" t="inlineStr">
        <is>
          <t>GÄVLEBORGS LÄN</t>
        </is>
      </c>
      <c r="G708" t="inlineStr">
        <is>
          <t>NORDANSTIG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23506-2026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46260</v>
      </c>
      <c r="F709" t="inlineStr">
        <is>
          <t>GÄVLEBORGS LÄN</t>
        </is>
      </c>
      <c r="G709" t="inlineStr">
        <is>
          <t>NORDANSTIG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34694-2025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45848</v>
      </c>
      <c r="E710" s="1" t="n">
        <v>46260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19231-2024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45428</v>
      </c>
      <c r="E711" s="1" t="n">
        <v>46260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21.5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51842-2024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45607</v>
      </c>
      <c r="E712" s="1" t="n">
        <v>46260</v>
      </c>
      <c r="F712" t="inlineStr">
        <is>
          <t>GÄVLEBORGS LÄN</t>
        </is>
      </c>
      <c r="G712" t="inlineStr">
        <is>
          <t>NORDANSTIG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34728-2025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45848</v>
      </c>
      <c r="E713" s="1" t="n">
        <v>46260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46051</v>
      </c>
      <c r="E714" s="1" t="n">
        <v>46260</v>
      </c>
      <c r="F714" t="inlineStr">
        <is>
          <t>GÄVLEBORGS LÄN</t>
        </is>
      </c>
      <c r="G714" t="inlineStr">
        <is>
          <t>NORDANSTIG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19906-2026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46136</v>
      </c>
      <c r="E715" s="1" t="n">
        <v>46260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34788-2025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45848</v>
      </c>
      <c r="E716" s="1" t="n">
        <v>46260</v>
      </c>
      <c r="F716" t="inlineStr">
        <is>
          <t>GÄVLEBORGS LÄN</t>
        </is>
      </c>
      <c r="G716" t="inlineStr">
        <is>
          <t>NORDANSTIG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16434-2026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46111</v>
      </c>
      <c r="E717" s="1" t="n">
        <v>46260</v>
      </c>
      <c r="F717" t="inlineStr">
        <is>
          <t>GÄVLEBORGS LÄN</t>
        </is>
      </c>
      <c r="G717" t="inlineStr">
        <is>
          <t>NORDANSTIG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57866-2024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45631</v>
      </c>
      <c r="E718" s="1" t="n">
        <v>46260</v>
      </c>
      <c r="F718" t="inlineStr">
        <is>
          <t>GÄVLEBORGS LÄN</t>
        </is>
      </c>
      <c r="G718" t="inlineStr">
        <is>
          <t>NORDANSTIG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54713-2024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45618</v>
      </c>
      <c r="E719" s="1" t="n">
        <v>46260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38451-2024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45546</v>
      </c>
      <c r="E720" s="1" t="n">
        <v>46260</v>
      </c>
      <c r="F720" t="inlineStr">
        <is>
          <t>GÄVLEBORGS LÄN</t>
        </is>
      </c>
      <c r="G720" t="inlineStr">
        <is>
          <t>NORDANSTIG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46164</v>
      </c>
      <c r="E721" s="1" t="n">
        <v>46260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23895-2026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46167</v>
      </c>
      <c r="E722" s="1" t="n">
        <v>46260</v>
      </c>
      <c r="F722" t="inlineStr">
        <is>
          <t>GÄVLEBORGS LÄN</t>
        </is>
      </c>
      <c r="G722" t="inlineStr">
        <is>
          <t>NORDANSTIG</t>
        </is>
      </c>
      <c r="I722" t="n">
        <v>18.1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64835-2021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44512</v>
      </c>
      <c r="E723" s="1" t="n">
        <v>46260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23654-2026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46164</v>
      </c>
      <c r="E724" s="1" t="n">
        <v>46260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57463-2023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45246</v>
      </c>
      <c r="E725" s="1" t="n">
        <v>46260</v>
      </c>
      <c r="F725" t="inlineStr">
        <is>
          <t>GÄVLEBORGS LÄN</t>
        </is>
      </c>
      <c r="G725" t="inlineStr">
        <is>
          <t>NORDANSTIG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23867-2026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46167</v>
      </c>
      <c r="E726" s="1" t="n">
        <v>46260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23900-2026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46167</v>
      </c>
      <c r="E727" s="1" t="n">
        <v>46260</v>
      </c>
      <c r="F727" t="inlineStr">
        <is>
          <t>GÄVLEBORGS LÄN</t>
        </is>
      </c>
      <c r="G727" t="inlineStr">
        <is>
          <t>NORDANSTIG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5968-2025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45695</v>
      </c>
      <c r="E728" s="1" t="n">
        <v>46260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56733-2024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45628</v>
      </c>
      <c r="E729" s="1" t="n">
        <v>46260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37972-2022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44811</v>
      </c>
      <c r="E730" s="1" t="n">
        <v>46260</v>
      </c>
      <c r="F730" t="inlineStr">
        <is>
          <t>GÄVLEBORGS LÄN</t>
        </is>
      </c>
      <c r="G730" t="inlineStr">
        <is>
          <t>NORDANSTIG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51222-2024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45603</v>
      </c>
      <c r="E731" s="1" t="n">
        <v>46260</v>
      </c>
      <c r="F731" t="inlineStr">
        <is>
          <t>GÄVLEBORGS LÄN</t>
        </is>
      </c>
      <c r="G731" t="inlineStr">
        <is>
          <t>NORDANSTIG</t>
        </is>
      </c>
      <c r="I731" t="n">
        <v>15.1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51230-2024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45603</v>
      </c>
      <c r="E732" s="1" t="n">
        <v>46260</v>
      </c>
      <c r="F732" t="inlineStr">
        <is>
          <t>GÄVLEBORGS LÄN</t>
        </is>
      </c>
      <c r="G732" t="inlineStr">
        <is>
          <t>NORDANSTIG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33974-2022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44790</v>
      </c>
      <c r="E733" s="1" t="n">
        <v>46260</v>
      </c>
      <c r="F733" t="inlineStr">
        <is>
          <t>GÄVLEBORGS LÄN</t>
        </is>
      </c>
      <c r="G733" t="inlineStr">
        <is>
          <t>NORDANSTIG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46169</v>
      </c>
      <c r="E734" s="1" t="n">
        <v>46260</v>
      </c>
      <c r="F734" t="inlineStr">
        <is>
          <t>GÄVLEBORGS LÄN</t>
        </is>
      </c>
      <c r="G734" t="inlineStr">
        <is>
          <t>NORDANSTIG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45549-2024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45579</v>
      </c>
      <c r="E735" s="1" t="n">
        <v>46260</v>
      </c>
      <c r="F735" t="inlineStr">
        <is>
          <t>GÄVLEBORGS LÄN</t>
        </is>
      </c>
      <c r="G735" t="inlineStr">
        <is>
          <t>NORDANSTIG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35707-2025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45860</v>
      </c>
      <c r="E736" s="1" t="n">
        <v>46260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35733-2025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45860</v>
      </c>
      <c r="E737" s="1" t="n">
        <v>46260</v>
      </c>
      <c r="F737" t="inlineStr">
        <is>
          <t>GÄVLEBORGS LÄN</t>
        </is>
      </c>
      <c r="G737" t="inlineStr">
        <is>
          <t>NORDANSTIG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15088-2024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45399</v>
      </c>
      <c r="E738" s="1" t="n">
        <v>46260</v>
      </c>
      <c r="F738" t="inlineStr">
        <is>
          <t>GÄVLEBORGS LÄN</t>
        </is>
      </c>
      <c r="G738" t="inlineStr">
        <is>
          <t>NORDANSTIG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58749-2024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45635</v>
      </c>
      <c r="E739" s="1" t="n">
        <v>46260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34502-2024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45525</v>
      </c>
      <c r="E740" s="1" t="n">
        <v>46260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36694-2024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45537</v>
      </c>
      <c r="E741" s="1" t="n">
        <v>46260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35652-2025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45859</v>
      </c>
      <c r="E742" s="1" t="n">
        <v>46260</v>
      </c>
      <c r="F742" t="inlineStr">
        <is>
          <t>GÄVLEBORGS LÄN</t>
        </is>
      </c>
      <c r="G742" t="inlineStr">
        <is>
          <t>NORDANSTIG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24178-2026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46168</v>
      </c>
      <c r="E743" s="1" t="n">
        <v>46260</v>
      </c>
      <c r="F743" t="inlineStr">
        <is>
          <t>GÄVLEBORGS LÄN</t>
        </is>
      </c>
      <c r="G743" t="inlineStr">
        <is>
          <t>NORDANSTIG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46260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46260</v>
      </c>
      <c r="F745" t="inlineStr">
        <is>
          <t>GÄVLEBORGS LÄN</t>
        </is>
      </c>
      <c r="G745" t="inlineStr">
        <is>
          <t>NORDANSTIG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55523-2024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45622</v>
      </c>
      <c r="E746" s="1" t="n">
        <v>46260</v>
      </c>
      <c r="F746" t="inlineStr">
        <is>
          <t>GÄVLEBORGS LÄN</t>
        </is>
      </c>
      <c r="G746" t="inlineStr">
        <is>
          <t>NORDANSTIG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55538-2024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46260</v>
      </c>
      <c r="F747" t="inlineStr">
        <is>
          <t>GÄVLEBORGS LÄN</t>
        </is>
      </c>
      <c r="G747" t="inlineStr">
        <is>
          <t>NORDANSTIG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45667</v>
      </c>
      <c r="E748" s="1" t="n">
        <v>46260</v>
      </c>
      <c r="F748" t="inlineStr">
        <is>
          <t>GÄVLEBORGS LÄN</t>
        </is>
      </c>
      <c r="G748" t="inlineStr">
        <is>
          <t>NORDANSTIG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1579-2025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45670</v>
      </c>
      <c r="E749" s="1" t="n">
        <v>46260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46042</v>
      </c>
      <c r="E750" s="1" t="n">
        <v>46260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65039-2023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45287</v>
      </c>
      <c r="E751" s="1" t="n">
        <v>46260</v>
      </c>
      <c r="F751" t="inlineStr">
        <is>
          <t>GÄVLEBORGS LÄN</t>
        </is>
      </c>
      <c r="G751" t="inlineStr">
        <is>
          <t>NORDANSTIG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23770-2024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45455</v>
      </c>
      <c r="E752" s="1" t="n">
        <v>46260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44596</v>
      </c>
      <c r="E753" s="1" t="n">
        <v>46260</v>
      </c>
      <c r="F753" t="inlineStr">
        <is>
          <t>GÄVLEBORGS LÄN</t>
        </is>
      </c>
      <c r="G753" t="inlineStr">
        <is>
          <t>NORDANSTIG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46260</v>
      </c>
      <c r="F754" t="inlineStr">
        <is>
          <t>GÄVLEBORGS LÄN</t>
        </is>
      </c>
      <c r="G754" t="inlineStr">
        <is>
          <t>NORDANSTIG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46029</v>
      </c>
      <c r="E755" s="1" t="n">
        <v>46260</v>
      </c>
      <c r="F755" t="inlineStr">
        <is>
          <t>GÄVLEBORGS LÄN</t>
        </is>
      </c>
      <c r="G755" t="inlineStr">
        <is>
          <t>NORDANSTIG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1034-2026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46260</v>
      </c>
      <c r="F756" t="inlineStr">
        <is>
          <t>GÄVLEBORGS LÄN</t>
        </is>
      </c>
      <c r="G756" t="inlineStr">
        <is>
          <t>NORDANSTIG</t>
        </is>
      </c>
      <c r="I756" t="n">
        <v>11.5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46171</v>
      </c>
      <c r="E757" s="1" t="n">
        <v>46260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31899-2022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44777</v>
      </c>
      <c r="E758" s="1" t="n">
        <v>46260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46260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46171</v>
      </c>
      <c r="E760" s="1" t="n">
        <v>46260</v>
      </c>
      <c r="F760" t="inlineStr">
        <is>
          <t>GÄVLEBORGS LÄN</t>
        </is>
      </c>
      <c r="G760" t="inlineStr">
        <is>
          <t>NORDANSTIG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46043</v>
      </c>
      <c r="E761" s="1" t="n">
        <v>46260</v>
      </c>
      <c r="F761" t="inlineStr">
        <is>
          <t>GÄVLEBORGS LÄN</t>
        </is>
      </c>
      <c r="G761" t="inlineStr">
        <is>
          <t>NORDANSTIG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25406-2026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46260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42796-2024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45566</v>
      </c>
      <c r="E763" s="1" t="n">
        <v>46260</v>
      </c>
      <c r="F763" t="inlineStr">
        <is>
          <t>GÄVLEBORGS LÄN</t>
        </is>
      </c>
      <c r="G763" t="inlineStr">
        <is>
          <t>NORDANSTIG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17853-2025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45758</v>
      </c>
      <c r="E764" s="1" t="n">
        <v>46260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25166-2026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46175</v>
      </c>
      <c r="E765" s="1" t="n">
        <v>46260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54896-2024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45618</v>
      </c>
      <c r="E766" s="1" t="n">
        <v>46260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46260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4445-2025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45686</v>
      </c>
      <c r="E768" s="1" t="n">
        <v>46260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13.4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46136</v>
      </c>
      <c r="E769" s="1" t="n">
        <v>46260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73748-2021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44552</v>
      </c>
      <c r="E770" s="1" t="n">
        <v>46260</v>
      </c>
      <c r="F770" t="inlineStr">
        <is>
          <t>GÄVLEBORGS LÄN</t>
        </is>
      </c>
      <c r="G770" t="inlineStr">
        <is>
          <t>NORDANSTIG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51387-2024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46260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31385-2026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46220</v>
      </c>
      <c r="E772" s="1" t="n">
        <v>46260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35115-2022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44797</v>
      </c>
      <c r="E773" s="1" t="n">
        <v>46260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46051</v>
      </c>
      <c r="E774" s="1" t="n">
        <v>46260</v>
      </c>
      <c r="F774" t="inlineStr">
        <is>
          <t>GÄVLEBORGS LÄN</t>
        </is>
      </c>
      <c r="G774" t="inlineStr">
        <is>
          <t>NORDANSTIG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46260</v>
      </c>
      <c r="F775" t="inlineStr">
        <is>
          <t>GÄVLEBORGS LÄN</t>
        </is>
      </c>
      <c r="G775" t="inlineStr">
        <is>
          <t>NORDANSTIG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46042</v>
      </c>
      <c r="E776" s="1" t="n">
        <v>46260</v>
      </c>
      <c r="F776" t="inlineStr">
        <is>
          <t>GÄVLEBORGS LÄN</t>
        </is>
      </c>
      <c r="G776" t="inlineStr">
        <is>
          <t>NORDANSTIG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35765-2024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45532</v>
      </c>
      <c r="E777" s="1" t="n">
        <v>46260</v>
      </c>
      <c r="F777" t="inlineStr">
        <is>
          <t>GÄVLEBORGS LÄN</t>
        </is>
      </c>
      <c r="G777" t="inlineStr">
        <is>
          <t>NORDANSTIG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10910-2026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46079</v>
      </c>
      <c r="E778" s="1" t="n">
        <v>46260</v>
      </c>
      <c r="F778" t="inlineStr">
        <is>
          <t>GÄVLEBORGS LÄN</t>
        </is>
      </c>
      <c r="G778" t="inlineStr">
        <is>
          <t>NORDANSTIG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46223</v>
      </c>
      <c r="E779" s="1" t="n">
        <v>46260</v>
      </c>
      <c r="F779" t="inlineStr">
        <is>
          <t>GÄVLEBORGS LÄN</t>
        </is>
      </c>
      <c r="G779" t="inlineStr">
        <is>
          <t>NORDANSTIG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38159-2022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44812</v>
      </c>
      <c r="E780" s="1" t="n">
        <v>46260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50657-2024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45601</v>
      </c>
      <c r="E781" s="1" t="n">
        <v>46260</v>
      </c>
      <c r="F781" t="inlineStr">
        <is>
          <t>GÄVLEBORGS LÄN</t>
        </is>
      </c>
      <c r="G781" t="inlineStr">
        <is>
          <t>NORDANSTIG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25586-2026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46260</v>
      </c>
      <c r="F782" t="inlineStr">
        <is>
          <t>GÄVLEBORGS LÄN</t>
        </is>
      </c>
      <c r="G782" t="inlineStr">
        <is>
          <t>NORDANSTIG</t>
        </is>
      </c>
      <c r="H782" t="inlineStr">
        <is>
          <t>SCA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31500-2026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46223</v>
      </c>
      <c r="E783" s="1" t="n">
        <v>46260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25704-2026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46260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30978-2024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45499</v>
      </c>
      <c r="E785" s="1" t="n">
        <v>46260</v>
      </c>
      <c r="F785" t="inlineStr">
        <is>
          <t>GÄVLEBORGS LÄN</t>
        </is>
      </c>
      <c r="G785" t="inlineStr">
        <is>
          <t>NORDANSTIG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37848-2025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45881</v>
      </c>
      <c r="E786" s="1" t="n">
        <v>46260</v>
      </c>
      <c r="F786" t="inlineStr">
        <is>
          <t>GÄVLEBORGS LÄN</t>
        </is>
      </c>
      <c r="G786" t="inlineStr">
        <is>
          <t>NORDANSTIG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37728-2025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45880</v>
      </c>
      <c r="E787" s="1" t="n">
        <v>46260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38295-2025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45883</v>
      </c>
      <c r="E788" s="1" t="n">
        <v>46260</v>
      </c>
      <c r="F788" t="inlineStr">
        <is>
          <t>GÄVLEBORGS LÄN</t>
        </is>
      </c>
      <c r="G788" t="inlineStr">
        <is>
          <t>NORDANSTIG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34560-2023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45140</v>
      </c>
      <c r="E789" s="1" t="n">
        <v>46260</v>
      </c>
      <c r="F789" t="inlineStr">
        <is>
          <t>GÄVLEBORGS LÄN</t>
        </is>
      </c>
      <c r="G789" t="inlineStr">
        <is>
          <t>NORDANSTIG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25931-2026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46179</v>
      </c>
      <c r="E790" s="1" t="n">
        <v>46260</v>
      </c>
      <c r="F790" t="inlineStr">
        <is>
          <t>GÄVLEBORGS LÄN</t>
        </is>
      </c>
      <c r="G790" t="inlineStr">
        <is>
          <t>NORDANSTIG</t>
        </is>
      </c>
      <c r="I790" t="n">
        <v>8.4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25633-2026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46177</v>
      </c>
      <c r="E791" s="1" t="n">
        <v>46260</v>
      </c>
      <c r="F791" t="inlineStr">
        <is>
          <t>GÄVLEBORGS LÄN</t>
        </is>
      </c>
      <c r="G791" t="inlineStr">
        <is>
          <t>NORDANSTIG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37563-2025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45880</v>
      </c>
      <c r="E792" s="1" t="n">
        <v>46260</v>
      </c>
      <c r="F792" t="inlineStr">
        <is>
          <t>GÄVLEBORGS LÄN</t>
        </is>
      </c>
      <c r="G792" t="inlineStr">
        <is>
          <t>NORDANSTIG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31406-2026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46220</v>
      </c>
      <c r="E793" s="1" t="n">
        <v>46260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31422-2026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46220</v>
      </c>
      <c r="E794" s="1" t="n">
        <v>46260</v>
      </c>
      <c r="F794" t="inlineStr">
        <is>
          <t>GÄVLEBORGS LÄN</t>
        </is>
      </c>
      <c r="G794" t="inlineStr">
        <is>
          <t>NORDANSTIG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46220</v>
      </c>
      <c r="E795" s="1" t="n">
        <v>46260</v>
      </c>
      <c r="F795" t="inlineStr">
        <is>
          <t>GÄVLEBORGS LÄN</t>
        </is>
      </c>
      <c r="G795" t="inlineStr">
        <is>
          <t>NORDANSTIG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38091-2025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45882</v>
      </c>
      <c r="E796" s="1" t="n">
        <v>46260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20.2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38246-2025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45883</v>
      </c>
      <c r="E797" s="1" t="n">
        <v>46260</v>
      </c>
      <c r="F797" t="inlineStr">
        <is>
          <t>GÄVLEBORGS LÄN</t>
        </is>
      </c>
      <c r="G797" t="inlineStr">
        <is>
          <t>NORDANSTIG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16640-2025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45754</v>
      </c>
      <c r="E798" s="1" t="n">
        <v>46260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38610-2025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45884</v>
      </c>
      <c r="E799" s="1" t="n">
        <v>46260</v>
      </c>
      <c r="F799" t="inlineStr">
        <is>
          <t>GÄVLEBORGS LÄN</t>
        </is>
      </c>
      <c r="G799" t="inlineStr">
        <is>
          <t>NORDANSTIG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11627-2026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46084</v>
      </c>
      <c r="E800" s="1" t="n">
        <v>46260</v>
      </c>
      <c r="F800" t="inlineStr">
        <is>
          <t>GÄVLEBORGS LÄN</t>
        </is>
      </c>
      <c r="G800" t="inlineStr">
        <is>
          <t>NORDANSTIG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53988-2023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45231</v>
      </c>
      <c r="E801" s="1" t="n">
        <v>46260</v>
      </c>
      <c r="F801" t="inlineStr">
        <is>
          <t>GÄVLEBORGS LÄN</t>
        </is>
      </c>
      <c r="G801" t="inlineStr">
        <is>
          <t>NORDANSTIG</t>
        </is>
      </c>
      <c r="I801" t="n">
        <v>6.2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26044-2026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46181</v>
      </c>
      <c r="E802" s="1" t="n">
        <v>46260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1860-2025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45671</v>
      </c>
      <c r="E803" s="1" t="n">
        <v>46260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26238-2026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46182</v>
      </c>
      <c r="E804" s="1" t="n">
        <v>46260</v>
      </c>
      <c r="F804" t="inlineStr">
        <is>
          <t>GÄVLEBORGS LÄN</t>
        </is>
      </c>
      <c r="G804" t="inlineStr">
        <is>
          <t>NORDANSTIG</t>
        </is>
      </c>
      <c r="H804" t="inlineStr">
        <is>
          <t>SCA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26126-2026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46181</v>
      </c>
      <c r="E805" s="1" t="n">
        <v>46260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46226</v>
      </c>
      <c r="E806" s="1" t="n">
        <v>46260</v>
      </c>
      <c r="F806" t="inlineStr">
        <is>
          <t>GÄVLEBORGS LÄN</t>
        </is>
      </c>
      <c r="G806" t="inlineStr">
        <is>
          <t>NORDANSTIG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26486-2026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46260</v>
      </c>
      <c r="F807" t="inlineStr">
        <is>
          <t>GÄVLEBORGS LÄN</t>
        </is>
      </c>
      <c r="G807" t="inlineStr">
        <is>
          <t>NORDANSTIG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31732-2026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46227</v>
      </c>
      <c r="E808" s="1" t="n">
        <v>46260</v>
      </c>
      <c r="F808" t="inlineStr">
        <is>
          <t>GÄVLEBORGS LÄN</t>
        </is>
      </c>
      <c r="G808" t="inlineStr">
        <is>
          <t>NORDANSTIG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25946-2023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45090</v>
      </c>
      <c r="E809" s="1" t="n">
        <v>46260</v>
      </c>
      <c r="F809" t="inlineStr">
        <is>
          <t>GÄVLEBORGS LÄN</t>
        </is>
      </c>
      <c r="G809" t="inlineStr">
        <is>
          <t>NORDANSTIG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35070-2022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44797</v>
      </c>
      <c r="E810" s="1" t="n">
        <v>46260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46260</v>
      </c>
      <c r="F811" t="inlineStr">
        <is>
          <t>GÄVLEBORGS LÄN</t>
        </is>
      </c>
      <c r="G811" t="inlineStr">
        <is>
          <t>NORDANSTIG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31708-2026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46226</v>
      </c>
      <c r="E812" s="1" t="n">
        <v>46260</v>
      </c>
      <c r="F812" t="inlineStr">
        <is>
          <t>GÄVLEBORGS LÄN</t>
        </is>
      </c>
      <c r="G812" t="inlineStr">
        <is>
          <t>NORDANSTIG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26700-2026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46184</v>
      </c>
      <c r="E813" s="1" t="n">
        <v>46260</v>
      </c>
      <c r="F813" t="inlineStr">
        <is>
          <t>GÄVLEBORGS LÄN</t>
        </is>
      </c>
      <c r="G813" t="inlineStr">
        <is>
          <t>NORDANSTIG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22868-2023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45072</v>
      </c>
      <c r="E814" s="1" t="n">
        <v>46260</v>
      </c>
      <c r="F814" t="inlineStr">
        <is>
          <t>GÄVLEBORGS LÄN</t>
        </is>
      </c>
      <c r="G814" t="inlineStr">
        <is>
          <t>NORDANSTIG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46260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27183-2026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46188</v>
      </c>
      <c r="E816" s="1" t="n">
        <v>46260</v>
      </c>
      <c r="F816" t="inlineStr">
        <is>
          <t>GÄVLEBORGS LÄN</t>
        </is>
      </c>
      <c r="G816" t="inlineStr">
        <is>
          <t>NORDANSTIG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27129-2026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46188</v>
      </c>
      <c r="E817" s="1" t="n">
        <v>46260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26842-2026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46260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50.7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46260</v>
      </c>
      <c r="F819" t="inlineStr">
        <is>
          <t>GÄVLEBORGS LÄN</t>
        </is>
      </c>
      <c r="G819" t="inlineStr">
        <is>
          <t>NORDANSTIG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27149-2026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46260</v>
      </c>
      <c r="F820" t="inlineStr">
        <is>
          <t>GÄVLEBORGS LÄN</t>
        </is>
      </c>
      <c r="G820" t="inlineStr">
        <is>
          <t>NORDANSTIG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27114-2026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46188</v>
      </c>
      <c r="E821" s="1" t="n">
        <v>46260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36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27150-2026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46260</v>
      </c>
      <c r="F822" t="inlineStr">
        <is>
          <t>GÄVLEBORGS LÄN</t>
        </is>
      </c>
      <c r="G822" t="inlineStr">
        <is>
          <t>NORDANSTIG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26838-2026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46260</v>
      </c>
      <c r="F823" t="inlineStr">
        <is>
          <t>GÄVLEBORGS LÄN</t>
        </is>
      </c>
      <c r="G823" t="inlineStr">
        <is>
          <t>NORDANSTIG</t>
        </is>
      </c>
      <c r="H823" t="inlineStr">
        <is>
          <t>SCA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27236-2026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46188</v>
      </c>
      <c r="E824" s="1" t="n">
        <v>46260</v>
      </c>
      <c r="F824" t="inlineStr">
        <is>
          <t>GÄVLEBORGS LÄN</t>
        </is>
      </c>
      <c r="G824" t="inlineStr">
        <is>
          <t>NORDANSTIG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41773-2025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45902</v>
      </c>
      <c r="E825" s="1" t="n">
        <v>46260</v>
      </c>
      <c r="F825" t="inlineStr">
        <is>
          <t>GÄVLEBORGS LÄN</t>
        </is>
      </c>
      <c r="G825" t="inlineStr">
        <is>
          <t>NORDANSTIG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5660-2023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44960</v>
      </c>
      <c r="E826" s="1" t="n">
        <v>46260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40738-2023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45170</v>
      </c>
      <c r="E827" s="1" t="n">
        <v>46260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32652-2023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45121</v>
      </c>
      <c r="E828" s="1" t="n">
        <v>46260</v>
      </c>
      <c r="F828" t="inlineStr">
        <is>
          <t>GÄVLEBORGS LÄN</t>
        </is>
      </c>
      <c r="G828" t="inlineStr">
        <is>
          <t>NORDANSTIG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32092-2026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46234</v>
      </c>
      <c r="E829" s="1" t="n">
        <v>46260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27975-2026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46195</v>
      </c>
      <c r="E830" s="1" t="n">
        <v>46260</v>
      </c>
      <c r="F830" t="inlineStr">
        <is>
          <t>GÄVLEBORGS LÄN</t>
        </is>
      </c>
      <c r="G830" t="inlineStr">
        <is>
          <t>NORDANSTIG</t>
        </is>
      </c>
      <c r="I830" t="n">
        <v>5.6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20747-2023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45058</v>
      </c>
      <c r="E831" s="1" t="n">
        <v>46260</v>
      </c>
      <c r="F831" t="inlineStr">
        <is>
          <t>GÄVLEBORGS LÄN</t>
        </is>
      </c>
      <c r="G831" t="inlineStr">
        <is>
          <t>NORDANSTIG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28391-2026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46260</v>
      </c>
      <c r="F832" t="inlineStr">
        <is>
          <t>GÄVLEBORGS LÄN</t>
        </is>
      </c>
      <c r="G832" t="inlineStr">
        <is>
          <t>NORDANSTIG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37739-2024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45541</v>
      </c>
      <c r="E833" s="1" t="n">
        <v>46260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32340-2026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46238</v>
      </c>
      <c r="E834" s="1" t="n">
        <v>46260</v>
      </c>
      <c r="F834" t="inlineStr">
        <is>
          <t>GÄVLEBORGS LÄN</t>
        </is>
      </c>
      <c r="G834" t="inlineStr">
        <is>
          <t>NORDANSTIG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27976-2026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46195</v>
      </c>
      <c r="E835" s="1" t="n">
        <v>46260</v>
      </c>
      <c r="F835" t="inlineStr">
        <is>
          <t>GÄVLEBORGS LÄN</t>
        </is>
      </c>
      <c r="G835" t="inlineStr">
        <is>
          <t>NORDANSTIG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27981-2026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46195</v>
      </c>
      <c r="E836" s="1" t="n">
        <v>46260</v>
      </c>
      <c r="F836" t="inlineStr">
        <is>
          <t>GÄVLEBORGS LÄN</t>
        </is>
      </c>
      <c r="G836" t="inlineStr">
        <is>
          <t>NORDANSTIG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12858-2025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45733</v>
      </c>
      <c r="E837" s="1" t="n">
        <v>46260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17505-2025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45757</v>
      </c>
      <c r="E838" s="1" t="n">
        <v>46260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8.300000000000001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11599-2024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45373</v>
      </c>
      <c r="E839" s="1" t="n">
        <v>46260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28226-2026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46196</v>
      </c>
      <c r="E840" s="1" t="n">
        <v>46260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58912-2024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45636</v>
      </c>
      <c r="E841" s="1" t="n">
        <v>46260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31894-2026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46231</v>
      </c>
      <c r="E842" s="1" t="n">
        <v>46260</v>
      </c>
      <c r="F842" t="inlineStr">
        <is>
          <t>GÄVLEBORGS LÄN</t>
        </is>
      </c>
      <c r="G842" t="inlineStr">
        <is>
          <t>NORDANSTIG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28370-2026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46260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45034</v>
      </c>
      <c r="E844" s="1" t="n">
        <v>46260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8.6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18988-2022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44690</v>
      </c>
      <c r="E845" s="1" t="n">
        <v>46260</v>
      </c>
      <c r="F845" t="inlineStr">
        <is>
          <t>GÄVLEBORGS LÄN</t>
        </is>
      </c>
      <c r="G845" t="inlineStr">
        <is>
          <t>NORDANSTIG</t>
        </is>
      </c>
      <c r="I845" t="n">
        <v>9.300000000000001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32726-2026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46241</v>
      </c>
      <c r="E846" s="1" t="n">
        <v>46260</v>
      </c>
      <c r="F846" t="inlineStr">
        <is>
          <t>GÄVLEBORGS LÄN</t>
        </is>
      </c>
      <c r="G846" t="inlineStr">
        <is>
          <t>NORDANSTIG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28777-2026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46198</v>
      </c>
      <c r="E847" s="1" t="n">
        <v>46260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28724-2026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46260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28739-2026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46198</v>
      </c>
      <c r="E849" s="1" t="n">
        <v>46260</v>
      </c>
      <c r="F849" t="inlineStr">
        <is>
          <t>GÄVLEBORGS LÄN</t>
        </is>
      </c>
      <c r="G849" t="inlineStr">
        <is>
          <t>NORDANSTIG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46260</v>
      </c>
      <c r="F850" t="inlineStr">
        <is>
          <t>GÄVLEBORGS LÄN</t>
        </is>
      </c>
      <c r="G850" t="inlineStr">
        <is>
          <t>NORDANSTIG</t>
        </is>
      </c>
      <c r="I850" t="n">
        <v>11.2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45550-2024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45579</v>
      </c>
      <c r="E851" s="1" t="n">
        <v>46260</v>
      </c>
      <c r="F851" t="inlineStr">
        <is>
          <t>GÄVLEBORGS LÄN</t>
        </is>
      </c>
      <c r="G851" t="inlineStr">
        <is>
          <t>NORDANSTIG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28529-2026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46197</v>
      </c>
      <c r="E852" s="1" t="n">
        <v>46260</v>
      </c>
      <c r="F852" t="inlineStr">
        <is>
          <t>GÄVLEBORGS LÄN</t>
        </is>
      </c>
      <c r="G852" t="inlineStr">
        <is>
          <t>NORDANSTIG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34557-2023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45140</v>
      </c>
      <c r="E853" s="1" t="n">
        <v>46260</v>
      </c>
      <c r="F853" t="inlineStr">
        <is>
          <t>GÄVLEBORGS LÄN</t>
        </is>
      </c>
      <c r="G853" t="inlineStr">
        <is>
          <t>NORDANSTIG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28734-2026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46198</v>
      </c>
      <c r="E854" s="1" t="n">
        <v>46260</v>
      </c>
      <c r="F854" t="inlineStr">
        <is>
          <t>GÄVLEBORGS LÄN</t>
        </is>
      </c>
      <c r="G854" t="inlineStr">
        <is>
          <t>NORDANSTIG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47876-2023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45204</v>
      </c>
      <c r="E855" s="1" t="n">
        <v>46260</v>
      </c>
      <c r="F855" t="inlineStr">
        <is>
          <t>GÄVLEBORGS LÄN</t>
        </is>
      </c>
      <c r="G855" t="inlineStr">
        <is>
          <t>NORDANSTIG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57863-2024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45631</v>
      </c>
      <c r="E856" s="1" t="n">
        <v>46260</v>
      </c>
      <c r="F856" t="inlineStr">
        <is>
          <t>GÄVLEBORGS LÄN</t>
        </is>
      </c>
      <c r="G856" t="inlineStr">
        <is>
          <t>NORDANSTIG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29162-2026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46202</v>
      </c>
      <c r="E857" s="1" t="n">
        <v>46260</v>
      </c>
      <c r="F857" t="inlineStr">
        <is>
          <t>GÄVLEBORGS LÄN</t>
        </is>
      </c>
      <c r="G857" t="inlineStr">
        <is>
          <t>NORDANSTIG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32938-2026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46260</v>
      </c>
      <c r="F858" t="inlineStr">
        <is>
          <t>GÄVLEBORGS LÄN</t>
        </is>
      </c>
      <c r="G858" t="inlineStr">
        <is>
          <t>NORDANSTIG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44930</v>
      </c>
      <c r="E859" s="1" t="n">
        <v>46260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1708-2023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44938</v>
      </c>
      <c r="E860" s="1" t="n">
        <v>46260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5479-2023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44960</v>
      </c>
      <c r="E861" s="1" t="n">
        <v>46260</v>
      </c>
      <c r="F861" t="inlineStr">
        <is>
          <t>GÄVLEBORGS LÄN</t>
        </is>
      </c>
      <c r="G861" t="inlineStr">
        <is>
          <t>NORDANSTIG</t>
        </is>
      </c>
      <c r="I861" t="n">
        <v>17.6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32917-2026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46260</v>
      </c>
      <c r="F862" t="inlineStr">
        <is>
          <t>GÄVLEBORGS LÄN</t>
        </is>
      </c>
      <c r="G862" t="inlineStr">
        <is>
          <t>NORDANSTIG</t>
        </is>
      </c>
      <c r="I862" t="n">
        <v>7.4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10137-2024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45364</v>
      </c>
      <c r="E863" s="1" t="n">
        <v>46260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37217-2024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45539</v>
      </c>
      <c r="E864" s="1" t="n">
        <v>46260</v>
      </c>
      <c r="F864" t="inlineStr">
        <is>
          <t>GÄVLEBORGS LÄN</t>
        </is>
      </c>
      <c r="G864" t="inlineStr">
        <is>
          <t>NORDANSTIG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9131-2024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45358</v>
      </c>
      <c r="E865" s="1" t="n">
        <v>46260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4021-2023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44952</v>
      </c>
      <c r="E866" s="1" t="n">
        <v>46260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46376-2024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45582</v>
      </c>
      <c r="E867" s="1" t="n">
        <v>46260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46260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8.800000000000001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22547-2022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44713</v>
      </c>
      <c r="E869" s="1" t="n">
        <v>46260</v>
      </c>
      <c r="F869" t="inlineStr">
        <is>
          <t>GÄVLEBORGS LÄN</t>
        </is>
      </c>
      <c r="G869" t="inlineStr">
        <is>
          <t>NORDANSTIG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30816-2022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44765</v>
      </c>
      <c r="E870" s="1" t="n">
        <v>46260</v>
      </c>
      <c r="F870" t="inlineStr">
        <is>
          <t>GÄVLEBORGS LÄN</t>
        </is>
      </c>
      <c r="G870" t="inlineStr">
        <is>
          <t>NORDANSTIG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38342-2024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45545</v>
      </c>
      <c r="E871" s="1" t="n">
        <v>46260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30263-2026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46206</v>
      </c>
      <c r="E872" s="1" t="n">
        <v>46260</v>
      </c>
      <c r="F872" t="inlineStr">
        <is>
          <t>GÄVLEBORGS LÄN</t>
        </is>
      </c>
      <c r="G872" t="inlineStr">
        <is>
          <t>NORDANSTIG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30259-2026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46206</v>
      </c>
      <c r="E873" s="1" t="n">
        <v>46260</v>
      </c>
      <c r="F873" t="inlineStr">
        <is>
          <t>GÄVLEBORGS LÄN</t>
        </is>
      </c>
      <c r="G873" t="inlineStr">
        <is>
          <t>NORDANSTIG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30267-2026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46206</v>
      </c>
      <c r="E874" s="1" t="n">
        <v>46260</v>
      </c>
      <c r="F874" t="inlineStr">
        <is>
          <t>GÄVLEBORGS LÄN</t>
        </is>
      </c>
      <c r="G874" t="inlineStr">
        <is>
          <t>NORDANSTIG</t>
        </is>
      </c>
      <c r="I874" t="n">
        <v>8.1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33884-2026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46251</v>
      </c>
      <c r="E875" s="1" t="n">
        <v>46260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59297-2024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45637</v>
      </c>
      <c r="E876" s="1" t="n">
        <v>46260</v>
      </c>
      <c r="F876" t="inlineStr">
        <is>
          <t>GÄVLEBORGS LÄN</t>
        </is>
      </c>
      <c r="G876" t="inlineStr">
        <is>
          <t>NORDANSTIG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21473-2023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45063</v>
      </c>
      <c r="E877" s="1" t="n">
        <v>46260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17843-2023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45037</v>
      </c>
      <c r="E878" s="1" t="n">
        <v>46260</v>
      </c>
      <c r="F878" t="inlineStr">
        <is>
          <t>GÄVLEBORGS LÄN</t>
        </is>
      </c>
      <c r="G878" t="inlineStr">
        <is>
          <t>NORDANSTIG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36025-2023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45149</v>
      </c>
      <c r="E879" s="1" t="n">
        <v>46260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41616-2023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45175</v>
      </c>
      <c r="E880" s="1" t="n">
        <v>46260</v>
      </c>
      <c r="F880" t="inlineStr">
        <is>
          <t>GÄVLEBORGS LÄN</t>
        </is>
      </c>
      <c r="G880" t="inlineStr">
        <is>
          <t>NORDANSTIG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57976-2022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44900</v>
      </c>
      <c r="E881" s="1" t="n">
        <v>46260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57983-2022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44900</v>
      </c>
      <c r="E882" s="1" t="n">
        <v>46260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21187-2022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44704</v>
      </c>
      <c r="E883" s="1" t="n">
        <v>46260</v>
      </c>
      <c r="F883" t="inlineStr">
        <is>
          <t>GÄVLEBORGS LÄN</t>
        </is>
      </c>
      <c r="G883" t="inlineStr">
        <is>
          <t>NORDANSTIG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34229-2026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46253</v>
      </c>
      <c r="E884" s="1" t="n">
        <v>46260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51806-2024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45607</v>
      </c>
      <c r="E885" s="1" t="n">
        <v>46260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51821-2024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45607</v>
      </c>
      <c r="E886" s="1" t="n">
        <v>46260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5.7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30431-2026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46209</v>
      </c>
      <c r="E887" s="1" t="n">
        <v>46260</v>
      </c>
      <c r="F887" t="inlineStr">
        <is>
          <t>GÄVLEBORGS LÄN</t>
        </is>
      </c>
      <c r="G887" t="inlineStr">
        <is>
          <t>NORDANSTIG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54156-2024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45616</v>
      </c>
      <c r="E888" s="1" t="n">
        <v>46260</v>
      </c>
      <c r="F888" t="inlineStr">
        <is>
          <t>GÄVLEBORGS LÄN</t>
        </is>
      </c>
      <c r="G888" t="inlineStr">
        <is>
          <t>NORDANSTIG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48212-2024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45590</v>
      </c>
      <c r="E889" s="1" t="n">
        <v>46260</v>
      </c>
      <c r="F889" t="inlineStr">
        <is>
          <t>GÄVLEBORGS LÄN</t>
        </is>
      </c>
      <c r="G889" t="inlineStr">
        <is>
          <t>NORDANSTIG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30630-2022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44763</v>
      </c>
      <c r="E890" s="1" t="n">
        <v>46260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30428-2026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46209</v>
      </c>
      <c r="E891" s="1" t="n">
        <v>46260</v>
      </c>
      <c r="F891" t="inlineStr">
        <is>
          <t>GÄVLEBORGS LÄN</t>
        </is>
      </c>
      <c r="G891" t="inlineStr">
        <is>
          <t>NORDANSTIG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36960-2023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45154</v>
      </c>
      <c r="E892" s="1" t="n">
        <v>46260</v>
      </c>
      <c r="F892" t="inlineStr">
        <is>
          <t>GÄVLEBORGS LÄN</t>
        </is>
      </c>
      <c r="G892" t="inlineStr">
        <is>
          <t>NORDANSTIG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31270-2024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45504</v>
      </c>
      <c r="E893" s="1" t="n">
        <v>46260</v>
      </c>
      <c r="F893" t="inlineStr">
        <is>
          <t>GÄVLEBORGS LÄN</t>
        </is>
      </c>
      <c r="G893" t="inlineStr">
        <is>
          <t>NORDANSTIG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51438-2023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45219</v>
      </c>
      <c r="E894" s="1" t="n">
        <v>46260</v>
      </c>
      <c r="F894" t="inlineStr">
        <is>
          <t>GÄVLEBORGS LÄN</t>
        </is>
      </c>
      <c r="G894" t="inlineStr">
        <is>
          <t>NORDANSTIG</t>
        </is>
      </c>
      <c r="H894" t="inlineStr">
        <is>
          <t>SCA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30390-2026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46209</v>
      </c>
      <c r="E895" s="1" t="n">
        <v>46260</v>
      </c>
      <c r="F895" t="inlineStr">
        <is>
          <t>GÄVLEBORGS LÄN</t>
        </is>
      </c>
      <c r="G895" t="inlineStr">
        <is>
          <t>NORDANSTIG</t>
        </is>
      </c>
      <c r="I895" t="n">
        <v>9.199999999999999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30391-2026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46209</v>
      </c>
      <c r="E896" s="1" t="n">
        <v>46260</v>
      </c>
      <c r="F896" t="inlineStr">
        <is>
          <t>GÄVLEBORGS LÄN</t>
        </is>
      </c>
      <c r="G896" t="inlineStr">
        <is>
          <t>NORDANSTIG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34235-2026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46253</v>
      </c>
      <c r="E897" s="1" t="n">
        <v>46260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46253</v>
      </c>
      <c r="E898" s="1" t="n">
        <v>46260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34212-2026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46253</v>
      </c>
      <c r="E899" s="1" t="n">
        <v>46260</v>
      </c>
      <c r="F899" t="inlineStr">
        <is>
          <t>GÄVLEBORGS LÄN</t>
        </is>
      </c>
      <c r="G899" t="inlineStr">
        <is>
          <t>NORDANSTIG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5963-2025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45695</v>
      </c>
      <c r="E900" s="1" t="n">
        <v>46260</v>
      </c>
      <c r="F900" t="inlineStr">
        <is>
          <t>GÄVLEBORGS LÄN</t>
        </is>
      </c>
      <c r="G900" t="inlineStr">
        <is>
          <t>NORDANSTIG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17482-2022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44679</v>
      </c>
      <c r="E901" s="1" t="n">
        <v>46260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54519-2024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45617</v>
      </c>
      <c r="E902" s="1" t="n">
        <v>46260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5.8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11087-2022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44628</v>
      </c>
      <c r="E903" s="1" t="n">
        <v>46260</v>
      </c>
      <c r="F903" t="inlineStr">
        <is>
          <t>GÄVLEBORGS LÄN</t>
        </is>
      </c>
      <c r="G903" t="inlineStr">
        <is>
          <t>NORDANSTIG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52006-2024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45607</v>
      </c>
      <c r="E904" s="1" t="n">
        <v>46260</v>
      </c>
      <c r="F904" t="inlineStr">
        <is>
          <t>GÄVLEBORGS LÄN</t>
        </is>
      </c>
      <c r="G904" t="inlineStr">
        <is>
          <t>NORDANSTIG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31365-2026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46213</v>
      </c>
      <c r="E905" s="1" t="n">
        <v>46260</v>
      </c>
      <c r="F905" t="inlineStr">
        <is>
          <t>GÄVLEBORGS LÄN</t>
        </is>
      </c>
      <c r="G905" t="inlineStr">
        <is>
          <t>NORDANSTIG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31366-2026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46260</v>
      </c>
      <c r="F906" t="inlineStr">
        <is>
          <t>GÄVLEBORGS LÄN</t>
        </is>
      </c>
      <c r="G906" t="inlineStr">
        <is>
          <t>NORDANSTIG</t>
        </is>
      </c>
      <c r="I906" t="n">
        <v>9.6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54401-2024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45617</v>
      </c>
      <c r="E907" s="1" t="n">
        <v>46260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34542-2026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46255</v>
      </c>
      <c r="E908" s="1" t="n">
        <v>46260</v>
      </c>
      <c r="F908" t="inlineStr">
        <is>
          <t>GÄVLEBORGS LÄN</t>
        </is>
      </c>
      <c r="G908" t="inlineStr">
        <is>
          <t>NORDANSTIG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10042-2025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45719</v>
      </c>
      <c r="E909" s="1" t="n">
        <v>46260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6.6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12266-2025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45729</v>
      </c>
      <c r="E910" s="1" t="n">
        <v>46260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34475-2026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46254</v>
      </c>
      <c r="E911" s="1" t="n">
        <v>46260</v>
      </c>
      <c r="F911" t="inlineStr">
        <is>
          <t>GÄVLEBORGS LÄN</t>
        </is>
      </c>
      <c r="G911" t="inlineStr">
        <is>
          <t>NORDANSTIG</t>
        </is>
      </c>
      <c r="H911" t="inlineStr">
        <is>
          <t>SCA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8646-2026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46066</v>
      </c>
      <c r="E912" s="1" t="n">
        <v>46260</v>
      </c>
      <c r="F912" t="inlineStr">
        <is>
          <t>GÄVLEBORGS LÄN</t>
        </is>
      </c>
      <c r="G912" t="inlineStr">
        <is>
          <t>NORDANSTIG</t>
        </is>
      </c>
      <c r="I912" t="n">
        <v>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26728-2022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44739</v>
      </c>
      <c r="E913" s="1" t="n">
        <v>46260</v>
      </c>
      <c r="F913" t="inlineStr">
        <is>
          <t>GÄVLEBORGS LÄN</t>
        </is>
      </c>
      <c r="G913" t="inlineStr">
        <is>
          <t>NORDANSTIG</t>
        </is>
      </c>
      <c r="I913" t="n">
        <v>6.5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44500-2024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45574</v>
      </c>
      <c r="E914" s="1" t="n">
        <v>46260</v>
      </c>
      <c r="F914" t="inlineStr">
        <is>
          <t>GÄVLEBORGS LÄN</t>
        </is>
      </c>
      <c r="G914" t="inlineStr">
        <is>
          <t>NORDANSTIG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41074-2023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45173</v>
      </c>
      <c r="E915" s="1" t="n">
        <v>46260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34998-2026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46259</v>
      </c>
      <c r="E916" s="1" t="n">
        <v>46260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34999-2026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46259</v>
      </c>
      <c r="E917" s="1" t="n">
        <v>46260</v>
      </c>
      <c r="F917" t="inlineStr">
        <is>
          <t>GÄVLEBORGS LÄN</t>
        </is>
      </c>
      <c r="G917" t="inlineStr">
        <is>
          <t>NORDANSTIG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60675-2024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45644</v>
      </c>
      <c r="E918" s="1" t="n">
        <v>46260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44938</v>
      </c>
      <c r="E919" s="1" t="n">
        <v>46260</v>
      </c>
      <c r="F919" t="inlineStr">
        <is>
          <t>GÄVLEBORGS LÄN</t>
        </is>
      </c>
      <c r="G919" t="inlineStr">
        <is>
          <t>NORDANSTIG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43893-2023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45187</v>
      </c>
      <c r="E920" s="1" t="n">
        <v>46260</v>
      </c>
      <c r="F920" t="inlineStr">
        <is>
          <t>GÄVLEBORGS LÄN</t>
        </is>
      </c>
      <c r="G920" t="inlineStr">
        <is>
          <t>NORDANSTIG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26696-2026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46184</v>
      </c>
      <c r="E921" s="1" t="n">
        <v>46260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21153-2023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45062</v>
      </c>
      <c r="E922" s="1" t="n">
        <v>46260</v>
      </c>
      <c r="F922" t="inlineStr">
        <is>
          <t>GÄVLEBORGS LÄN</t>
        </is>
      </c>
      <c r="G922" t="inlineStr">
        <is>
          <t>NORDANSTIG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29372-2026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46203</v>
      </c>
      <c r="E923" s="1" t="n">
        <v>46260</v>
      </c>
      <c r="F923" t="inlineStr">
        <is>
          <t>GÄVLEBORGS LÄN</t>
        </is>
      </c>
      <c r="G923" t="inlineStr">
        <is>
          <t>NORDANSTIG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30899-2026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46213</v>
      </c>
      <c r="E924" s="1" t="n">
        <v>46260</v>
      </c>
      <c r="F924" t="inlineStr">
        <is>
          <t>GÄVLEBORGS LÄN</t>
        </is>
      </c>
      <c r="G924" t="inlineStr">
        <is>
          <t>NORDANSTIG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4001-2023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44952</v>
      </c>
      <c r="E925" s="1" t="n">
        <v>46260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34693-2026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46258</v>
      </c>
      <c r="E926" s="1" t="n">
        <v>46260</v>
      </c>
      <c r="F926" t="inlineStr">
        <is>
          <t>GÄVLEBORGS LÄN</t>
        </is>
      </c>
      <c r="G926" t="inlineStr">
        <is>
          <t>NORDANSTIG</t>
        </is>
      </c>
      <c r="I926" t="n">
        <v>9.199999999999999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4024-2023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44952</v>
      </c>
      <c r="E927" s="1" t="n">
        <v>46260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3773-2026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46043</v>
      </c>
      <c r="E928" s="1" t="n">
        <v>46260</v>
      </c>
      <c r="F928" t="inlineStr">
        <is>
          <t>GÄVLEBORGS LÄN</t>
        </is>
      </c>
      <c r="G928" t="inlineStr">
        <is>
          <t>NORDANSTIG</t>
        </is>
      </c>
      <c r="I928" t="n">
        <v>14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32602-2024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45513</v>
      </c>
      <c r="E929" s="1" t="n">
        <v>46260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26671-2026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46184</v>
      </c>
      <c r="E930" s="1" t="n">
        <v>46260</v>
      </c>
      <c r="F930" t="inlineStr">
        <is>
          <t>GÄVLEBORGS LÄN</t>
        </is>
      </c>
      <c r="G930" t="inlineStr">
        <is>
          <t>NORDANSTIG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73389-2021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44551</v>
      </c>
      <c r="E931" s="1" t="n">
        <v>46260</v>
      </c>
      <c r="F931" t="inlineStr">
        <is>
          <t>GÄVLEBORGS LÄN</t>
        </is>
      </c>
      <c r="G931" t="inlineStr">
        <is>
          <t>NORDANSTIG</t>
        </is>
      </c>
      <c r="I931" t="n">
        <v>4.2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34913-2023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45142</v>
      </c>
      <c r="E932" s="1" t="n">
        <v>46260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34918-2023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45142</v>
      </c>
      <c r="E933" s="1" t="n">
        <v>46260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29371-2026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46203</v>
      </c>
      <c r="E934" s="1" t="n">
        <v>46260</v>
      </c>
      <c r="F934" t="inlineStr">
        <is>
          <t>GÄVLEBORGS LÄN</t>
        </is>
      </c>
      <c r="G934" t="inlineStr">
        <is>
          <t>NORDANSTIG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25273-2024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45462</v>
      </c>
      <c r="E935" s="1" t="n">
        <v>46260</v>
      </c>
      <c r="F935" t="inlineStr">
        <is>
          <t>GÄVLEBORGS LÄN</t>
        </is>
      </c>
      <c r="G935" t="inlineStr">
        <is>
          <t>NORDANSTIG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19569-2025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45770</v>
      </c>
      <c r="E936" s="1" t="n">
        <v>46260</v>
      </c>
      <c r="F936" t="inlineStr">
        <is>
          <t>GÄVLEBORGS LÄN</t>
        </is>
      </c>
      <c r="G936" t="inlineStr">
        <is>
          <t>NORDANSTIG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51250-2022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44868</v>
      </c>
      <c r="E937" s="1" t="n">
        <v>46260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58870-2023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45252</v>
      </c>
      <c r="E938" s="1" t="n">
        <v>46260</v>
      </c>
      <c r="F938" t="inlineStr">
        <is>
          <t>GÄVLEBORGS LÄN</t>
        </is>
      </c>
      <c r="G938" t="inlineStr">
        <is>
          <t>NORDANSTIG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51091-2024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45603</v>
      </c>
      <c r="E939" s="1" t="n">
        <v>46260</v>
      </c>
      <c r="F939" t="inlineStr">
        <is>
          <t>GÄVLEBORGS LÄN</t>
        </is>
      </c>
      <c r="G939" t="inlineStr">
        <is>
          <t>NORDANSTIG</t>
        </is>
      </c>
      <c r="H939" t="inlineStr">
        <is>
          <t>SCA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30130-2024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45489</v>
      </c>
      <c r="E940" s="1" t="n">
        <v>46260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25402-2024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45463</v>
      </c>
      <c r="E941" s="1" t="n">
        <v>46260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54385-2024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45617</v>
      </c>
      <c r="E942" s="1" t="n">
        <v>46260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52206-2022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44869</v>
      </c>
      <c r="E943" s="1" t="n">
        <v>46260</v>
      </c>
      <c r="F943" t="inlineStr">
        <is>
          <t>GÄVLEBORGS LÄN</t>
        </is>
      </c>
      <c r="G943" t="inlineStr">
        <is>
          <t>NORDANSTIG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4556-2025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45687</v>
      </c>
      <c r="E944" s="1" t="n">
        <v>46260</v>
      </c>
      <c r="F944" t="inlineStr">
        <is>
          <t>GÄVLEBORGS LÄN</t>
        </is>
      </c>
      <c r="G944" t="inlineStr">
        <is>
          <t>NORDANSTIG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12398-2023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44999</v>
      </c>
      <c r="E945" s="1" t="n">
        <v>46260</v>
      </c>
      <c r="F945" t="inlineStr">
        <is>
          <t>GÄVLEBORGS LÄN</t>
        </is>
      </c>
      <c r="G945" t="inlineStr">
        <is>
          <t>NORDANSTIG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6324-2023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44965</v>
      </c>
      <c r="E946" s="1" t="n">
        <v>46260</v>
      </c>
      <c r="F946" t="inlineStr">
        <is>
          <t>GÄVLEBORGS LÄN</t>
        </is>
      </c>
      <c r="G946" t="inlineStr">
        <is>
          <t>NORDANSTIG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44939</v>
      </c>
      <c r="E947" s="1" t="n">
        <v>46260</v>
      </c>
      <c r="F947" t="inlineStr">
        <is>
          <t>GÄVLEBORGS LÄN</t>
        </is>
      </c>
      <c r="G947" t="inlineStr">
        <is>
          <t>NORDANSTIG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59851-2024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45639</v>
      </c>
      <c r="E948" s="1" t="n">
        <v>46260</v>
      </c>
      <c r="F948" t="inlineStr">
        <is>
          <t>GÄVLEBORGS LÄN</t>
        </is>
      </c>
      <c r="G948" t="inlineStr">
        <is>
          <t>NORDANSTIG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15464-2023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45020</v>
      </c>
      <c r="E949" s="1" t="n">
        <v>46260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62619-2023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45271</v>
      </c>
      <c r="E950" s="1" t="n">
        <v>46260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60285-2024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45642</v>
      </c>
      <c r="E951" s="1" t="n">
        <v>46260</v>
      </c>
      <c r="F951" t="inlineStr">
        <is>
          <t>GÄVLEBORGS LÄN</t>
        </is>
      </c>
      <c r="G951" t="inlineStr">
        <is>
          <t>NORDANSTIG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58162-2024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45632</v>
      </c>
      <c r="E952" s="1" t="n">
        <v>46260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Kyrkan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40261-2023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45169</v>
      </c>
      <c r="E953" s="1" t="n">
        <v>46260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72820-2021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44547</v>
      </c>
      <c r="E954" s="1" t="n">
        <v>46260</v>
      </c>
      <c r="F954" t="inlineStr">
        <is>
          <t>GÄVLEBORGS LÄN</t>
        </is>
      </c>
      <c r="G954" t="inlineStr">
        <is>
          <t>NORDANSTIG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51930-2023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45223</v>
      </c>
      <c r="E955" s="1" t="n">
        <v>46260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4414-2022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44589</v>
      </c>
      <c r="E956" s="1" t="n">
        <v>46260</v>
      </c>
      <c r="F956" t="inlineStr">
        <is>
          <t>GÄVLEBORGS LÄN</t>
        </is>
      </c>
      <c r="G956" t="inlineStr">
        <is>
          <t>NORDANSTIG</t>
        </is>
      </c>
      <c r="I956" t="n">
        <v>12.6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48636-2024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45593</v>
      </c>
      <c r="E957" s="1" t="n">
        <v>46260</v>
      </c>
      <c r="F957" t="inlineStr">
        <is>
          <t>GÄVLEBORGS LÄN</t>
        </is>
      </c>
      <c r="G957" t="inlineStr">
        <is>
          <t>NORDANSTIG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9884-2023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44985</v>
      </c>
      <c r="E958" s="1" t="n">
        <v>46260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55694-2024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45622</v>
      </c>
      <c r="E959" s="1" t="n">
        <v>46260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11434-2024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45372</v>
      </c>
      <c r="E960" s="1" t="n">
        <v>46260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15226-2023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45019</v>
      </c>
      <c r="E961" s="1" t="n">
        <v>46260</v>
      </c>
      <c r="F961" t="inlineStr">
        <is>
          <t>GÄVLEBORGS LÄN</t>
        </is>
      </c>
      <c r="G961" t="inlineStr">
        <is>
          <t>NORDANSTIG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19566-2025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45770</v>
      </c>
      <c r="E962" s="1" t="n">
        <v>46260</v>
      </c>
      <c r="F962" t="inlineStr">
        <is>
          <t>GÄVLEBORGS LÄN</t>
        </is>
      </c>
      <c r="G962" t="inlineStr">
        <is>
          <t>NORDANSTIG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23369-2022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44720</v>
      </c>
      <c r="E963" s="1" t="n">
        <v>46260</v>
      </c>
      <c r="F963" t="inlineStr">
        <is>
          <t>GÄVLEBORGS LÄN</t>
        </is>
      </c>
      <c r="G963" t="inlineStr">
        <is>
          <t>NORDANSTIG</t>
        </is>
      </c>
      <c r="I963" t="n">
        <v>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12607-2024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45382</v>
      </c>
      <c r="E964" s="1" t="n">
        <v>46260</v>
      </c>
      <c r="F964" t="inlineStr">
        <is>
          <t>GÄVLEBORGS LÄN</t>
        </is>
      </c>
      <c r="G964" t="inlineStr">
        <is>
          <t>NORDANSTIG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45310-2022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44844</v>
      </c>
      <c r="E965" s="1" t="n">
        <v>46260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6820-2023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44967</v>
      </c>
      <c r="E966" s="1" t="n">
        <v>46260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2592-2023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44943</v>
      </c>
      <c r="E967" s="1" t="n">
        <v>46260</v>
      </c>
      <c r="F967" t="inlineStr">
        <is>
          <t>GÄVLEBORGS LÄN</t>
        </is>
      </c>
      <c r="G967" t="inlineStr">
        <is>
          <t>NORDANSTIG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43075-2024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45567</v>
      </c>
      <c r="E968" s="1" t="n">
        <v>46260</v>
      </c>
      <c r="F968" t="inlineStr">
        <is>
          <t>GÄVLEBORGS LÄN</t>
        </is>
      </c>
      <c r="G968" t="inlineStr">
        <is>
          <t>NORDANSTIG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58891-2024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45636</v>
      </c>
      <c r="E969" s="1" t="n">
        <v>46260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56351-2024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45624</v>
      </c>
      <c r="E970" s="1" t="n">
        <v>46260</v>
      </c>
      <c r="F970" t="inlineStr">
        <is>
          <t>GÄVLEBORGS LÄN</t>
        </is>
      </c>
      <c r="G970" t="inlineStr">
        <is>
          <t>NORDANSTIG</t>
        </is>
      </c>
      <c r="I970" t="n">
        <v>4.2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58112-2024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45632</v>
      </c>
      <c r="E971" s="1" t="n">
        <v>46260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18525-2025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45763</v>
      </c>
      <c r="E972" s="1" t="n">
        <v>46260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62816-2023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45271</v>
      </c>
      <c r="E973" s="1" t="n">
        <v>46260</v>
      </c>
      <c r="F973" t="inlineStr">
        <is>
          <t>GÄVLEBORGS LÄN</t>
        </is>
      </c>
      <c r="G973" t="inlineStr">
        <is>
          <t>NORDANSTIG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37295-2022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44808</v>
      </c>
      <c r="E974" s="1" t="n">
        <v>46260</v>
      </c>
      <c r="F974" t="inlineStr">
        <is>
          <t>GÄVLEBORGS LÄN</t>
        </is>
      </c>
      <c r="G974" t="inlineStr">
        <is>
          <t>NORDANSTIG</t>
        </is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15385-2023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45019</v>
      </c>
      <c r="E975" s="1" t="n">
        <v>46260</v>
      </c>
      <c r="F975" t="inlineStr">
        <is>
          <t>GÄVLEBORGS LÄN</t>
        </is>
      </c>
      <c r="G975" t="inlineStr">
        <is>
          <t>NORDANSTIG</t>
        </is>
      </c>
      <c r="I975" t="n">
        <v>5.9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7149-2022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44603</v>
      </c>
      <c r="E976" s="1" t="n">
        <v>46260</v>
      </c>
      <c r="F976" t="inlineStr">
        <is>
          <t>GÄVLEBORGS LÄN</t>
        </is>
      </c>
      <c r="G976" t="inlineStr">
        <is>
          <t>NORDANSTIG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55531-2024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45622</v>
      </c>
      <c r="E977" s="1" t="n">
        <v>46260</v>
      </c>
      <c r="F977" t="inlineStr">
        <is>
          <t>GÄVLEBORGS LÄN</t>
        </is>
      </c>
      <c r="G977" t="inlineStr">
        <is>
          <t>NORDANSTIG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7013-2023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44967</v>
      </c>
      <c r="E978" s="1" t="n">
        <v>46260</v>
      </c>
      <c r="F978" t="inlineStr">
        <is>
          <t>GÄVLEBORGS LÄN</t>
        </is>
      </c>
      <c r="G978" t="inlineStr">
        <is>
          <t>NORDANSTIG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7014-2023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44967</v>
      </c>
      <c r="E979" s="1" t="n">
        <v>46260</v>
      </c>
      <c r="F979" t="inlineStr">
        <is>
          <t>GÄVLEBORGS LÄN</t>
        </is>
      </c>
      <c r="G979" t="inlineStr">
        <is>
          <t>NORDANSTIG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37974-2024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45544</v>
      </c>
      <c r="E980" s="1" t="n">
        <v>46260</v>
      </c>
      <c r="F980" t="inlineStr">
        <is>
          <t>GÄVLEBORGS LÄN</t>
        </is>
      </c>
      <c r="G980" t="inlineStr">
        <is>
          <t>NORDANSTIG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54524-2024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45617</v>
      </c>
      <c r="E981" s="1" t="n">
        <v>46260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59422-2022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44907</v>
      </c>
      <c r="E982" s="1" t="n">
        <v>46260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37031-2024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45539</v>
      </c>
      <c r="E983" s="1" t="n">
        <v>46260</v>
      </c>
      <c r="F983" t="inlineStr">
        <is>
          <t>GÄVLEBORGS LÄN</t>
        </is>
      </c>
      <c r="G983" t="inlineStr">
        <is>
          <t>NORDANSTIG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51380-2024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45604</v>
      </c>
      <c r="E984" s="1" t="n">
        <v>46260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51988-2024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45607</v>
      </c>
      <c r="E985" s="1" t="n">
        <v>46260</v>
      </c>
      <c r="F985" t="inlineStr">
        <is>
          <t>GÄVLEBORGS LÄN</t>
        </is>
      </c>
      <c r="G985" t="inlineStr">
        <is>
          <t>NORDANSTIG</t>
        </is>
      </c>
      <c r="I985" t="n">
        <v>4.8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47762-2021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44448</v>
      </c>
      <c r="E986" s="1" t="n">
        <v>46260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38346-2024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45545</v>
      </c>
      <c r="E987" s="1" t="n">
        <v>46260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18322-2024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45422</v>
      </c>
      <c r="E988" s="1" t="n">
        <v>46260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54685-2024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45618</v>
      </c>
      <c r="E989" s="1" t="n">
        <v>46260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23417-2023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45076</v>
      </c>
      <c r="E990" s="1" t="n">
        <v>46260</v>
      </c>
      <c r="F990" t="inlineStr">
        <is>
          <t>GÄVLEBORGS LÄN</t>
        </is>
      </c>
      <c r="G990" t="inlineStr">
        <is>
          <t>NORDANSTIG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21085-2024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45439</v>
      </c>
      <c r="E991" s="1" t="n">
        <v>46260</v>
      </c>
      <c r="F991" t="inlineStr">
        <is>
          <t>GÄVLEBORGS LÄN</t>
        </is>
      </c>
      <c r="G991" t="inlineStr">
        <is>
          <t>NORDANSTIG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20512-2022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44699</v>
      </c>
      <c r="E992" s="1" t="n">
        <v>46260</v>
      </c>
      <c r="F992" t="inlineStr">
        <is>
          <t>GÄVLEBORGS LÄN</t>
        </is>
      </c>
      <c r="G992" t="inlineStr">
        <is>
          <t>NORDANSTIG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8898-2024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45357</v>
      </c>
      <c r="E993" s="1" t="n">
        <v>46260</v>
      </c>
      <c r="F993" t="inlineStr">
        <is>
          <t>GÄVLEBORGS LÄN</t>
        </is>
      </c>
      <c r="G993" t="inlineStr">
        <is>
          <t>NORDANSTIG</t>
        </is>
      </c>
      <c r="I993" t="n">
        <v>8.199999999999999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41620-2023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45175</v>
      </c>
      <c r="E994" s="1" t="n">
        <v>46260</v>
      </c>
      <c r="F994" t="inlineStr">
        <is>
          <t>GÄVLEBORGS LÄN</t>
        </is>
      </c>
      <c r="G994" t="inlineStr">
        <is>
          <t>NORDANSTIG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12764-2025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45733</v>
      </c>
      <c r="E995" s="1" t="n">
        <v>46260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53691-2024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45615</v>
      </c>
      <c r="E996" s="1" t="n">
        <v>46260</v>
      </c>
      <c r="F996" t="inlineStr">
        <is>
          <t>GÄVLEBORGS LÄN</t>
        </is>
      </c>
      <c r="G996" t="inlineStr">
        <is>
          <t>NORDANSTIG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6093-2023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44964</v>
      </c>
      <c r="E997" s="1" t="n">
        <v>46260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59799-2022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44908</v>
      </c>
      <c r="E998" s="1" t="n">
        <v>46260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18332-2024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45422</v>
      </c>
      <c r="E999" s="1" t="n">
        <v>46260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31571-2024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45506</v>
      </c>
      <c r="E1000" s="1" t="n">
        <v>46260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5411-2022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44595</v>
      </c>
      <c r="E1001" s="1" t="n">
        <v>46260</v>
      </c>
      <c r="F1001" t="inlineStr">
        <is>
          <t>GÄVLEBORGS LÄN</t>
        </is>
      </c>
      <c r="G1001" t="inlineStr">
        <is>
          <t>NORDANSTIG</t>
        </is>
      </c>
      <c r="I1001" t="n">
        <v>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55450-2024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45622</v>
      </c>
      <c r="E1002" s="1" t="n">
        <v>46260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55498-2024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45622</v>
      </c>
      <c r="E1003" s="1" t="n">
        <v>46260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41957-2023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45177</v>
      </c>
      <c r="E1004" s="1" t="n">
        <v>46260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10069-2025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45719</v>
      </c>
      <c r="E1005" s="1" t="n">
        <v>46260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4.6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60839-2023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45260</v>
      </c>
      <c r="E1006" s="1" t="n">
        <v>46260</v>
      </c>
      <c r="F1006" t="inlineStr">
        <is>
          <t>GÄVLEBORGS LÄN</t>
        </is>
      </c>
      <c r="G1006" t="inlineStr">
        <is>
          <t>NORDANSTIG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4559-2025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45687</v>
      </c>
      <c r="E1007" s="1" t="n">
        <v>46260</v>
      </c>
      <c r="F1007" t="inlineStr">
        <is>
          <t>GÄVLEBORGS LÄN</t>
        </is>
      </c>
      <c r="G1007" t="inlineStr">
        <is>
          <t>NORDANSTIG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14402-2025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45741</v>
      </c>
      <c r="E1008" s="1" t="n">
        <v>46260</v>
      </c>
      <c r="F1008" t="inlineStr">
        <is>
          <t>GÄVLEBORGS LÄN</t>
        </is>
      </c>
      <c r="G1008" t="inlineStr">
        <is>
          <t>NORDANSTIG</t>
        </is>
      </c>
      <c r="I1008" t="n">
        <v>17.1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48832-2022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44859</v>
      </c>
      <c r="E1009" s="1" t="n">
        <v>46260</v>
      </c>
      <c r="F1009" t="inlineStr">
        <is>
          <t>GÄVLEBORGS LÄN</t>
        </is>
      </c>
      <c r="G1009" t="inlineStr">
        <is>
          <t>NORDANSTIG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38332-2024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45545</v>
      </c>
      <c r="E1010" s="1" t="n">
        <v>46260</v>
      </c>
      <c r="F1010" t="inlineStr">
        <is>
          <t>GÄVLEBORGS LÄN</t>
        </is>
      </c>
      <c r="G1010" t="inlineStr">
        <is>
          <t>NORDANSTIG</t>
        </is>
      </c>
      <c r="I1010" t="n">
        <v>11.5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62089-2021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44502</v>
      </c>
      <c r="E1011" s="1" t="n">
        <v>46260</v>
      </c>
      <c r="F1011" t="inlineStr">
        <is>
          <t>GÄVLEBORGS LÄN</t>
        </is>
      </c>
      <c r="G1011" t="inlineStr">
        <is>
          <t>NORDANSTIG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32827-2023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45124</v>
      </c>
      <c r="E1012" s="1" t="n">
        <v>46260</v>
      </c>
      <c r="F1012" t="inlineStr">
        <is>
          <t>GÄVLEBORGS LÄN</t>
        </is>
      </c>
      <c r="G1012" t="inlineStr">
        <is>
          <t>NORDANSTIG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33535-2022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44789</v>
      </c>
      <c r="E1013" s="1" t="n">
        <v>46260</v>
      </c>
      <c r="F1013" t="inlineStr">
        <is>
          <t>GÄVLEBORGS LÄN</t>
        </is>
      </c>
      <c r="G1013" t="inlineStr">
        <is>
          <t>NORDANSTIG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33559-2022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44789</v>
      </c>
      <c r="E1014" s="1" t="n">
        <v>46260</v>
      </c>
      <c r="F1014" t="inlineStr">
        <is>
          <t>GÄVLEBORGS LÄN</t>
        </is>
      </c>
      <c r="G1014" t="inlineStr">
        <is>
          <t>NORDANSTIG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30078-2024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45489</v>
      </c>
      <c r="E1015" s="1" t="n">
        <v>46260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4.7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884-2024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45301</v>
      </c>
      <c r="E1016" s="1" t="n">
        <v>46260</v>
      </c>
      <c r="F1016" t="inlineStr">
        <is>
          <t>GÄVLEBORGS LÄN</t>
        </is>
      </c>
      <c r="G1016" t="inlineStr">
        <is>
          <t>NORDANSTIG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59043-2024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45636</v>
      </c>
      <c r="E1017" s="1" t="n">
        <v>46260</v>
      </c>
      <c r="F1017" t="inlineStr">
        <is>
          <t>GÄVLEBORGS LÄN</t>
        </is>
      </c>
      <c r="G1017" t="inlineStr">
        <is>
          <t>NORDANSTIG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18680-2025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46260</v>
      </c>
      <c r="F1018" t="inlineStr">
        <is>
          <t>GÄVLEBORGS LÄN</t>
        </is>
      </c>
      <c r="G1018" t="inlineStr">
        <is>
          <t>NORDANSTIG</t>
        </is>
      </c>
      <c r="I1018" t="n">
        <v>9.4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20876-2025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46260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18707-2025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45763</v>
      </c>
      <c r="E1020" s="1" t="n">
        <v>46260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18716-2025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45763</v>
      </c>
      <c r="E1021" s="1" t="n">
        <v>46260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21725-2025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45783</v>
      </c>
      <c r="E1022" s="1" t="n">
        <v>46260</v>
      </c>
      <c r="F1022" t="inlineStr">
        <is>
          <t>GÄVLEBORGS LÄN</t>
        </is>
      </c>
      <c r="G1022" t="inlineStr">
        <is>
          <t>NORDANSTIG</t>
        </is>
      </c>
      <c r="I1022" t="n">
        <v>6.4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12389-2023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44999</v>
      </c>
      <c r="E1023" s="1" t="n">
        <v>46260</v>
      </c>
      <c r="F1023" t="inlineStr">
        <is>
          <t>GÄVLEBORGS LÄN</t>
        </is>
      </c>
      <c r="G1023" t="inlineStr">
        <is>
          <t>NORDANSTIG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30879-2024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45498</v>
      </c>
      <c r="E1024" s="1" t="n">
        <v>46260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21928-2025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45784</v>
      </c>
      <c r="E1025" s="1" t="n">
        <v>46260</v>
      </c>
      <c r="F1025" t="inlineStr">
        <is>
          <t>GÄVLEBORGS LÄN</t>
        </is>
      </c>
      <c r="G1025" t="inlineStr">
        <is>
          <t>NORDANSTIG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32470-2023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45120</v>
      </c>
      <c r="E1026" s="1" t="n">
        <v>46260</v>
      </c>
      <c r="F1026" t="inlineStr">
        <is>
          <t>GÄVLEBORGS LÄN</t>
        </is>
      </c>
      <c r="G1026" t="inlineStr">
        <is>
          <t>NORDANSTIG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22310-2025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45786</v>
      </c>
      <c r="E1027" s="1" t="n">
        <v>46260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27.9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22319-2025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45786</v>
      </c>
      <c r="E1028" s="1" t="n">
        <v>46260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67879-2021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44525</v>
      </c>
      <c r="E1029" s="1" t="n">
        <v>46260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33414-2022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44788</v>
      </c>
      <c r="E1030" s="1" t="n">
        <v>46260</v>
      </c>
      <c r="F1030" t="inlineStr">
        <is>
          <t>GÄVLEBORGS LÄN</t>
        </is>
      </c>
      <c r="G1030" t="inlineStr">
        <is>
          <t>NORDANSTIG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17678-2025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45758</v>
      </c>
      <c r="E1031" s="1" t="n">
        <v>46260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23072-2025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45790</v>
      </c>
      <c r="E1032" s="1" t="n">
        <v>46260</v>
      </c>
      <c r="F1032" t="inlineStr">
        <is>
          <t>GÄVLEBORGS LÄN</t>
        </is>
      </c>
      <c r="G1032" t="inlineStr">
        <is>
          <t>NORDANSTIG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23119-2025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45791</v>
      </c>
      <c r="E1033" s="1" t="n">
        <v>46260</v>
      </c>
      <c r="F1033" t="inlineStr">
        <is>
          <t>GÄVLEBORGS LÄN</t>
        </is>
      </c>
      <c r="G1033" t="inlineStr">
        <is>
          <t>NORDANSTIG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23154-2025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45791</v>
      </c>
      <c r="E1034" s="1" t="n">
        <v>46260</v>
      </c>
      <c r="F1034" t="inlineStr">
        <is>
          <t>GÄVLEBORGS LÄN</t>
        </is>
      </c>
      <c r="G1034" t="inlineStr">
        <is>
          <t>NORDANSTIG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23122-2025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46260</v>
      </c>
      <c r="F1035" t="inlineStr">
        <is>
          <t>GÄVLEBORGS LÄN</t>
        </is>
      </c>
      <c r="G1035" t="inlineStr">
        <is>
          <t>NORDANSTIG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16616-2025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45754</v>
      </c>
      <c r="E1036" s="1" t="n">
        <v>46260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20137-2023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45055</v>
      </c>
      <c r="E1037" s="1" t="n">
        <v>46260</v>
      </c>
      <c r="F1037" t="inlineStr">
        <is>
          <t>GÄVLEBORGS LÄN</t>
        </is>
      </c>
      <c r="G1037" t="inlineStr">
        <is>
          <t>NORDANSTIG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23791-2025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45793</v>
      </c>
      <c r="E1038" s="1" t="n">
        <v>46260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54803-2023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45236</v>
      </c>
      <c r="E1039" s="1" t="n">
        <v>46260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23623-2025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45792</v>
      </c>
      <c r="E1040" s="1" t="n">
        <v>46260</v>
      </c>
      <c r="F1040" t="inlineStr">
        <is>
          <t>GÄVLEBORGS LÄN</t>
        </is>
      </c>
      <c r="G1040" t="inlineStr">
        <is>
          <t>NORDANSTIG</t>
        </is>
      </c>
      <c r="I1040" t="n">
        <v>12.9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23788-2025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45793</v>
      </c>
      <c r="E1041" s="1" t="n">
        <v>46260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23993-2025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46260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45312-2023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45191</v>
      </c>
      <c r="E1043" s="1" t="n">
        <v>46260</v>
      </c>
      <c r="F1043" t="inlineStr">
        <is>
          <t>GÄVLEBORGS LÄN</t>
        </is>
      </c>
      <c r="G1043" t="inlineStr">
        <is>
          <t>NORDANSTIG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24101-2025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45796</v>
      </c>
      <c r="E1044" s="1" t="n">
        <v>46260</v>
      </c>
      <c r="F1044" t="inlineStr">
        <is>
          <t>GÄVLEBORGS LÄN</t>
        </is>
      </c>
      <c r="G1044" t="inlineStr">
        <is>
          <t>NORDANSTIG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43523-2024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45569</v>
      </c>
      <c r="E1045" s="1" t="n">
        <v>46260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25068-2025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45799</v>
      </c>
      <c r="E1046" s="1" t="n">
        <v>46260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16.7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25723-2024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45463</v>
      </c>
      <c r="E1047" s="1" t="n">
        <v>46260</v>
      </c>
      <c r="F1047" t="inlineStr">
        <is>
          <t>GÄVLEBORGS LÄN</t>
        </is>
      </c>
      <c r="G1047" t="inlineStr">
        <is>
          <t>NORDANSTIG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37294-2024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45540</v>
      </c>
      <c r="E1048" s="1" t="n">
        <v>46260</v>
      </c>
      <c r="F1048" t="inlineStr">
        <is>
          <t>GÄVLEBORGS LÄN</t>
        </is>
      </c>
      <c r="G1048" t="inlineStr">
        <is>
          <t>NORDANSTIG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47238-2024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45586</v>
      </c>
      <c r="E1049" s="1" t="n">
        <v>46260</v>
      </c>
      <c r="F1049" t="inlineStr">
        <is>
          <t>GÄVLEBORGS LÄN</t>
        </is>
      </c>
      <c r="G1049" t="inlineStr">
        <is>
          <t>NORDANSTIG</t>
        </is>
      </c>
      <c r="I1049" t="n">
        <v>4.2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35741-2024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45532</v>
      </c>
      <c r="E1050" s="1" t="n">
        <v>46260</v>
      </c>
      <c r="F1050" t="inlineStr">
        <is>
          <t>GÄVLEBORGS LÄN</t>
        </is>
      </c>
      <c r="G1050" t="inlineStr">
        <is>
          <t>NORDANSTIG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24938-2025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45799</v>
      </c>
      <c r="E1051" s="1" t="n">
        <v>46260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30.1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25467-2025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45802</v>
      </c>
      <c r="E1052" s="1" t="n">
        <v>46260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25468-2025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45802</v>
      </c>
      <c r="E1053" s="1" t="n">
        <v>46260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5.5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25080-2025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45799</v>
      </c>
      <c r="E1054" s="1" t="n">
        <v>46260</v>
      </c>
      <c r="F1054" t="inlineStr">
        <is>
          <t>GÄVLEBORGS LÄN</t>
        </is>
      </c>
      <c r="G1054" t="inlineStr">
        <is>
          <t>NORDANSTIG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25469-2025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45802</v>
      </c>
      <c r="E1055" s="1" t="n">
        <v>46260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6.4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4142-2023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44953</v>
      </c>
      <c r="E1056" s="1" t="n">
        <v>46260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8-2025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45650</v>
      </c>
      <c r="E1057" s="1" t="n">
        <v>46260</v>
      </c>
      <c r="F1057" t="inlineStr">
        <is>
          <t>GÄVLEBORGS LÄN</t>
        </is>
      </c>
      <c r="G1057" t="inlineStr">
        <is>
          <t>NORDANSTIG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3999-2023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46260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39.7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3990-2023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46260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10130-2021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44538</v>
      </c>
      <c r="E1060" s="1" t="n">
        <v>46260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3983-2023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46260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131-2025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46260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3986-2023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46260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131.6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117-2025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46260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68.7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3987-2023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46260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25-2023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44929</v>
      </c>
      <c r="E1066" s="1" t="n">
        <v>46260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119.5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1008-2024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45386</v>
      </c>
      <c r="E1068" s="1" t="n">
        <v>46260</v>
      </c>
      <c r="F1068" t="inlineStr">
        <is>
          <t>GÄVLEBORGS LÄN</t>
        </is>
      </c>
      <c r="G1068" t="inlineStr">
        <is>
          <t>NORDANSTIG</t>
        </is>
      </c>
      <c r="I1068" t="n">
        <v>6.8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3989-2023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46260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3994-2023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57.5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127-2025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46260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3991-2023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46260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3992-2023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46260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130.4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49.7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3988-2023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46260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150.6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46260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47.5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122-2025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46260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128.2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  <c r="Z1078">
        <f>HYPERLINK("https://klasma.github.io/Logging_2132/knärot/S 122-2025 karta knärot.png", "S 122-2025")</f>
        <v/>
      </c>
      <c r="AA1078">
        <f>HYPERLINK("https://klasma.github.io/Logging_2132/klagomål/S 122-2025 FSC-klagomål.docx", "S 122-2025")</f>
        <v/>
      </c>
      <c r="AB1078">
        <f>HYPERLINK("https://klasma.github.io/Logging_2132/klagomålsmail/S 122-2025 FSC-klagomål mail.docx", "S 122-2025")</f>
        <v/>
      </c>
      <c r="AC1078">
        <f>HYPERLINK("https://klasma.github.io/Logging_2132/tillsyn/S 122-2025 tillsynsbegäran.docx", "S 122-2025")</f>
        <v/>
      </c>
      <c r="AD1078">
        <f>HYPERLINK("https://klasma.github.io/Logging_2132/tillsynsmail/S 122-2025 tillsynsbegäran mail.docx", "S 122-2025")</f>
        <v/>
      </c>
    </row>
    <row r="1079">
      <c r="A1079" t="inlineStr">
        <is>
          <t>S 573-2026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46083</v>
      </c>
      <c r="E1079" s="1" t="n">
        <v>46260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SCA</t>
        </is>
      </c>
      <c r="I1079" t="n">
        <v>64.3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2026-08-26T01:50:40Z</dcterms:created>
  <dcterms:modified xmlns:dcterms="http://purl.org/dc/terms/" xmlns:xsi="http://www.w3.org/2001/XMLSchema-instance" xsi:type="dcterms:W3CDTF">2026-08-26T01:50:41Z</dcterms:modified>
</cp:coreProperties>
</file>