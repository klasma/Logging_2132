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46226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46226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46226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46226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46226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46226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46226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46226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46226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46226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46226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46226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46226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46226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46226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9202-2026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46226</v>
      </c>
      <c r="F34" t="inlineStr">
        <is>
          <t>GÄVLEBORGS LÄN</t>
        </is>
      </c>
      <c r="G34" t="inlineStr">
        <is>
          <t>NORDANSTIG</t>
        </is>
      </c>
      <c r="I34" t="n">
        <v>41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Vitfläckig guldvinge
Barkticka</t>
        </is>
      </c>
      <c r="W34">
        <f>HYPERLINK("https://klasma.github.io/Logging_2132/artfynd/A 9202-2026 artfynd.xlsx", "A 9202-2026")</f>
        <v/>
      </c>
      <c r="X34">
        <f>HYPERLINK("https://klasma.github.io/Logging_2132/kartor/A 9202-2026 karta.png", "A 9202-2026")</f>
        <v/>
      </c>
      <c r="Y34">
        <f>HYPERLINK("https://klasma.github.io/Logging_2132/kartor_geotiff/A 9202-2026 georefererad karta.tif", "A 9202-2026")</f>
        <v/>
      </c>
      <c r="AA34">
        <f>HYPERLINK("https://klasma.github.io/Logging_2132/klagomål/A 9202-2026 FSC-klagomål.docx", "A 9202-2026")</f>
        <v/>
      </c>
      <c r="AB34">
        <f>HYPERLINK("https://klasma.github.io/Logging_2132/klagomålsmail/A 9202-2026 FSC-klagomål mail.docx", "A 9202-2026")</f>
        <v/>
      </c>
      <c r="AC34">
        <f>HYPERLINK("https://klasma.github.io/Logging_2132/tillsyn/A 9202-2026 tillsynsbegäran.docx", "A 9202-2026")</f>
        <v/>
      </c>
      <c r="AD34">
        <f>HYPERLINK("https://klasma.github.io/Logging_2132/tillsynsmail/A 9202-2026 tillsynsbegäran mail.docx", "A 9202-2026")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46226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17006-2026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46114</v>
      </c>
      <c r="E36" s="1" t="n">
        <v>46226</v>
      </c>
      <c r="F36" t="inlineStr">
        <is>
          <t>GÄVLEBORGS LÄN</t>
        </is>
      </c>
      <c r="G36" t="inlineStr">
        <is>
          <t>NORDANSTIG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13</v>
      </c>
      <c r="U36" t="n">
        <v>0</v>
      </c>
      <c r="V36" s="2" t="inlineStr">
        <is>
          <t>Tjäder
Fläcknycklar</t>
        </is>
      </c>
      <c r="W36">
        <f>HYPERLINK("https://klasma.github.io/Logging_2132/artfynd/A 17006-2026 artfynd.xlsx", "A 17006-2026")</f>
        <v/>
      </c>
      <c r="X36">
        <f>HYPERLINK("https://klasma.github.io/Logging_2132/kartor/A 17006-2026 karta.png", "A 17006-2026")</f>
        <v/>
      </c>
      <c r="Y36">
        <f>HYPERLINK("https://klasma.github.io/Logging_2132/kartor_geotiff/A 17006-2026 georefererad karta.tif", "A 17006-2026")</f>
        <v/>
      </c>
      <c r="AA36">
        <f>HYPERLINK("https://klasma.github.io/Logging_2132/klagomål/A 17006-2026 FSC-klagomål.docx", "A 17006-2026")</f>
        <v/>
      </c>
      <c r="AB36">
        <f>HYPERLINK("https://klasma.github.io/Logging_2132/klagomålsmail/A 17006-2026 FSC-klagomål mail.docx", "A 17006-2026")</f>
        <v/>
      </c>
      <c r="AC36">
        <f>HYPERLINK("https://klasma.github.io/Logging_2132/tillsyn/A 17006-2026 tillsynsbegäran.docx", "A 17006-2026")</f>
        <v/>
      </c>
      <c r="AD36">
        <f>HYPERLINK("https://klasma.github.io/Logging_2132/tillsynsmail/A 17006-2026 tillsynsbegäran mail.docx", "A 17006-2026")</f>
        <v/>
      </c>
      <c r="AE36">
        <f>HYPERLINK("https://klasma.github.io/Logging_2132/fåglar/A 17006-2026 prioriterade fågelarter.docx", "A 17006-2026")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46226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46226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46226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t="n">
        <v>0</v>
      </c>
      <c r="V39" s="2" t="inlineStr">
        <is>
          <t>Tjäder
Fläcknycklar</t>
        </is>
      </c>
      <c r="W39">
        <f>HYPERLINK("https://klasma.github.io/Logging_2132/artfynd/A 1708-2026 artfynd.xlsx", "A 1708-2026")</f>
        <v/>
      </c>
      <c r="X39">
        <f>HYPERLINK("https://klasma.github.io/Logging_2132/kartor/A 1708-2026 karta.png", "A 1708-2026")</f>
        <v/>
      </c>
      <c r="Y39">
        <f>HYPERLINK("https://klasma.github.io/Logging_2132/kartor_geotiff/A 1708-2026 georefererad karta.tif", "A 1708-2026")</f>
        <v/>
      </c>
      <c r="AA39">
        <f>HYPERLINK("https://klasma.github.io/Logging_2132/klagomål/A 1708-2026 FSC-klagomål.docx", "A 1708-2026")</f>
        <v/>
      </c>
      <c r="AB39">
        <f>HYPERLINK("https://klasma.github.io/Logging_2132/klagomålsmail/A 1708-2026 FSC-klagomål mail.docx", "A 1708-2026")</f>
        <v/>
      </c>
      <c r="AC39">
        <f>HYPERLINK("https://klasma.github.io/Logging_2132/tillsyn/A 1708-2026 tillsynsbegäran.docx", "A 1708-2026")</f>
        <v/>
      </c>
      <c r="AD39">
        <f>HYPERLINK("https://klasma.github.io/Logging_2132/tillsynsmail/A 1708-2026 tillsynsbegäran mail.docx", "A 1708-2026")</f>
        <v/>
      </c>
      <c r="AE39">
        <f>HYPERLINK("https://klasma.github.io/Logging_2132/fåglar/A 1708-2026 prioriterade fågelarter.docx", "A 1708-2026")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46226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46226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46226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46226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46226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46226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46226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46226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46226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46226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46226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46226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46226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46226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46226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46226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46226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6109-2023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44964</v>
      </c>
      <c r="E61" s="1" t="n">
        <v>46226</v>
      </c>
      <c r="F61" t="inlineStr">
        <is>
          <t>GÄVLEBORGS LÄN</t>
        </is>
      </c>
      <c r="G61" t="inlineStr">
        <is>
          <t>NORDANSTIG</t>
        </is>
      </c>
      <c r="I61" t="n">
        <v>0.1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HYPERLINK("https://klasma.github.io/Logging_2132/artfynd/A 6109-2023 artfynd.xlsx", "A 6109-2023")</f>
        <v/>
      </c>
      <c r="X61">
        <f>HYPERLINK("https://klasma.github.io/Logging_2132/kartor/A 6109-2023 karta.png", "A 6109-2023")</f>
        <v/>
      </c>
      <c r="Y61">
        <f>HYPERLINK("https://klasma.github.io/Logging_2132/kartor_geotiff/A 6109-2023 georefererad karta.tif", "A 6109-2023")</f>
        <v/>
      </c>
      <c r="AA61">
        <f>HYPERLINK("https://klasma.github.io/Logging_2132/klagomål/A 6109-2023 FSC-klagomål.docx", "A 6109-2023")</f>
        <v/>
      </c>
      <c r="AB61">
        <f>HYPERLINK("https://klasma.github.io/Logging_2132/klagomålsmail/A 6109-2023 FSC-klagomål mail.docx", "A 6109-2023")</f>
        <v/>
      </c>
      <c r="AC61">
        <f>HYPERLINK("https://klasma.github.io/Logging_2132/tillsyn/A 6109-2023 tillsynsbegäran.docx", "A 6109-2023")</f>
        <v/>
      </c>
      <c r="AD61">
        <f>HYPERLINK("https://klasma.github.io/Logging_2132/tillsynsmail/A 6109-2023 tillsynsbegäran mail.docx", "A 6109-2023")</f>
        <v/>
      </c>
    </row>
    <row r="62" ht="15" customHeight="1">
      <c r="A62" t="inlineStr">
        <is>
          <t>A 16809-2022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44673</v>
      </c>
      <c r="E62" s="1" t="n">
        <v>46226</v>
      </c>
      <c r="F62" t="inlineStr">
        <is>
          <t>GÄVLEBORGS LÄN</t>
        </is>
      </c>
      <c r="G62" t="inlineStr">
        <is>
          <t>NORDANSTIG</t>
        </is>
      </c>
      <c r="I62" t="n">
        <v>4.4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HYPERLINK("https://klasma.github.io/Logging_2132/artfynd/A 16809-2022 artfynd.xlsx", "A 16809-2022")</f>
        <v/>
      </c>
      <c r="X62">
        <f>HYPERLINK("https://klasma.github.io/Logging_2132/kartor/A 16809-2022 karta.png", "A 16809-2022")</f>
        <v/>
      </c>
      <c r="Y62">
        <f>HYPERLINK("https://klasma.github.io/Logging_2132/kartor_geotiff/A 16809-2022 georefererad karta.tif", "A 16809-2022")</f>
        <v/>
      </c>
      <c r="AA62">
        <f>HYPERLINK("https://klasma.github.io/Logging_2132/klagomål/A 16809-2022 FSC-klagomål.docx", "A 16809-2022")</f>
        <v/>
      </c>
      <c r="AB62">
        <f>HYPERLINK("https://klasma.github.io/Logging_2132/klagomålsmail/A 16809-2022 FSC-klagomål mail.docx", "A 16809-2022")</f>
        <v/>
      </c>
      <c r="AC62">
        <f>HYPERLINK("https://klasma.github.io/Logging_2132/tillsyn/A 16809-2022 tillsynsbegäran.docx", "A 16809-2022")</f>
        <v/>
      </c>
      <c r="AD62">
        <f>HYPERLINK("https://klasma.github.io/Logging_2132/tillsynsmail/A 16809-2022 tillsynsbegäran mail.docx", "A 16809-2022")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46226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46226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46226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3692-2022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44586</v>
      </c>
      <c r="E66" s="1" t="n">
        <v>46226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Lunglav</t>
        </is>
      </c>
      <c r="W66">
        <f>HYPERLINK("https://klasma.github.io/Logging_2132/artfynd/A 3692-2022 artfynd.xlsx", "A 3692-2022")</f>
        <v/>
      </c>
      <c r="X66">
        <f>HYPERLINK("https://klasma.github.io/Logging_2132/kartor/A 3692-2022 karta.png", "A 3692-2022")</f>
        <v/>
      </c>
      <c r="Y66">
        <f>HYPERLINK("https://klasma.github.io/Logging_2132/kartor_geotiff/A 3692-2022 georefererad karta.tif", "A 3692-2022")</f>
        <v/>
      </c>
      <c r="AA66">
        <f>HYPERLINK("https://klasma.github.io/Logging_2132/klagomål/A 3692-2022 FSC-klagomål.docx", "A 3692-2022")</f>
        <v/>
      </c>
      <c r="AB66">
        <f>HYPERLINK("https://klasma.github.io/Logging_2132/klagomålsmail/A 3692-2022 FSC-klagomål mail.docx", "A 3692-2022")</f>
        <v/>
      </c>
      <c r="AC66">
        <f>HYPERLINK("https://klasma.github.io/Logging_2132/tillsyn/A 3692-2022 tillsynsbegäran.docx", "A 3692-2022")</f>
        <v/>
      </c>
      <c r="AD66">
        <f>HYPERLINK("https://klasma.github.io/Logging_2132/tillsynsmail/A 3692-2022 tillsynsbegäran mail.docx", "A 3692-2022")</f>
        <v/>
      </c>
    </row>
    <row r="67" ht="15" customHeight="1">
      <c r="A67" t="inlineStr">
        <is>
          <t>A 377-2024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46226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HYPERLINK("https://klasma.github.io/Logging_2132/artfynd/A 377-2024 artfynd.xlsx", "A 377-2024")</f>
        <v/>
      </c>
      <c r="X67">
        <f>HYPERLINK("https://klasma.github.io/Logging_2132/kartor/A 377-2024 karta.png", "A 377-2024")</f>
        <v/>
      </c>
      <c r="Y67">
        <f>HYPERLINK("https://klasma.github.io/Logging_2132/kartor_geotiff/A 377-2024 georefererad karta.tif", "A 377-2024")</f>
        <v/>
      </c>
      <c r="AA67">
        <f>HYPERLINK("https://klasma.github.io/Logging_2132/klagomål/A 377-2024 FSC-klagomål.docx", "A 377-2024")</f>
        <v/>
      </c>
      <c r="AB67">
        <f>HYPERLINK("https://klasma.github.io/Logging_2132/klagomålsmail/A 377-2024 FSC-klagomål mail.docx", "A 377-2024")</f>
        <v/>
      </c>
      <c r="AC67">
        <f>HYPERLINK("https://klasma.github.io/Logging_2132/tillsyn/A 377-2024 tillsynsbegäran.docx", "A 377-2024")</f>
        <v/>
      </c>
      <c r="AD67">
        <f>HYPERLINK("https://klasma.github.io/Logging_2132/tillsynsmail/A 377-2024 tillsynsbegäran mail.docx", "A 377-2024")</f>
        <v/>
      </c>
      <c r="AE67">
        <f>HYPERLINK("https://klasma.github.io/Logging_2132/fåglar/A 377-2024 prioriterade fågelarter.docx", "A 377-2024")</f>
        <v/>
      </c>
    </row>
    <row r="68" ht="15" customHeight="1">
      <c r="A68" t="inlineStr">
        <is>
          <t>A 27992-2026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46195</v>
      </c>
      <c r="E68" s="1" t="n">
        <v>46226</v>
      </c>
      <c r="F68" t="inlineStr">
        <is>
          <t>GÄVLEBORGS LÄN</t>
        </is>
      </c>
      <c r="G68" t="inlineStr">
        <is>
          <t>NORDANSTIG</t>
        </is>
      </c>
      <c r="I68" t="n">
        <v>4.7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HYPERLINK("https://klasma.github.io/Logging_2132/artfynd/A 27992-2026 artfynd.xlsx", "A 27992-2026")</f>
        <v/>
      </c>
      <c r="X68">
        <f>HYPERLINK("https://klasma.github.io/Logging_2132/kartor/A 27992-2026 karta.png", "A 27992-2026")</f>
        <v/>
      </c>
      <c r="Y68">
        <f>HYPERLINK("https://klasma.github.io/Logging_2132/kartor_geotiff/A 27992-2026 georefererad karta.tif", "A 27992-2026")</f>
        <v/>
      </c>
      <c r="AA68">
        <f>HYPERLINK("https://klasma.github.io/Logging_2132/klagomål/A 27992-2026 FSC-klagomål.docx", "A 27992-2026")</f>
        <v/>
      </c>
      <c r="AB68">
        <f>HYPERLINK("https://klasma.github.io/Logging_2132/klagomålsmail/A 27992-2026 FSC-klagomål mail.docx", "A 27992-2026")</f>
        <v/>
      </c>
      <c r="AC68">
        <f>HYPERLINK("https://klasma.github.io/Logging_2132/tillsyn/A 27992-2026 tillsynsbegäran.docx", "A 27992-2026")</f>
        <v/>
      </c>
      <c r="AD68">
        <f>HYPERLINK("https://klasma.github.io/Logging_2132/tillsynsmail/A 27992-2026 tillsynsbegäran mail.docx", "A 27992-2026")</f>
        <v/>
      </c>
      <c r="AE68">
        <f>HYPERLINK("https://klasma.github.io/Logging_2132/fåglar/A 27992-2026 prioriterade fågelarter.docx", "A 27992-2026")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46226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46226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46226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46226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46226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46226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2254-2025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46226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0</v>
      </c>
      <c r="V75" s="2" t="inlineStr">
        <is>
          <t>Bredgentiana</t>
        </is>
      </c>
      <c r="W75">
        <f>HYPERLINK("https://klasma.github.io/Logging_2132/artfynd/A 2254-2025 artfynd.xlsx", "A 2254-2025")</f>
        <v/>
      </c>
      <c r="X75">
        <f>HYPERLINK("https://klasma.github.io/Logging_2132/kartor/A 2254-2025 karta.png", "A 2254-2025")</f>
        <v/>
      </c>
      <c r="Y75">
        <f>HYPERLINK("https://klasma.github.io/Logging_2132/kartor_geotiff/A 2254-2025 georefererad karta.tif", "A 2254-2025")</f>
        <v/>
      </c>
      <c r="AA75">
        <f>HYPERLINK("https://klasma.github.io/Logging_2132/klagomål/A 2254-2025 FSC-klagomål.docx", "A 2254-2025")</f>
        <v/>
      </c>
      <c r="AB75">
        <f>HYPERLINK("https://klasma.github.io/Logging_2132/klagomålsmail/A 2254-2025 FSC-klagomål mail.docx", "A 2254-2025")</f>
        <v/>
      </c>
      <c r="AC75">
        <f>HYPERLINK("https://klasma.github.io/Logging_2132/tillsyn/A 2254-2025 tillsynsbegäran.docx", "A 2254-2025")</f>
        <v/>
      </c>
      <c r="AD75">
        <f>HYPERLINK("https://klasma.github.io/Logging_2132/tillsynsmail/A 2254-2025 tillsynsbegäran mail.docx", "A 2254-2025")</f>
        <v/>
      </c>
    </row>
    <row r="76" ht="15" customHeight="1">
      <c r="A76" t="inlineStr">
        <is>
          <t>A 22041-2022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46226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6.2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Svavelriska</t>
        </is>
      </c>
      <c r="W76">
        <f>HYPERLINK("https://klasma.github.io/Logging_2132/artfynd/A 22041-2022 artfynd.xlsx", "A 22041-2022")</f>
        <v/>
      </c>
      <c r="X76">
        <f>HYPERLINK("https://klasma.github.io/Logging_2132/kartor/A 22041-2022 karta.png", "A 22041-2022")</f>
        <v/>
      </c>
      <c r="Y76">
        <f>HYPERLINK("https://klasma.github.io/Logging_2132/kartor_geotiff/A 22041-2022 georefererad karta.tif", "A 22041-2022")</f>
        <v/>
      </c>
      <c r="AA76">
        <f>HYPERLINK("https://klasma.github.io/Logging_2132/klagomål/A 22041-2022 FSC-klagomål.docx", "A 22041-2022")</f>
        <v/>
      </c>
      <c r="AB76">
        <f>HYPERLINK("https://klasma.github.io/Logging_2132/klagomålsmail/A 22041-2022 FSC-klagomål mail.docx", "A 22041-2022")</f>
        <v/>
      </c>
      <c r="AC76">
        <f>HYPERLINK("https://klasma.github.io/Logging_2132/tillsyn/A 22041-2022 tillsynsbegäran.docx", "A 22041-2022")</f>
        <v/>
      </c>
      <c r="AD76">
        <f>HYPERLINK("https://klasma.github.io/Logging_2132/tillsynsmail/A 22041-2022 tillsynsbegäran mail.docx", "A 22041-2022")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46226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46226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46226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46226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HYPERLINK("https://klasma.github.io/Logging_2132/artfynd/A 24758-2025 artfynd.xlsx", "A 24758-2025")</f>
        <v/>
      </c>
      <c r="X82">
        <f>HYPERLINK("https://klasma.github.io/Logging_2132/kartor/A 24758-2025 karta.png", "A 24758-2025")</f>
        <v/>
      </c>
      <c r="Y82">
        <f>HYPERLINK("https://klasma.github.io/Logging_2132/kartor_geotiff/A 24758-2025 georefererad karta.tif", "A 24758-2025")</f>
        <v/>
      </c>
      <c r="Z82">
        <f>HYPERLINK("https://klasma.github.io/Logging_2132/knärot/A 24758-2025 karta knärot.png", "A 24758-2025")</f>
        <v/>
      </c>
      <c r="AA82">
        <f>HYPERLINK("https://klasma.github.io/Logging_2132/klagomål/A 24758-2025 FSC-klagomål.docx", "A 24758-2025")</f>
        <v/>
      </c>
      <c r="AB82">
        <f>HYPERLINK("https://klasma.github.io/Logging_2132/klagomålsmail/A 24758-2025 FSC-klagomål mail.docx", "A 24758-2025")</f>
        <v/>
      </c>
      <c r="AC82">
        <f>HYPERLINK("https://klasma.github.io/Logging_2132/tillsyn/A 24758-2025 tillsynsbegäran.docx", "A 24758-2025")</f>
        <v/>
      </c>
      <c r="AD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46226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46226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46226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46226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46226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46226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46226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46226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46226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46226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46226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46226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46226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46226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46226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46226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46226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46226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46226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46226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SCA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46226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46226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46226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44823</v>
      </c>
      <c r="E113" s="1" t="n">
        <v>46226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46226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46226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46226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46226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46226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46226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46226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46226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46226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46226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46226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46226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46226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46226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46226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46226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46226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46226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46226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46226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46226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46226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46226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46226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46226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46226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46226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46226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46226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46226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46226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46226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46226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46226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46226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46226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46226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46226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46226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46226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46226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46226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46226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46226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46226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46226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46226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46226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46226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45644</v>
      </c>
      <c r="E166" s="1" t="n">
        <v>46226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46226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46226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46226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46226</v>
      </c>
      <c r="F170" t="inlineStr">
        <is>
          <t>GÄVLEBORGS LÄN</t>
        </is>
      </c>
      <c r="G170" t="inlineStr">
        <is>
          <t>NORDANSTIG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45573</v>
      </c>
      <c r="E171" s="1" t="n">
        <v>46226</v>
      </c>
      <c r="F171" t="inlineStr">
        <is>
          <t>GÄVLEBORGS LÄN</t>
        </is>
      </c>
      <c r="G171" t="inlineStr">
        <is>
          <t>NORDANSTIG</t>
        </is>
      </c>
      <c r="I171" t="n">
        <v>10.7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45041</v>
      </c>
      <c r="E172" s="1" t="n">
        <v>46226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46226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46226</v>
      </c>
      <c r="F174" t="inlineStr">
        <is>
          <t>GÄVLEBORGS LÄN</t>
        </is>
      </c>
      <c r="G174" t="inlineStr">
        <is>
          <t>NORDANSTIG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62465-2021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46226</v>
      </c>
      <c r="F175" t="inlineStr">
        <is>
          <t>GÄVLEBORGS LÄN</t>
        </is>
      </c>
      <c r="G175" t="inlineStr">
        <is>
          <t>NORDANSTIG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46226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49607-2022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46226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46226</v>
      </c>
      <c r="F178" t="inlineStr">
        <is>
          <t>GÄVLEBORGS LÄN</t>
        </is>
      </c>
      <c r="G178" t="inlineStr">
        <is>
          <t>NORDANSTIG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44599</v>
      </c>
      <c r="E179" s="1" t="n">
        <v>46226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46226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46226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45139</v>
      </c>
      <c r="E182" s="1" t="n">
        <v>46226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46226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46226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46226</v>
      </c>
      <c r="F186" t="inlineStr">
        <is>
          <t>GÄVLEBORGS LÄN</t>
        </is>
      </c>
      <c r="G186" t="inlineStr">
        <is>
          <t>NORDANSTIG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46226</v>
      </c>
      <c r="F187" t="inlineStr">
        <is>
          <t>GÄVLEBORGS LÄN</t>
        </is>
      </c>
      <c r="G187" t="inlineStr">
        <is>
          <t>NORDANSTIG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46226</v>
      </c>
      <c r="F188" t="inlineStr">
        <is>
          <t>GÄVLEBORGS LÄN</t>
        </is>
      </c>
      <c r="G188" t="inlineStr">
        <is>
          <t>NORDANSTIG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40241-2023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45169</v>
      </c>
      <c r="E189" s="1" t="n">
        <v>46226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46226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46226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46226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SCA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46226</v>
      </c>
      <c r="F193" t="inlineStr">
        <is>
          <t>GÄVLEBORGS LÄN</t>
        </is>
      </c>
      <c r="G193" t="inlineStr">
        <is>
          <t>NORDANSTIG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46226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46226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46226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46226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62.5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45345</v>
      </c>
      <c r="E198" s="1" t="n">
        <v>46226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46226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46226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46226</v>
      </c>
      <c r="F201" t="inlineStr">
        <is>
          <t>GÄVLEBORGS LÄN</t>
        </is>
      </c>
      <c r="G201" t="inlineStr">
        <is>
          <t>NORDANSTIG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46226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46226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46226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46226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46226</v>
      </c>
      <c r="F206" t="inlineStr">
        <is>
          <t>GÄVLEBORGS LÄN</t>
        </is>
      </c>
      <c r="G206" t="inlineStr">
        <is>
          <t>NORDANSTIG</t>
        </is>
      </c>
      <c r="I206" t="n">
        <v>12.5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46226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46226</v>
      </c>
      <c r="F208" t="inlineStr">
        <is>
          <t>GÄVLEBORGS LÄN</t>
        </is>
      </c>
      <c r="G208" t="inlineStr">
        <is>
          <t>NORDANSTIG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46226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46226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46226</v>
      </c>
      <c r="F211" t="inlineStr">
        <is>
          <t>GÄVLEBORGS LÄN</t>
        </is>
      </c>
      <c r="G211" t="inlineStr">
        <is>
          <t>NORDANSTIG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46226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46226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46226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46226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46226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46226</v>
      </c>
      <c r="F217" t="inlineStr">
        <is>
          <t>GÄVLEBORGS LÄN</t>
        </is>
      </c>
      <c r="G217" t="inlineStr">
        <is>
          <t>NORDANSTIG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45680</v>
      </c>
      <c r="E218" s="1" t="n">
        <v>46226</v>
      </c>
      <c r="F218" t="inlineStr">
        <is>
          <t>GÄVLEBORGS LÄN</t>
        </is>
      </c>
      <c r="G218" t="inlineStr">
        <is>
          <t>NORDANSTIG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46226</v>
      </c>
      <c r="F219" t="inlineStr">
        <is>
          <t>GÄVLEBORGS LÄN</t>
        </is>
      </c>
      <c r="G219" t="inlineStr">
        <is>
          <t>NORDANSTIG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46226</v>
      </c>
      <c r="F220" t="inlineStr">
        <is>
          <t>GÄVLEBORGS LÄN</t>
        </is>
      </c>
      <c r="G220" t="inlineStr">
        <is>
          <t>NORDANSTIG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32149-2024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45511</v>
      </c>
      <c r="E221" s="1" t="n">
        <v>46226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61419-2024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45646</v>
      </c>
      <c r="E222" s="1" t="n">
        <v>46226</v>
      </c>
      <c r="F222" t="inlineStr">
        <is>
          <t>GÄVLEBORGS LÄN</t>
        </is>
      </c>
      <c r="G222" t="inlineStr">
        <is>
          <t>NORDANSTIG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14866-2024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45397</v>
      </c>
      <c r="E223" s="1" t="n">
        <v>46226</v>
      </c>
      <c r="F223" t="inlineStr">
        <is>
          <t>GÄVLEBORGS LÄN</t>
        </is>
      </c>
      <c r="G223" t="inlineStr">
        <is>
          <t>NORDANSTIG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45425</v>
      </c>
      <c r="E224" s="1" t="n">
        <v>46226</v>
      </c>
      <c r="F224" t="inlineStr">
        <is>
          <t>GÄVLEBORGS LÄN</t>
        </is>
      </c>
      <c r="G224" t="inlineStr">
        <is>
          <t>NORDANSTIG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45426</v>
      </c>
      <c r="E225" s="1" t="n">
        <v>46226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46226</v>
      </c>
      <c r="F226" t="inlineStr">
        <is>
          <t>GÄVLEBORGS LÄN</t>
        </is>
      </c>
      <c r="G226" t="inlineStr">
        <is>
          <t>NORDANSTIG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45176</v>
      </c>
      <c r="E227" s="1" t="n">
        <v>46226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46057</v>
      </c>
      <c r="E228" s="1" t="n">
        <v>46226</v>
      </c>
      <c r="F228" t="inlineStr">
        <is>
          <t>GÄVLEBORGS LÄN</t>
        </is>
      </c>
      <c r="G228" t="inlineStr">
        <is>
          <t>NORDANSTIG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46226</v>
      </c>
      <c r="F229" t="inlineStr">
        <is>
          <t>GÄVLEBORGS LÄN</t>
        </is>
      </c>
      <c r="G229" t="inlineStr">
        <is>
          <t>NORDANSTIG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46226</v>
      </c>
      <c r="F230" t="inlineStr">
        <is>
          <t>GÄVLEBORGS LÄN</t>
        </is>
      </c>
      <c r="G230" t="inlineStr">
        <is>
          <t>NORDANSTIG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46226</v>
      </c>
      <c r="F231" t="inlineStr">
        <is>
          <t>GÄVLEBORGS LÄN</t>
        </is>
      </c>
      <c r="G231" t="inlineStr">
        <is>
          <t>NORDANSTIG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46226</v>
      </c>
      <c r="F232" t="inlineStr">
        <is>
          <t>GÄVLEBORGS LÄN</t>
        </is>
      </c>
      <c r="G232" t="inlineStr">
        <is>
          <t>NORDANSTIG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45297</v>
      </c>
      <c r="E233" s="1" t="n">
        <v>46226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46226</v>
      </c>
      <c r="F234" t="inlineStr">
        <is>
          <t>GÄVLEBORGS LÄN</t>
        </is>
      </c>
      <c r="G234" t="inlineStr">
        <is>
          <t>NORDANSTIG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11113-2026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46079</v>
      </c>
      <c r="E235" s="1" t="n">
        <v>46226</v>
      </c>
      <c r="F235" t="inlineStr">
        <is>
          <t>GÄVLEBORGS LÄN</t>
        </is>
      </c>
      <c r="G235" t="inlineStr">
        <is>
          <t>NORDANSTIG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46226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46226</v>
      </c>
      <c r="F237" t="inlineStr">
        <is>
          <t>GÄVLEBORGS LÄN</t>
        </is>
      </c>
      <c r="G237" t="inlineStr">
        <is>
          <t>NORDANSTIG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46226</v>
      </c>
      <c r="F238" t="inlineStr">
        <is>
          <t>GÄVLEBORGS LÄN</t>
        </is>
      </c>
      <c r="G238" t="inlineStr">
        <is>
          <t>NORDANSTIG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46226</v>
      </c>
      <c r="F239" t="inlineStr">
        <is>
          <t>GÄVLEBORGS LÄN</t>
        </is>
      </c>
      <c r="G239" t="inlineStr">
        <is>
          <t>NORDANSTIG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46226</v>
      </c>
      <c r="F240" t="inlineStr">
        <is>
          <t>GÄVLEBORGS LÄN</t>
        </is>
      </c>
      <c r="G240" t="inlineStr">
        <is>
          <t>NORDANSTIG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46226</v>
      </c>
      <c r="F241" t="inlineStr">
        <is>
          <t>GÄVLEBORGS LÄN</t>
        </is>
      </c>
      <c r="G241" t="inlineStr">
        <is>
          <t>NORDANSTIG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46226</v>
      </c>
      <c r="F242" t="inlineStr">
        <is>
          <t>GÄVLEBORGS LÄN</t>
        </is>
      </c>
      <c r="G242" t="inlineStr">
        <is>
          <t>NORDANSTIG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46226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44678</v>
      </c>
      <c r="E244" s="1" t="n">
        <v>46226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46226</v>
      </c>
      <c r="F245" t="inlineStr">
        <is>
          <t>GÄVLEBORGS LÄN</t>
        </is>
      </c>
      <c r="G245" t="inlineStr">
        <is>
          <t>NORDANSTIG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45663</v>
      </c>
      <c r="E246" s="1" t="n">
        <v>46226</v>
      </c>
      <c r="F246" t="inlineStr">
        <is>
          <t>GÄVLEBORGS LÄN</t>
        </is>
      </c>
      <c r="G246" t="inlineStr">
        <is>
          <t>NORDANSTIG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46226</v>
      </c>
      <c r="F247" t="inlineStr">
        <is>
          <t>GÄVLEBORGS LÄN</t>
        </is>
      </c>
      <c r="G247" t="inlineStr">
        <is>
          <t>NORDANSTIG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46226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46226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7944-2026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46063</v>
      </c>
      <c r="E250" s="1" t="n">
        <v>46226</v>
      </c>
      <c r="F250" t="inlineStr">
        <is>
          <t>GÄVLEBORGS LÄN</t>
        </is>
      </c>
      <c r="G250" t="inlineStr">
        <is>
          <t>NORDANSTIG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7772-2026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46226</v>
      </c>
      <c r="F251" t="inlineStr">
        <is>
          <t>GÄVLEBORGS LÄN</t>
        </is>
      </c>
      <c r="G251" t="inlineStr">
        <is>
          <t>NORDANSTIG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46226</v>
      </c>
      <c r="F252" t="inlineStr">
        <is>
          <t>GÄVLEBORGS LÄN</t>
        </is>
      </c>
      <c r="G252" t="inlineStr">
        <is>
          <t>NORDANSTIG</t>
        </is>
      </c>
      <c r="I252" t="n">
        <v>13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46226</v>
      </c>
      <c r="F253" t="inlineStr">
        <is>
          <t>GÄVLEBORGS LÄN</t>
        </is>
      </c>
      <c r="G253" t="inlineStr">
        <is>
          <t>NORDANSTIG</t>
        </is>
      </c>
      <c r="I253" t="n">
        <v>10.5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46226</v>
      </c>
      <c r="F254" t="inlineStr">
        <is>
          <t>GÄVLEBORGS LÄN</t>
        </is>
      </c>
      <c r="G254" t="inlineStr">
        <is>
          <t>NORDANSTIG</t>
        </is>
      </c>
      <c r="I254" t="n">
        <v>38.1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46226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46226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46226</v>
      </c>
      <c r="F257" t="inlineStr">
        <is>
          <t>GÄVLEBORGS LÄN</t>
        </is>
      </c>
      <c r="G257" t="inlineStr">
        <is>
          <t>NORDANSTIG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46226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45622</v>
      </c>
      <c r="E259" s="1" t="n">
        <v>46226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55494-2024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46226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8201-2026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46064</v>
      </c>
      <c r="E261" s="1" t="n">
        <v>46226</v>
      </c>
      <c r="F261" t="inlineStr">
        <is>
          <t>GÄVLEBORGS LÄN</t>
        </is>
      </c>
      <c r="G261" t="inlineStr">
        <is>
          <t>NORDANSTIG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46226</v>
      </c>
      <c r="F262" t="inlineStr">
        <is>
          <t>GÄVLEBORGS LÄN</t>
        </is>
      </c>
      <c r="G262" t="inlineStr">
        <is>
          <t>NORDANSTIG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46226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46226</v>
      </c>
      <c r="F264" t="inlineStr">
        <is>
          <t>GÄVLEBORGS LÄN</t>
        </is>
      </c>
      <c r="G264" t="inlineStr">
        <is>
          <t>NORDANSTIG</t>
        </is>
      </c>
      <c r="I264" t="n">
        <v>19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71442-2021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44540</v>
      </c>
      <c r="E265" s="1" t="n">
        <v>46226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46226</v>
      </c>
      <c r="F266" t="inlineStr">
        <is>
          <t>GÄVLEBORGS LÄN</t>
        </is>
      </c>
      <c r="G266" t="inlineStr">
        <is>
          <t>NORDANSTIG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46226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46226</v>
      </c>
      <c r="F268" t="inlineStr">
        <is>
          <t>GÄVLEBORGS LÄN</t>
        </is>
      </c>
      <c r="G268" t="inlineStr">
        <is>
          <t>NORDANSTIG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8998-2026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46226</v>
      </c>
      <c r="F269" t="inlineStr">
        <is>
          <t>GÄVLEBORGS LÄN</t>
        </is>
      </c>
      <c r="G269" t="inlineStr">
        <is>
          <t>NORDANSTIG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46226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Naturvårdsverket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46226</v>
      </c>
      <c r="F271" t="inlineStr">
        <is>
          <t>GÄVLEBORGS LÄN</t>
        </is>
      </c>
      <c r="G271" t="inlineStr">
        <is>
          <t>NORDANSTIG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46226</v>
      </c>
      <c r="F272" t="inlineStr">
        <is>
          <t>GÄVLEBORGS LÄN</t>
        </is>
      </c>
      <c r="G272" t="inlineStr">
        <is>
          <t>NORDANSTIG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46226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46226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46226</v>
      </c>
      <c r="F275" t="inlineStr">
        <is>
          <t>GÄVLEBORGS LÄN</t>
        </is>
      </c>
      <c r="G275" t="inlineStr">
        <is>
          <t>NORDANSTIG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46226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9590-2026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46226</v>
      </c>
      <c r="F277" t="inlineStr">
        <is>
          <t>GÄVLEBORGS LÄN</t>
        </is>
      </c>
      <c r="G277" t="inlineStr">
        <is>
          <t>NORDANSTIG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46226</v>
      </c>
      <c r="F278" t="inlineStr">
        <is>
          <t>GÄVLEBORGS LÄN</t>
        </is>
      </c>
      <c r="G278" t="inlineStr">
        <is>
          <t>NORDANSTIG</t>
        </is>
      </c>
      <c r="I278" t="n">
        <v>15.6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46070</v>
      </c>
      <c r="E279" s="1" t="n">
        <v>46226</v>
      </c>
      <c r="F279" t="inlineStr">
        <is>
          <t>GÄVLEBORGS LÄN</t>
        </is>
      </c>
      <c r="G279" t="inlineStr">
        <is>
          <t>NORDANSTIG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46226</v>
      </c>
      <c r="F280" t="inlineStr">
        <is>
          <t>GÄVLEBORGS LÄN</t>
        </is>
      </c>
      <c r="G280" t="inlineStr">
        <is>
          <t>NORDANSTIG</t>
        </is>
      </c>
      <c r="I280" t="n">
        <v>12.2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46226</v>
      </c>
      <c r="F281" t="inlineStr">
        <is>
          <t>GÄVLEBORGS LÄN</t>
        </is>
      </c>
      <c r="G281" t="inlineStr">
        <is>
          <t>NORDANSTIG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46226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46070</v>
      </c>
      <c r="E283" s="1" t="n">
        <v>46226</v>
      </c>
      <c r="F283" t="inlineStr">
        <is>
          <t>GÄVLEBORGS LÄN</t>
        </is>
      </c>
      <c r="G283" t="inlineStr">
        <is>
          <t>NORDANSTIG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46226</v>
      </c>
      <c r="F284" t="inlineStr">
        <is>
          <t>GÄVLEBORGS LÄN</t>
        </is>
      </c>
      <c r="G284" t="inlineStr">
        <is>
          <t>NORDANSTIG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46226</v>
      </c>
      <c r="F285" t="inlineStr">
        <is>
          <t>GÄVLEBORGS LÄN</t>
        </is>
      </c>
      <c r="G285" t="inlineStr">
        <is>
          <t>NORDANSTIG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46226</v>
      </c>
      <c r="F286" t="inlineStr">
        <is>
          <t>GÄVLEBORGS LÄN</t>
        </is>
      </c>
      <c r="G286" t="inlineStr">
        <is>
          <t>NORDANSTIG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46226</v>
      </c>
      <c r="F287" t="inlineStr">
        <is>
          <t>GÄVLEBORGS LÄN</t>
        </is>
      </c>
      <c r="G287" t="inlineStr">
        <is>
          <t>NORDANSTIG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46073</v>
      </c>
      <c r="E288" s="1" t="n">
        <v>46226</v>
      </c>
      <c r="F288" t="inlineStr">
        <is>
          <t>GÄVLEBORGS LÄN</t>
        </is>
      </c>
      <c r="G288" t="inlineStr">
        <is>
          <t>NORDANSTIG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46226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46226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46226</v>
      </c>
      <c r="F291" t="inlineStr">
        <is>
          <t>GÄVLEBORGS LÄN</t>
        </is>
      </c>
      <c r="G291" t="inlineStr">
        <is>
          <t>NORDANSTIG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74460-2021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44560</v>
      </c>
      <c r="E292" s="1" t="n">
        <v>46226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46226</v>
      </c>
      <c r="F293" t="inlineStr">
        <is>
          <t>GÄVLEBORGS LÄN</t>
        </is>
      </c>
      <c r="G293" t="inlineStr">
        <is>
          <t>NORDANSTIG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46073</v>
      </c>
      <c r="E294" s="1" t="n">
        <v>46226</v>
      </c>
      <c r="F294" t="inlineStr">
        <is>
          <t>GÄVLEBORGS LÄN</t>
        </is>
      </c>
      <c r="G294" t="inlineStr">
        <is>
          <t>NORDANSTIG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55948-2024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45623</v>
      </c>
      <c r="E295" s="1" t="n">
        <v>46226</v>
      </c>
      <c r="F295" t="inlineStr">
        <is>
          <t>GÄVLEBORGS LÄN</t>
        </is>
      </c>
      <c r="G295" t="inlineStr">
        <is>
          <t>NORDANSTIG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46226</v>
      </c>
      <c r="F296" t="inlineStr">
        <is>
          <t>GÄVLEBORGS LÄN</t>
        </is>
      </c>
      <c r="G296" t="inlineStr">
        <is>
          <t>NORDANSTIG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45855</v>
      </c>
      <c r="E297" s="1" t="n">
        <v>46226</v>
      </c>
      <c r="F297" t="inlineStr">
        <is>
          <t>GÄVLEBORGS LÄN</t>
        </is>
      </c>
      <c r="G297" t="inlineStr">
        <is>
          <t>NORDANSTIG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46226</v>
      </c>
      <c r="F298" t="inlineStr">
        <is>
          <t>GÄVLEBORGS LÄN</t>
        </is>
      </c>
      <c r="G298" t="inlineStr">
        <is>
          <t>NORDANSTIG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10993-2026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46226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46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45897</v>
      </c>
      <c r="E300" s="1" t="n">
        <v>46226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46226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46226</v>
      </c>
      <c r="F302" t="inlineStr">
        <is>
          <t>GÄVLEBORGS LÄN</t>
        </is>
      </c>
      <c r="G302" t="inlineStr">
        <is>
          <t>NORDANSTIG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46226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46226</v>
      </c>
      <c r="F304" t="inlineStr">
        <is>
          <t>GÄVLEBORGS LÄN</t>
        </is>
      </c>
      <c r="G304" t="inlineStr">
        <is>
          <t>NORDANSTIG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46226</v>
      </c>
      <c r="F305" t="inlineStr">
        <is>
          <t>GÄVLEBORGS LÄN</t>
        </is>
      </c>
      <c r="G305" t="inlineStr">
        <is>
          <t>NORDANSTIG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45861</v>
      </c>
      <c r="E306" s="1" t="n">
        <v>46226</v>
      </c>
      <c r="F306" t="inlineStr">
        <is>
          <t>GÄVLEBORGS LÄN</t>
        </is>
      </c>
      <c r="G306" t="inlineStr">
        <is>
          <t>NORDANSTIG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45419</v>
      </c>
      <c r="E307" s="1" t="n">
        <v>46226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46226</v>
      </c>
      <c r="F308" t="inlineStr">
        <is>
          <t>GÄVLEBORGS LÄN</t>
        </is>
      </c>
      <c r="G308" t="inlineStr">
        <is>
          <t>NORDANSTIG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46226</v>
      </c>
      <c r="F309" t="inlineStr">
        <is>
          <t>GÄVLEBORGS LÄN</t>
        </is>
      </c>
      <c r="G309" t="inlineStr">
        <is>
          <t>NORDANSTIG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46226</v>
      </c>
      <c r="F310" t="inlineStr">
        <is>
          <t>GÄVLEBORGS LÄN</t>
        </is>
      </c>
      <c r="G310" t="inlineStr">
        <is>
          <t>NORDANSTIG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46226</v>
      </c>
      <c r="F311" t="inlineStr">
        <is>
          <t>GÄVLEBORGS LÄN</t>
        </is>
      </c>
      <c r="G311" t="inlineStr">
        <is>
          <t>NORDANSTIG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45897</v>
      </c>
      <c r="E312" s="1" t="n">
        <v>46226</v>
      </c>
      <c r="F312" t="inlineStr">
        <is>
          <t>GÄVLEBORGS LÄN</t>
        </is>
      </c>
      <c r="G312" t="inlineStr">
        <is>
          <t>NORDANSTIG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46226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46226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46226</v>
      </c>
      <c r="F315" t="inlineStr">
        <is>
          <t>GÄVLEBORGS LÄN</t>
        </is>
      </c>
      <c r="G315" t="inlineStr">
        <is>
          <t>NORDANSTIG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45824</v>
      </c>
      <c r="E316" s="1" t="n">
        <v>46226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46226</v>
      </c>
      <c r="F317" t="inlineStr">
        <is>
          <t>GÄVLEBORGS LÄN</t>
        </is>
      </c>
      <c r="G317" t="inlineStr">
        <is>
          <t>NORDANSTIG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59930-2024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45642</v>
      </c>
      <c r="E318" s="1" t="n">
        <v>46226</v>
      </c>
      <c r="F318" t="inlineStr">
        <is>
          <t>GÄVLEBORGS LÄN</t>
        </is>
      </c>
      <c r="G318" t="inlineStr">
        <is>
          <t>NORDANSTIG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45825</v>
      </c>
      <c r="E319" s="1" t="n">
        <v>46226</v>
      </c>
      <c r="F319" t="inlineStr">
        <is>
          <t>GÄVLEBORGS LÄN</t>
        </is>
      </c>
      <c r="G319" t="inlineStr">
        <is>
          <t>NORDANSTIG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44781</v>
      </c>
      <c r="E320" s="1" t="n">
        <v>46226</v>
      </c>
      <c r="F320" t="inlineStr">
        <is>
          <t>GÄVLEBORGS LÄN</t>
        </is>
      </c>
      <c r="G320" t="inlineStr">
        <is>
          <t>NORDANSTIG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46226</v>
      </c>
      <c r="F321" t="inlineStr">
        <is>
          <t>GÄVLEBORGS LÄN</t>
        </is>
      </c>
      <c r="G321" t="inlineStr">
        <is>
          <t>NORDANSTIG</t>
        </is>
      </c>
      <c r="H321" t="inlineStr">
        <is>
          <t>SCA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45236</v>
      </c>
      <c r="E322" s="1" t="n">
        <v>46226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SCA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46226</v>
      </c>
      <c r="F323" t="inlineStr">
        <is>
          <t>GÄVLEBORGS LÄN</t>
        </is>
      </c>
      <c r="G323" t="inlineStr">
        <is>
          <t>NORDANSTIG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46226</v>
      </c>
      <c r="F324" t="inlineStr">
        <is>
          <t>GÄVLEBORGS LÄN</t>
        </is>
      </c>
      <c r="G324" t="inlineStr">
        <is>
          <t>NORDANSTIG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46226</v>
      </c>
      <c r="F325" t="inlineStr">
        <is>
          <t>GÄVLEBORGS LÄN</t>
        </is>
      </c>
      <c r="G325" t="inlineStr">
        <is>
          <t>NORDANSTIG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46226</v>
      </c>
      <c r="F326" t="inlineStr">
        <is>
          <t>GÄVLEBORGS LÄN</t>
        </is>
      </c>
      <c r="G326" t="inlineStr">
        <is>
          <t>NORDANSTIG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46084</v>
      </c>
      <c r="E327" s="1" t="n">
        <v>46226</v>
      </c>
      <c r="F327" t="inlineStr">
        <is>
          <t>GÄVLEBORGS LÄN</t>
        </is>
      </c>
      <c r="G327" t="inlineStr">
        <is>
          <t>NORDANSTIG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46226</v>
      </c>
      <c r="F328" t="inlineStr">
        <is>
          <t>GÄVLEBORGS LÄN</t>
        </is>
      </c>
      <c r="G328" t="inlineStr">
        <is>
          <t>NORDANSTIG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46226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46226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44998</v>
      </c>
      <c r="E331" s="1" t="n">
        <v>46226</v>
      </c>
      <c r="F331" t="inlineStr">
        <is>
          <t>GÄVLEBORGS LÄN</t>
        </is>
      </c>
      <c r="G331" t="inlineStr">
        <is>
          <t>NORDANSTIG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46226</v>
      </c>
      <c r="F332" t="inlineStr">
        <is>
          <t>GÄVLEBORGS LÄN</t>
        </is>
      </c>
      <c r="G332" t="inlineStr">
        <is>
          <t>NORDANSTIG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46226</v>
      </c>
      <c r="F333" t="inlineStr">
        <is>
          <t>GÄVLEBORGS LÄN</t>
        </is>
      </c>
      <c r="G333" t="inlineStr">
        <is>
          <t>NORDANSTIG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45148</v>
      </c>
      <c r="E334" s="1" t="n">
        <v>46226</v>
      </c>
      <c r="F334" t="inlineStr">
        <is>
          <t>GÄVLEBORGS LÄN</t>
        </is>
      </c>
      <c r="G334" t="inlineStr">
        <is>
          <t>NORDANSTIG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46226</v>
      </c>
      <c r="F335" t="inlineStr">
        <is>
          <t>GÄVLEBORGS LÄN</t>
        </is>
      </c>
      <c r="G335" t="inlineStr">
        <is>
          <t>NORDANSTIG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46226</v>
      </c>
      <c r="F336" t="inlineStr">
        <is>
          <t>GÄVLEBORGS LÄN</t>
        </is>
      </c>
      <c r="G336" t="inlineStr">
        <is>
          <t>NORDANSTIG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46226</v>
      </c>
      <c r="F337" t="inlineStr">
        <is>
          <t>GÄVLEBORGS LÄN</t>
        </is>
      </c>
      <c r="G337" t="inlineStr">
        <is>
          <t>NORDANSTIG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46226</v>
      </c>
      <c r="F338" t="inlineStr">
        <is>
          <t>GÄVLEBORGS LÄN</t>
        </is>
      </c>
      <c r="G338" t="inlineStr">
        <is>
          <t>NORDANSTIG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46226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46226</v>
      </c>
      <c r="F340" t="inlineStr">
        <is>
          <t>GÄVLEBORGS LÄN</t>
        </is>
      </c>
      <c r="G340" t="inlineStr">
        <is>
          <t>NORDANSTIG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45909</v>
      </c>
      <c r="E341" s="1" t="n">
        <v>46226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46226</v>
      </c>
      <c r="F342" t="inlineStr">
        <is>
          <t>GÄVLEBORGS LÄN</t>
        </is>
      </c>
      <c r="G342" t="inlineStr">
        <is>
          <t>NORDANSTIG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46226</v>
      </c>
      <c r="F343" t="inlineStr">
        <is>
          <t>GÄVLEBORGS LÄN</t>
        </is>
      </c>
      <c r="G343" t="inlineStr">
        <is>
          <t>NORDANSTIG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46226</v>
      </c>
      <c r="F344" t="inlineStr">
        <is>
          <t>GÄVLEBORGS LÄN</t>
        </is>
      </c>
      <c r="G344" t="inlineStr">
        <is>
          <t>NORDANSTIG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7916-2022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44608</v>
      </c>
      <c r="E345" s="1" t="n">
        <v>46226</v>
      </c>
      <c r="F345" t="inlineStr">
        <is>
          <t>GÄVLEBORGS LÄN</t>
        </is>
      </c>
      <c r="G345" t="inlineStr">
        <is>
          <t>NORDANSTIG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45826</v>
      </c>
      <c r="E346" s="1" t="n">
        <v>46226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46226</v>
      </c>
      <c r="F347" t="inlineStr">
        <is>
          <t>GÄVLEBORGS LÄN</t>
        </is>
      </c>
      <c r="G347" t="inlineStr">
        <is>
          <t>NORDANSTIG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46226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46226</v>
      </c>
      <c r="F349" t="inlineStr">
        <is>
          <t>GÄVLEBORGS LÄN</t>
        </is>
      </c>
      <c r="G349" t="inlineStr">
        <is>
          <t>NORDANSTIG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46226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38241-2024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46226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44811</v>
      </c>
      <c r="E352" s="1" t="n">
        <v>46226</v>
      </c>
      <c r="F352" t="inlineStr">
        <is>
          <t>GÄVLEBORGS LÄN</t>
        </is>
      </c>
      <c r="G352" t="inlineStr">
        <is>
          <t>NORDANSTIG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46226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46226</v>
      </c>
      <c r="F354" t="inlineStr">
        <is>
          <t>GÄVLEBORGS LÄN</t>
        </is>
      </c>
      <c r="G354" t="inlineStr">
        <is>
          <t>NORDANSTIG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46226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46226</v>
      </c>
      <c r="F356" t="inlineStr">
        <is>
          <t>GÄVLEBORGS LÄN</t>
        </is>
      </c>
      <c r="G356" t="inlineStr">
        <is>
          <t>NORDANSTIG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45541</v>
      </c>
      <c r="E357" s="1" t="n">
        <v>46226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46226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45131</v>
      </c>
      <c r="E359" s="1" t="n">
        <v>46226</v>
      </c>
      <c r="F359" t="inlineStr">
        <is>
          <t>GÄVLEBORGS LÄN</t>
        </is>
      </c>
      <c r="G359" t="inlineStr">
        <is>
          <t>NORDANSTIG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46226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46226</v>
      </c>
      <c r="F361" t="inlineStr">
        <is>
          <t>GÄVLEBORGS LÄN</t>
        </is>
      </c>
      <c r="G361" t="inlineStr">
        <is>
          <t>NORDANSTIG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46226</v>
      </c>
      <c r="F362" t="inlineStr">
        <is>
          <t>GÄVLEBORGS LÄN</t>
        </is>
      </c>
      <c r="G362" t="inlineStr">
        <is>
          <t>NORDANSTIG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46226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46226</v>
      </c>
      <c r="F364" t="inlineStr">
        <is>
          <t>GÄVLEBORGS LÄN</t>
        </is>
      </c>
      <c r="G364" t="inlineStr">
        <is>
          <t>NORDANSTIG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46226</v>
      </c>
      <c r="F365" t="inlineStr">
        <is>
          <t>GÄVLEBORGS LÄN</t>
        </is>
      </c>
      <c r="G365" t="inlineStr">
        <is>
          <t>NORDANSTIG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46226</v>
      </c>
      <c r="F366" t="inlineStr">
        <is>
          <t>GÄVLEBORGS LÄN</t>
        </is>
      </c>
      <c r="G366" t="inlineStr">
        <is>
          <t>NORDANSTIG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46226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46226</v>
      </c>
      <c r="F368" t="inlineStr">
        <is>
          <t>GÄVLEBORGS LÄN</t>
        </is>
      </c>
      <c r="G368" t="inlineStr">
        <is>
          <t>NORDANSTIG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46226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46226</v>
      </c>
      <c r="F370" t="inlineStr">
        <is>
          <t>GÄVLEBORGS LÄN</t>
        </is>
      </c>
      <c r="G370" t="inlineStr">
        <is>
          <t>NORDANSTIG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46226</v>
      </c>
      <c r="F371" t="inlineStr">
        <is>
          <t>GÄVLEBORGS LÄN</t>
        </is>
      </c>
      <c r="G371" t="inlineStr">
        <is>
          <t>NORDANSTIG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46226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44972-2025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45918</v>
      </c>
      <c r="E373" s="1" t="n">
        <v>46226</v>
      </c>
      <c r="F373" t="inlineStr">
        <is>
          <t>GÄVLEBORGS LÄN</t>
        </is>
      </c>
      <c r="G373" t="inlineStr">
        <is>
          <t>NORDANSTIG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45918</v>
      </c>
      <c r="E374" s="1" t="n">
        <v>46226</v>
      </c>
      <c r="F374" t="inlineStr">
        <is>
          <t>GÄVLEBORGS LÄN</t>
        </is>
      </c>
      <c r="G374" t="inlineStr">
        <is>
          <t>NORDANSTIG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45918</v>
      </c>
      <c r="E375" s="1" t="n">
        <v>46226</v>
      </c>
      <c r="F375" t="inlineStr">
        <is>
          <t>GÄVLEBORGS LÄN</t>
        </is>
      </c>
      <c r="G375" t="inlineStr">
        <is>
          <t>NORDANSTIG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45216</v>
      </c>
      <c r="E376" s="1" t="n">
        <v>46226</v>
      </c>
      <c r="F376" t="inlineStr">
        <is>
          <t>GÄVLEBORGS LÄN</t>
        </is>
      </c>
      <c r="G376" t="inlineStr">
        <is>
          <t>NORDANSTIG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44768</v>
      </c>
      <c r="E377" s="1" t="n">
        <v>46226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45902-2025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45923</v>
      </c>
      <c r="E378" s="1" t="n">
        <v>46226</v>
      </c>
      <c r="F378" t="inlineStr">
        <is>
          <t>GÄVLEBORGS LÄN</t>
        </is>
      </c>
      <c r="G378" t="inlineStr">
        <is>
          <t>NORDANSTIG</t>
        </is>
      </c>
      <c r="H378" t="inlineStr">
        <is>
          <t>SCA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46226</v>
      </c>
      <c r="F379" t="inlineStr">
        <is>
          <t>GÄVLEBORGS LÄN</t>
        </is>
      </c>
      <c r="G379" t="inlineStr">
        <is>
          <t>NORDANSTIG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46104</v>
      </c>
      <c r="E380" s="1" t="n">
        <v>46226</v>
      </c>
      <c r="F380" t="inlineStr">
        <is>
          <t>GÄVLEBORGS LÄN</t>
        </is>
      </c>
      <c r="G380" t="inlineStr">
        <is>
          <t>NORDANSTIG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46226</v>
      </c>
      <c r="F381" t="inlineStr">
        <is>
          <t>GÄVLEBORGS LÄN</t>
        </is>
      </c>
      <c r="G381" t="inlineStr">
        <is>
          <t>NORDANSTIG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45089</v>
      </c>
      <c r="E382" s="1" t="n">
        <v>46226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46226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45832</v>
      </c>
      <c r="E384" s="1" t="n">
        <v>46226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46226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46226</v>
      </c>
      <c r="F386" t="inlineStr">
        <is>
          <t>GÄVLEBORGS LÄN</t>
        </is>
      </c>
      <c r="G386" t="inlineStr">
        <is>
          <t>NORDANSTIG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46226</v>
      </c>
      <c r="F387" t="inlineStr">
        <is>
          <t>GÄVLEBORGS LÄN</t>
        </is>
      </c>
      <c r="G387" t="inlineStr">
        <is>
          <t>NORDANSTIG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45671</v>
      </c>
      <c r="E388" s="1" t="n">
        <v>46226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46226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15746-2026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46226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46226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46226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46111</v>
      </c>
      <c r="E393" s="1" t="n">
        <v>46226</v>
      </c>
      <c r="F393" t="inlineStr">
        <is>
          <t>GÄVLEBORGS LÄN</t>
        </is>
      </c>
      <c r="G393" t="inlineStr">
        <is>
          <t>NORDANSTIG</t>
        </is>
      </c>
      <c r="H393" t="inlineStr">
        <is>
          <t>Kommuner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46226</v>
      </c>
      <c r="F394" t="inlineStr">
        <is>
          <t>GÄVLEBORGS LÄN</t>
        </is>
      </c>
      <c r="G394" t="inlineStr">
        <is>
          <t>NORDANSTIG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45832</v>
      </c>
      <c r="E395" s="1" t="n">
        <v>46226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46226</v>
      </c>
      <c r="F396" t="inlineStr">
        <is>
          <t>GÄVLEBORGS LÄN</t>
        </is>
      </c>
      <c r="G396" t="inlineStr">
        <is>
          <t>NORDANSTIG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46226</v>
      </c>
      <c r="F397" t="inlineStr">
        <is>
          <t>GÄVLEBORGS LÄN</t>
        </is>
      </c>
      <c r="G397" t="inlineStr">
        <is>
          <t>NORDANSTIG</t>
        </is>
      </c>
      <c r="H397" t="inlineStr">
        <is>
          <t>Kommuner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46226</v>
      </c>
      <c r="F398" t="inlineStr">
        <is>
          <t>GÄVLEBORGS LÄN</t>
        </is>
      </c>
      <c r="G398" t="inlineStr">
        <is>
          <t>NORDANSTIG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45646</v>
      </c>
      <c r="E399" s="1" t="n">
        <v>46226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46226</v>
      </c>
      <c r="F400" t="inlineStr">
        <is>
          <t>GÄVLEBORGS LÄN</t>
        </is>
      </c>
      <c r="G400" t="inlineStr">
        <is>
          <t>NORDANSTIG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16449-2026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46226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34.8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46226</v>
      </c>
      <c r="F402" t="inlineStr">
        <is>
          <t>GÄVLEBORGS LÄN</t>
        </is>
      </c>
      <c r="G402" t="inlineStr">
        <is>
          <t>NORDANSTIG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46226</v>
      </c>
      <c r="F403" t="inlineStr">
        <is>
          <t>GÄVLEBORGS LÄN</t>
        </is>
      </c>
      <c r="G403" t="inlineStr">
        <is>
          <t>NORDANSTIG</t>
        </is>
      </c>
      <c r="H403" t="inlineStr">
        <is>
          <t>Kommuner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46226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42.1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16310-2026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46111</v>
      </c>
      <c r="E405" s="1" t="n">
        <v>46226</v>
      </c>
      <c r="F405" t="inlineStr">
        <is>
          <t>GÄVLEBORGS LÄN</t>
        </is>
      </c>
      <c r="G405" t="inlineStr">
        <is>
          <t>NORDANSTIG</t>
        </is>
      </c>
      <c r="H405" t="inlineStr">
        <is>
          <t>Kommuner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46226</v>
      </c>
      <c r="F406" t="inlineStr">
        <is>
          <t>GÄVLEBORGS LÄN</t>
        </is>
      </c>
      <c r="G406" t="inlineStr">
        <is>
          <t>NORDANSTIG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43539-2023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45184</v>
      </c>
      <c r="E407" s="1" t="n">
        <v>46226</v>
      </c>
      <c r="F407" t="inlineStr">
        <is>
          <t>GÄVLEBORGS LÄN</t>
        </is>
      </c>
      <c r="G407" t="inlineStr">
        <is>
          <t>NORDANSTIG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46226</v>
      </c>
      <c r="F408" t="inlineStr">
        <is>
          <t>GÄVLEBORGS LÄN</t>
        </is>
      </c>
      <c r="G408" t="inlineStr">
        <is>
          <t>NORDANSTIG</t>
        </is>
      </c>
      <c r="I408" t="n">
        <v>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15973-2022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44664</v>
      </c>
      <c r="E409" s="1" t="n">
        <v>46226</v>
      </c>
      <c r="F409" t="inlineStr">
        <is>
          <t>GÄVLEBORGS LÄN</t>
        </is>
      </c>
      <c r="G409" t="inlineStr">
        <is>
          <t>NORDANSTIG</t>
        </is>
      </c>
      <c r="H409" t="inlineStr">
        <is>
          <t>SCA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41701-2023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45176</v>
      </c>
      <c r="E410" s="1" t="n">
        <v>46226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48715-2025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45936</v>
      </c>
      <c r="E411" s="1" t="n">
        <v>46226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48724-2025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45936</v>
      </c>
      <c r="E412" s="1" t="n">
        <v>46226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46226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46226</v>
      </c>
      <c r="F414" t="inlineStr">
        <is>
          <t>GÄVLEBORGS LÄN</t>
        </is>
      </c>
      <c r="G414" t="inlineStr">
        <is>
          <t>NORDANSTIG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32082-2025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45835</v>
      </c>
      <c r="E415" s="1" t="n">
        <v>46226</v>
      </c>
      <c r="F415" t="inlineStr">
        <is>
          <t>GÄVLEBORGS LÄN</t>
        </is>
      </c>
      <c r="G415" t="inlineStr">
        <is>
          <t>NORDANSTIG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48677-2025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45936</v>
      </c>
      <c r="E416" s="1" t="n">
        <v>46226</v>
      </c>
      <c r="F416" t="inlineStr">
        <is>
          <t>GÄVLEBORGS LÄN</t>
        </is>
      </c>
      <c r="G416" t="inlineStr">
        <is>
          <t>NORDANSTIG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46118</v>
      </c>
      <c r="E417" s="1" t="n">
        <v>46226</v>
      </c>
      <c r="F417" t="inlineStr">
        <is>
          <t>GÄVLEBORGS LÄN</t>
        </is>
      </c>
      <c r="G417" t="inlineStr">
        <is>
          <t>NORDANSTIG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46120</v>
      </c>
      <c r="E418" s="1" t="n">
        <v>46226</v>
      </c>
      <c r="F418" t="inlineStr">
        <is>
          <t>GÄVLEBORGS LÄN</t>
        </is>
      </c>
      <c r="G418" t="inlineStr">
        <is>
          <t>NORDANSTIG</t>
        </is>
      </c>
      <c r="I418" t="n">
        <v>16.3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46226</v>
      </c>
      <c r="F419" t="inlineStr">
        <is>
          <t>GÄVLEBORGS LÄN</t>
        </is>
      </c>
      <c r="G419" t="inlineStr">
        <is>
          <t>NORDANSTIG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45937</v>
      </c>
      <c r="E420" s="1" t="n">
        <v>46226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46226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46226</v>
      </c>
      <c r="F422" t="inlineStr">
        <is>
          <t>GÄVLEBORGS LÄN</t>
        </is>
      </c>
      <c r="G422" t="inlineStr">
        <is>
          <t>NORDANSTIG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46226</v>
      </c>
      <c r="F423" t="inlineStr">
        <is>
          <t>GÄVLEBORGS LÄN</t>
        </is>
      </c>
      <c r="G423" t="inlineStr">
        <is>
          <t>NORDANSTIG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45596</v>
      </c>
      <c r="E424" s="1" t="n">
        <v>46226</v>
      </c>
      <c r="F424" t="inlineStr">
        <is>
          <t>GÄVLEBORGS LÄN</t>
        </is>
      </c>
      <c r="G424" t="inlineStr">
        <is>
          <t>NORDANSTIG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49287-2025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45938</v>
      </c>
      <c r="E425" s="1" t="n">
        <v>46226</v>
      </c>
      <c r="F425" t="inlineStr">
        <is>
          <t>GÄVLEBORGS LÄN</t>
        </is>
      </c>
      <c r="G425" t="inlineStr">
        <is>
          <t>NORDANSTIG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46226</v>
      </c>
      <c r="F426" t="inlineStr">
        <is>
          <t>GÄVLEBORGS LÄN</t>
        </is>
      </c>
      <c r="G426" t="inlineStr">
        <is>
          <t>NORDANSTIG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46226</v>
      </c>
      <c r="F427" t="inlineStr">
        <is>
          <t>GÄVLEBORGS LÄN</t>
        </is>
      </c>
      <c r="G427" t="inlineStr">
        <is>
          <t>NORDANSTIG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46226</v>
      </c>
      <c r="F428" t="inlineStr">
        <is>
          <t>GÄVLEBORGS LÄN</t>
        </is>
      </c>
      <c r="G428" t="inlineStr">
        <is>
          <t>NORDANSTIG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46226</v>
      </c>
      <c r="F429" t="inlineStr">
        <is>
          <t>GÄVLEBORGS LÄN</t>
        </is>
      </c>
      <c r="G429" t="inlineStr">
        <is>
          <t>NORDANSTIG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46226</v>
      </c>
      <c r="F430" t="inlineStr">
        <is>
          <t>GÄVLEBORGS LÄN</t>
        </is>
      </c>
      <c r="G430" t="inlineStr">
        <is>
          <t>NORDANSTIG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17498-2026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46120</v>
      </c>
      <c r="E431" s="1" t="n">
        <v>46226</v>
      </c>
      <c r="F431" t="inlineStr">
        <is>
          <t>GÄVLEBORGS LÄN</t>
        </is>
      </c>
      <c r="G431" t="inlineStr">
        <is>
          <t>NORDANSTIG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46226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49597-2025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45939</v>
      </c>
      <c r="E433" s="1" t="n">
        <v>46226</v>
      </c>
      <c r="F433" t="inlineStr">
        <is>
          <t>GÄVLEBORGS LÄN</t>
        </is>
      </c>
      <c r="G433" t="inlineStr">
        <is>
          <t>NORDANSTIG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46226</v>
      </c>
      <c r="F434" t="inlineStr">
        <is>
          <t>GÄVLEBORGS LÄN</t>
        </is>
      </c>
      <c r="G434" t="inlineStr">
        <is>
          <t>NORDANSTIG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46226</v>
      </c>
      <c r="F435" t="inlineStr">
        <is>
          <t>GÄVLEBORGS LÄN</t>
        </is>
      </c>
      <c r="G435" t="inlineStr">
        <is>
          <t>NORDANSTIG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45103</v>
      </c>
      <c r="E436" s="1" t="n">
        <v>46226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46226</v>
      </c>
      <c r="F437" t="inlineStr">
        <is>
          <t>GÄVLEBORGS LÄN</t>
        </is>
      </c>
      <c r="G437" t="inlineStr">
        <is>
          <t>NORDANSTIG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46226</v>
      </c>
      <c r="F438" t="inlineStr">
        <is>
          <t>GÄVLEBORGS LÄN</t>
        </is>
      </c>
      <c r="G438" t="inlineStr">
        <is>
          <t>NORDANSTIG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45938</v>
      </c>
      <c r="E439" s="1" t="n">
        <v>46226</v>
      </c>
      <c r="F439" t="inlineStr">
        <is>
          <t>GÄVLEBORGS LÄN</t>
        </is>
      </c>
      <c r="G439" t="inlineStr">
        <is>
          <t>NORDANSTIG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46226</v>
      </c>
      <c r="F440" t="inlineStr">
        <is>
          <t>GÄVLEBORGS LÄN</t>
        </is>
      </c>
      <c r="G440" t="inlineStr">
        <is>
          <t>NORDANSTIG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46226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49595-2025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45939</v>
      </c>
      <c r="E442" s="1" t="n">
        <v>46226</v>
      </c>
      <c r="F442" t="inlineStr">
        <is>
          <t>GÄVLEBORGS LÄN</t>
        </is>
      </c>
      <c r="G442" t="inlineStr">
        <is>
          <t>NORDANSTIG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49331-2025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46226</v>
      </c>
      <c r="F443" t="inlineStr">
        <is>
          <t>GÄVLEBORGS LÄN</t>
        </is>
      </c>
      <c r="G443" t="inlineStr">
        <is>
          <t>NORDANSTIG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48832-2025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45937</v>
      </c>
      <c r="E444" s="1" t="n">
        <v>46226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45939</v>
      </c>
      <c r="E445" s="1" t="n">
        <v>46226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49596-2025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45939</v>
      </c>
      <c r="E446" s="1" t="n">
        <v>46226</v>
      </c>
      <c r="F446" t="inlineStr">
        <is>
          <t>GÄVLEBORGS LÄN</t>
        </is>
      </c>
      <c r="G446" t="inlineStr">
        <is>
          <t>NORDANSTIG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39207-2023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46226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46226</v>
      </c>
      <c r="F448" t="inlineStr">
        <is>
          <t>GÄVLEBORGS LÄN</t>
        </is>
      </c>
      <c r="G448" t="inlineStr">
        <is>
          <t>NORDANSTIG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46226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49334-2025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45938</v>
      </c>
      <c r="E450" s="1" t="n">
        <v>46226</v>
      </c>
      <c r="F450" t="inlineStr">
        <is>
          <t>GÄVLEBORGS LÄN</t>
        </is>
      </c>
      <c r="G450" t="inlineStr">
        <is>
          <t>NORDANSTIG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44573</v>
      </c>
      <c r="E451" s="1" t="n">
        <v>46226</v>
      </c>
      <c r="F451" t="inlineStr">
        <is>
          <t>GÄVLEBORGS LÄN</t>
        </is>
      </c>
      <c r="G451" t="inlineStr">
        <is>
          <t>NORDANSTIG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44945</v>
      </c>
      <c r="E452" s="1" t="n">
        <v>46226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46125</v>
      </c>
      <c r="E453" s="1" t="n">
        <v>46226</v>
      </c>
      <c r="F453" t="inlineStr">
        <is>
          <t>GÄVLEBORGS LÄN</t>
        </is>
      </c>
      <c r="G453" t="inlineStr">
        <is>
          <t>NORDANSTIG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18385-2026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46126</v>
      </c>
      <c r="E454" s="1" t="n">
        <v>46226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45497</v>
      </c>
      <c r="E455" s="1" t="n">
        <v>46226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46226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43.6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46125</v>
      </c>
      <c r="E457" s="1" t="n">
        <v>46226</v>
      </c>
      <c r="F457" t="inlineStr">
        <is>
          <t>GÄVLEBORGS LÄN</t>
        </is>
      </c>
      <c r="G457" t="inlineStr">
        <is>
          <t>NORDANSTIG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46226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46226</v>
      </c>
      <c r="F459" t="inlineStr">
        <is>
          <t>GÄVLEBORGS LÄN</t>
        </is>
      </c>
      <c r="G459" t="inlineStr">
        <is>
          <t>NORDANSTIG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46226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46226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44729</v>
      </c>
      <c r="E462" s="1" t="n">
        <v>46226</v>
      </c>
      <c r="F462" t="inlineStr">
        <is>
          <t>GÄVLEBORGS LÄN</t>
        </is>
      </c>
      <c r="G462" t="inlineStr">
        <is>
          <t>NORDANSTIG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46100</v>
      </c>
      <c r="E463" s="1" t="n">
        <v>46226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46226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50818-2025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46226</v>
      </c>
      <c r="F465" t="inlineStr">
        <is>
          <t>GÄVLEBORGS LÄN</t>
        </is>
      </c>
      <c r="G465" t="inlineStr">
        <is>
          <t>NORDANSTIG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51101-2025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46226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45525</v>
      </c>
      <c r="E467" s="1" t="n">
        <v>46226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45434</v>
      </c>
      <c r="E468" s="1" t="n">
        <v>46226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40104-2024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45554</v>
      </c>
      <c r="E469" s="1" t="n">
        <v>46226</v>
      </c>
      <c r="F469" t="inlineStr">
        <is>
          <t>GÄVLEBORGS LÄN</t>
        </is>
      </c>
      <c r="G469" t="inlineStr">
        <is>
          <t>NORDANSTIG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28711-2022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44748</v>
      </c>
      <c r="E470" s="1" t="n">
        <v>46226</v>
      </c>
      <c r="F470" t="inlineStr">
        <is>
          <t>GÄVLEBORGS LÄN</t>
        </is>
      </c>
      <c r="G470" t="inlineStr">
        <is>
          <t>NORDANSTIG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50824-2025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45946</v>
      </c>
      <c r="E471" s="1" t="n">
        <v>46226</v>
      </c>
      <c r="F471" t="inlineStr">
        <is>
          <t>GÄVLEBORGS LÄN</t>
        </is>
      </c>
      <c r="G471" t="inlineStr">
        <is>
          <t>NORDANSTIG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46226</v>
      </c>
      <c r="F472" t="inlineStr">
        <is>
          <t>GÄVLEBORGS LÄN</t>
        </is>
      </c>
      <c r="G472" t="inlineStr">
        <is>
          <t>NORDANSTIG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45947</v>
      </c>
      <c r="E473" s="1" t="n">
        <v>46226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51014-2025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45947</v>
      </c>
      <c r="E474" s="1" t="n">
        <v>46226</v>
      </c>
      <c r="F474" t="inlineStr">
        <is>
          <t>GÄVLEBORGS LÄN</t>
        </is>
      </c>
      <c r="G474" t="inlineStr">
        <is>
          <t>NORDANSTIG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46226</v>
      </c>
      <c r="F475" t="inlineStr">
        <is>
          <t>GÄVLEBORGS LÄN</t>
        </is>
      </c>
      <c r="G475" t="inlineStr">
        <is>
          <t>NORDANSTIG</t>
        </is>
      </c>
      <c r="I475" t="n">
        <v>26.6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46226</v>
      </c>
      <c r="F476" t="inlineStr">
        <is>
          <t>GÄVLEBORGS LÄN</t>
        </is>
      </c>
      <c r="G476" t="inlineStr">
        <is>
          <t>NORDANSTIG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46226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46226</v>
      </c>
      <c r="F478" t="inlineStr">
        <is>
          <t>GÄVLEBORGS LÄN</t>
        </is>
      </c>
      <c r="G478" t="inlineStr">
        <is>
          <t>NORDANSTIG</t>
        </is>
      </c>
      <c r="I478" t="n">
        <v>30.9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46226</v>
      </c>
      <c r="F479" t="inlineStr">
        <is>
          <t>GÄVLEBORGS LÄN</t>
        </is>
      </c>
      <c r="G479" t="inlineStr">
        <is>
          <t>NORDANSTIG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51464-2025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45950</v>
      </c>
      <c r="E480" s="1" t="n">
        <v>46226</v>
      </c>
      <c r="F480" t="inlineStr">
        <is>
          <t>GÄVLEBORGS LÄN</t>
        </is>
      </c>
      <c r="G480" t="inlineStr">
        <is>
          <t>NORDANSTIG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46226</v>
      </c>
      <c r="F481" t="inlineStr">
        <is>
          <t>GÄVLEBORGS LÄN</t>
        </is>
      </c>
      <c r="G481" t="inlineStr">
        <is>
          <t>NORDANSTIG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51503-2025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46226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51680-2025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45951</v>
      </c>
      <c r="E483" s="1" t="n">
        <v>46226</v>
      </c>
      <c r="F483" t="inlineStr">
        <is>
          <t>GÄVLEBORGS LÄN</t>
        </is>
      </c>
      <c r="G483" t="inlineStr">
        <is>
          <t>NORDANSTIG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46226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45841</v>
      </c>
      <c r="E485" s="1" t="n">
        <v>46226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46226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16659-2026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46226</v>
      </c>
      <c r="F487" t="inlineStr">
        <is>
          <t>GÄVLEBORGS LÄN</t>
        </is>
      </c>
      <c r="G487" t="inlineStr">
        <is>
          <t>NORDANSTIG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45841</v>
      </c>
      <c r="E488" s="1" t="n">
        <v>46226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50827-2025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45946</v>
      </c>
      <c r="E489" s="1" t="n">
        <v>46226</v>
      </c>
      <c r="F489" t="inlineStr">
        <is>
          <t>GÄVLEBORGS LÄN</t>
        </is>
      </c>
      <c r="G489" t="inlineStr">
        <is>
          <t>NORDANSTIG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46226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46226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46226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53028-2025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46226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19982-2026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46136</v>
      </c>
      <c r="E494" s="1" t="n">
        <v>46226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46226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46226</v>
      </c>
      <c r="F496" t="inlineStr">
        <is>
          <t>GÄVLEBORGS LÄN</t>
        </is>
      </c>
      <c r="G496" t="inlineStr">
        <is>
          <t>NORDANSTIG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45960</v>
      </c>
      <c r="E497" s="1" t="n">
        <v>46226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46226</v>
      </c>
      <c r="F498" t="inlineStr">
        <is>
          <t>GÄVLEBORGS LÄN</t>
        </is>
      </c>
      <c r="G498" t="inlineStr">
        <is>
          <t>NORDANSTIG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64034-2025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46021</v>
      </c>
      <c r="E499" s="1" t="n">
        <v>46226</v>
      </c>
      <c r="F499" t="inlineStr">
        <is>
          <t>GÄVLEBORGS LÄN</t>
        </is>
      </c>
      <c r="G499" t="inlineStr">
        <is>
          <t>NORDANSTIG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45846</v>
      </c>
      <c r="E500" s="1" t="n">
        <v>46226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45846</v>
      </c>
      <c r="E501" s="1" t="n">
        <v>46226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58872-2024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45636</v>
      </c>
      <c r="E502" s="1" t="n">
        <v>46226</v>
      </c>
      <c r="F502" t="inlineStr">
        <is>
          <t>GÄVLEBORGS LÄN</t>
        </is>
      </c>
      <c r="G502" t="inlineStr">
        <is>
          <t>NORDANSTIG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54373-2025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45965</v>
      </c>
      <c r="E503" s="1" t="n">
        <v>46226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45232</v>
      </c>
      <c r="E504" s="1" t="n">
        <v>46226</v>
      </c>
      <c r="F504" t="inlineStr">
        <is>
          <t>GÄVLEBORGS LÄN</t>
        </is>
      </c>
      <c r="G504" t="inlineStr">
        <is>
          <t>NORDANSTIG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45848</v>
      </c>
      <c r="E505" s="1" t="n">
        <v>46226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45915</v>
      </c>
      <c r="E506" s="1" t="n">
        <v>46226</v>
      </c>
      <c r="F506" t="inlineStr">
        <is>
          <t>GÄVLEBORGS LÄN</t>
        </is>
      </c>
      <c r="G506" t="inlineStr">
        <is>
          <t>NORDANSTIG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46226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45848</v>
      </c>
      <c r="E508" s="1" t="n">
        <v>46226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63786-2025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46019</v>
      </c>
      <c r="E509" s="1" t="n">
        <v>46226</v>
      </c>
      <c r="F509" t="inlineStr">
        <is>
          <t>GÄVLEBORGS LÄN</t>
        </is>
      </c>
      <c r="G509" t="inlineStr">
        <is>
          <t>NORDANSTIG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45848</v>
      </c>
      <c r="E510" s="1" t="n">
        <v>46226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46033</v>
      </c>
      <c r="E511" s="1" t="n">
        <v>46226</v>
      </c>
      <c r="F511" t="inlineStr">
        <is>
          <t>GÄVLEBORGS LÄN</t>
        </is>
      </c>
      <c r="G511" t="inlineStr">
        <is>
          <t>NORDANSTIG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55453-2025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46226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45971</v>
      </c>
      <c r="E513" s="1" t="n">
        <v>46226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45824</v>
      </c>
      <c r="E514" s="1" t="n">
        <v>46226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52695-2024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46226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46226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55186-2025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46226</v>
      </c>
      <c r="F517" t="inlineStr">
        <is>
          <t>GÄVLEBORGS LÄN</t>
        </is>
      </c>
      <c r="G517" t="inlineStr">
        <is>
          <t>NORDANSTIG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46226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55964-2025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46226</v>
      </c>
      <c r="F519" t="inlineStr">
        <is>
          <t>GÄVLEBORGS LÄN</t>
        </is>
      </c>
      <c r="G519" t="inlineStr">
        <is>
          <t>NORDANSTIG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55955-2025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45973</v>
      </c>
      <c r="E520" s="1" t="n">
        <v>46226</v>
      </c>
      <c r="F520" t="inlineStr">
        <is>
          <t>GÄVLEBORGS LÄN</t>
        </is>
      </c>
      <c r="G520" t="inlineStr">
        <is>
          <t>NORDANSTIG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46226</v>
      </c>
      <c r="F521" t="inlineStr">
        <is>
          <t>GÄVLEBORGS LÄN</t>
        </is>
      </c>
      <c r="G521" t="inlineStr">
        <is>
          <t>NORDANSTIG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55206-2022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44886</v>
      </c>
      <c r="E522" s="1" t="n">
        <v>46226</v>
      </c>
      <c r="F522" t="inlineStr">
        <is>
          <t>GÄVLEBORGS LÄN</t>
        </is>
      </c>
      <c r="G522" t="inlineStr">
        <is>
          <t>NORDANSTIG</t>
        </is>
      </c>
      <c r="H522" t="inlineStr">
        <is>
          <t>SCA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45546</v>
      </c>
      <c r="E523" s="1" t="n">
        <v>46226</v>
      </c>
      <c r="F523" t="inlineStr">
        <is>
          <t>GÄVLEBORGS LÄN</t>
        </is>
      </c>
      <c r="G523" t="inlineStr">
        <is>
          <t>NORDANSTIG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45546</v>
      </c>
      <c r="E524" s="1" t="n">
        <v>46226</v>
      </c>
      <c r="F524" t="inlineStr">
        <is>
          <t>GÄVLEBORGS LÄN</t>
        </is>
      </c>
      <c r="G524" t="inlineStr">
        <is>
          <t>NORDANSTIG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56031-2025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46226</v>
      </c>
      <c r="F525" t="inlineStr">
        <is>
          <t>GÄVLEBORGS LÄN</t>
        </is>
      </c>
      <c r="G525" t="inlineStr">
        <is>
          <t>NORDANSTIG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46226</v>
      </c>
      <c r="F526" t="inlineStr">
        <is>
          <t>GÄVLEBORGS LÄN</t>
        </is>
      </c>
      <c r="G526" t="inlineStr">
        <is>
          <t>NORDANSTIG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56056-2025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46226</v>
      </c>
      <c r="F527" t="inlineStr">
        <is>
          <t>GÄVLEBORGS LÄN</t>
        </is>
      </c>
      <c r="G527" t="inlineStr">
        <is>
          <t>NORDANSTIG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45695</v>
      </c>
      <c r="E528" s="1" t="n">
        <v>46226</v>
      </c>
      <c r="F528" t="inlineStr">
        <is>
          <t>GÄVLEBORGS LÄN</t>
        </is>
      </c>
      <c r="G528" t="inlineStr">
        <is>
          <t>NORDANSTIG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56357-2025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45974</v>
      </c>
      <c r="E529" s="1" t="n">
        <v>46226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46226</v>
      </c>
      <c r="F530" t="inlineStr">
        <is>
          <t>GÄVLEBORGS LÄN</t>
        </is>
      </c>
      <c r="G530" t="inlineStr">
        <is>
          <t>NORDANSTIG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45860</v>
      </c>
      <c r="E531" s="1" t="n">
        <v>46226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57284-2025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46226</v>
      </c>
      <c r="F532" t="inlineStr">
        <is>
          <t>GÄVLEBORGS LÄN</t>
        </is>
      </c>
      <c r="G532" t="inlineStr">
        <is>
          <t>NORDANSTIG</t>
        </is>
      </c>
      <c r="H532" t="inlineStr">
        <is>
          <t>SCA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45860</v>
      </c>
      <c r="E533" s="1" t="n">
        <v>46226</v>
      </c>
      <c r="F533" t="inlineStr">
        <is>
          <t>GÄVLEBORGS LÄN</t>
        </is>
      </c>
      <c r="G533" t="inlineStr">
        <is>
          <t>NORDANSTIG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20288-2026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46139</v>
      </c>
      <c r="E534" s="1" t="n">
        <v>46226</v>
      </c>
      <c r="F534" t="inlineStr">
        <is>
          <t>GÄVLEBORGS LÄN</t>
        </is>
      </c>
      <c r="G534" t="inlineStr">
        <is>
          <t>NORDANSTIG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45259</v>
      </c>
      <c r="E535" s="1" t="n">
        <v>46226</v>
      </c>
      <c r="F535" t="inlineStr">
        <is>
          <t>GÄVLEBORGS LÄN</t>
        </is>
      </c>
      <c r="G535" t="inlineStr">
        <is>
          <t>NORDANSTIG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46226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20019-2026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46136</v>
      </c>
      <c r="E537" s="1" t="n">
        <v>46226</v>
      </c>
      <c r="F537" t="inlineStr">
        <is>
          <t>GÄVLEBORGS LÄN</t>
        </is>
      </c>
      <c r="G537" t="inlineStr">
        <is>
          <t>NORDANSTIG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45859</v>
      </c>
      <c r="E538" s="1" t="n">
        <v>46226</v>
      </c>
      <c r="F538" t="inlineStr">
        <is>
          <t>GÄVLEBORGS LÄN</t>
        </is>
      </c>
      <c r="G538" t="inlineStr">
        <is>
          <t>NORDANSTIG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44874</v>
      </c>
      <c r="E539" s="1" t="n">
        <v>46226</v>
      </c>
      <c r="F539" t="inlineStr">
        <is>
          <t>GÄVLEBORGS LÄN</t>
        </is>
      </c>
      <c r="G539" t="inlineStr">
        <is>
          <t>NORDANSTIG</t>
        </is>
      </c>
      <c r="H539" t="inlineStr">
        <is>
          <t>SCA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57875-2025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46226</v>
      </c>
      <c r="F540" t="inlineStr">
        <is>
          <t>GÄVLEBORGS LÄN</t>
        </is>
      </c>
      <c r="G540" t="inlineStr">
        <is>
          <t>NORDANSTIG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46226</v>
      </c>
      <c r="F541" t="inlineStr">
        <is>
          <t>GÄVLEBORGS LÄN</t>
        </is>
      </c>
      <c r="G541" t="inlineStr">
        <is>
          <t>NORDANSTIG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46226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57559-2025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45980</v>
      </c>
      <c r="E543" s="1" t="n">
        <v>46226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46136</v>
      </c>
      <c r="E544" s="1" t="n">
        <v>46226</v>
      </c>
      <c r="F544" t="inlineStr">
        <is>
          <t>GÄVLEBORGS LÄN</t>
        </is>
      </c>
      <c r="G544" t="inlineStr">
        <is>
          <t>NORDANSTIG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46226</v>
      </c>
      <c r="F545" t="inlineStr">
        <is>
          <t>GÄVLEBORGS LÄN</t>
        </is>
      </c>
      <c r="G545" t="inlineStr">
        <is>
          <t>NORDANSTIG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42947-2022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44833</v>
      </c>
      <c r="E546" s="1" t="n">
        <v>46226</v>
      </c>
      <c r="F546" t="inlineStr">
        <is>
          <t>GÄVLEBORGS LÄN</t>
        </is>
      </c>
      <c r="G546" t="inlineStr">
        <is>
          <t>NORDANSTIG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46226</v>
      </c>
      <c r="F547" t="inlineStr">
        <is>
          <t>GÄVLEBORGS LÄN</t>
        </is>
      </c>
      <c r="G547" t="inlineStr">
        <is>
          <t>NORDANSTIG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45509</v>
      </c>
      <c r="E548" s="1" t="n">
        <v>46226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45170</v>
      </c>
      <c r="E549" s="1" t="n">
        <v>46226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58533-2025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45985</v>
      </c>
      <c r="E550" s="1" t="n">
        <v>46226</v>
      </c>
      <c r="F550" t="inlineStr">
        <is>
          <t>GÄVLEBORGS LÄN</t>
        </is>
      </c>
      <c r="G550" t="inlineStr">
        <is>
          <t>NORDANSTIG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58535-2025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46226</v>
      </c>
      <c r="F551" t="inlineStr">
        <is>
          <t>GÄVLEBORGS LÄN</t>
        </is>
      </c>
      <c r="G551" t="inlineStr">
        <is>
          <t>NORDANSTIG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46226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58595-2025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45986</v>
      </c>
      <c r="E553" s="1" t="n">
        <v>46226</v>
      </c>
      <c r="F553" t="inlineStr">
        <is>
          <t>GÄVLEBORGS LÄN</t>
        </is>
      </c>
      <c r="G553" t="inlineStr">
        <is>
          <t>NORDANSTIG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7503-2022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44607</v>
      </c>
      <c r="E554" s="1" t="n">
        <v>46226</v>
      </c>
      <c r="F554" t="inlineStr">
        <is>
          <t>GÄVLEBORGS LÄN</t>
        </is>
      </c>
      <c r="G554" t="inlineStr">
        <is>
          <t>NORDANSTIG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40798-2022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44824</v>
      </c>
      <c r="E555" s="1" t="n">
        <v>46226</v>
      </c>
      <c r="F555" t="inlineStr">
        <is>
          <t>GÄVLEBORGS LÄN</t>
        </is>
      </c>
      <c r="G555" t="inlineStr">
        <is>
          <t>NORDANSTIG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46226</v>
      </c>
      <c r="F556" t="inlineStr">
        <is>
          <t>GÄVLEBORGS LÄN</t>
        </is>
      </c>
      <c r="G556" t="inlineStr">
        <is>
          <t>NORDANSTIG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44644</v>
      </c>
      <c r="E557" s="1" t="n">
        <v>46226</v>
      </c>
      <c r="F557" t="inlineStr">
        <is>
          <t>GÄVLEBORGS LÄN</t>
        </is>
      </c>
      <c r="G557" t="inlineStr">
        <is>
          <t>NORDANSTIG</t>
        </is>
      </c>
      <c r="I557" t="n">
        <v>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59008-2025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45987</v>
      </c>
      <c r="E558" s="1" t="n">
        <v>46226</v>
      </c>
      <c r="F558" t="inlineStr">
        <is>
          <t>GÄVLEBORGS LÄN</t>
        </is>
      </c>
      <c r="G558" t="inlineStr">
        <is>
          <t>NORDANSTIG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46226</v>
      </c>
      <c r="F559" t="inlineStr">
        <is>
          <t>GÄVLEBORGS LÄN</t>
        </is>
      </c>
      <c r="G559" t="inlineStr">
        <is>
          <t>NORDANSTIG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46226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43883-2021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44434</v>
      </c>
      <c r="E561" s="1" t="n">
        <v>46226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45324</v>
      </c>
      <c r="E562" s="1" t="n">
        <v>46226</v>
      </c>
      <c r="F562" t="inlineStr">
        <is>
          <t>GÄVLEBORGS LÄN</t>
        </is>
      </c>
      <c r="G562" t="inlineStr">
        <is>
          <t>NORDANSTIG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45951</v>
      </c>
      <c r="E563" s="1" t="n">
        <v>46226</v>
      </c>
      <c r="F563" t="inlineStr">
        <is>
          <t>GÄVLEBORGS LÄN</t>
        </is>
      </c>
      <c r="G563" t="inlineStr">
        <is>
          <t>NORDANSTIG</t>
        </is>
      </c>
      <c r="I563" t="n">
        <v>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45993</v>
      </c>
      <c r="E564" s="1" t="n">
        <v>46226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42717-2024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45566</v>
      </c>
      <c r="E565" s="1" t="n">
        <v>46226</v>
      </c>
      <c r="F565" t="inlineStr">
        <is>
          <t>GÄVLEBORGS LÄN</t>
        </is>
      </c>
      <c r="G565" t="inlineStr">
        <is>
          <t>NORDANSTIG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38514-2025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45884</v>
      </c>
      <c r="E566" s="1" t="n">
        <v>46226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46226</v>
      </c>
      <c r="F567" t="inlineStr">
        <is>
          <t>GÄVLEBORGS LÄN</t>
        </is>
      </c>
      <c r="G567" t="inlineStr">
        <is>
          <t>NORDANSTIG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46021</v>
      </c>
      <c r="E568" s="1" t="n">
        <v>46226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45489</v>
      </c>
      <c r="E569" s="1" t="n">
        <v>46226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46140</v>
      </c>
      <c r="E570" s="1" t="n">
        <v>46226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8.6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46226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33377-2022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44788</v>
      </c>
      <c r="E572" s="1" t="n">
        <v>46226</v>
      </c>
      <c r="F572" t="inlineStr">
        <is>
          <t>GÄVLEBORGS LÄN</t>
        </is>
      </c>
      <c r="G572" t="inlineStr">
        <is>
          <t>NORDANSTIG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45995</v>
      </c>
      <c r="E573" s="1" t="n">
        <v>46226</v>
      </c>
      <c r="F573" t="inlineStr">
        <is>
          <t>GÄVLEBORGS LÄN</t>
        </is>
      </c>
      <c r="G573" t="inlineStr">
        <is>
          <t>NORDANSTIG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38048-2024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46226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46084</v>
      </c>
      <c r="E575" s="1" t="n">
        <v>46226</v>
      </c>
      <c r="F575" t="inlineStr">
        <is>
          <t>GÄVLEBORGS LÄN</t>
        </is>
      </c>
      <c r="G575" t="inlineStr">
        <is>
          <t>NORDANSTIG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60299-2025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45994</v>
      </c>
      <c r="E576" s="1" t="n">
        <v>46226</v>
      </c>
      <c r="F576" t="inlineStr">
        <is>
          <t>GÄVLEBORGS LÄN</t>
        </is>
      </c>
      <c r="G576" t="inlineStr">
        <is>
          <t>NORDANSTIG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46054</v>
      </c>
      <c r="E577" s="1" t="n">
        <v>46226</v>
      </c>
      <c r="F577" t="inlineStr">
        <is>
          <t>GÄVLEBORGS LÄN</t>
        </is>
      </c>
      <c r="G577" t="inlineStr">
        <is>
          <t>NORDANSTIG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46226</v>
      </c>
      <c r="F578" t="inlineStr">
        <is>
          <t>GÄVLEBORGS LÄN</t>
        </is>
      </c>
      <c r="G578" t="inlineStr">
        <is>
          <t>NORDANSTIG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46226</v>
      </c>
      <c r="F579" t="inlineStr">
        <is>
          <t>GÄVLEBORGS LÄN</t>
        </is>
      </c>
      <c r="G579" t="inlineStr">
        <is>
          <t>NORDANSTIG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46226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46226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37640-2025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45880</v>
      </c>
      <c r="E582" s="1" t="n">
        <v>46226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46140</v>
      </c>
      <c r="E583" s="1" t="n">
        <v>46226</v>
      </c>
      <c r="F583" t="inlineStr">
        <is>
          <t>GÄVLEBORGS LÄN</t>
        </is>
      </c>
      <c r="G583" t="inlineStr">
        <is>
          <t>NORDANSTIG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13826-2026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46226</v>
      </c>
      <c r="F584" t="inlineStr">
        <is>
          <t>GÄVLEBORGS LÄN</t>
        </is>
      </c>
      <c r="G584" t="inlineStr">
        <is>
          <t>NORDANSTIG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46226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46226</v>
      </c>
      <c r="F586" t="inlineStr">
        <is>
          <t>GÄVLEBORGS LÄN</t>
        </is>
      </c>
      <c r="G586" t="inlineStr">
        <is>
          <t>NORDANSTIG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46226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22784-2025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45789</v>
      </c>
      <c r="E588" s="1" t="n">
        <v>46226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55.6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61871-2025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46003</v>
      </c>
      <c r="E589" s="1" t="n">
        <v>46226</v>
      </c>
      <c r="F589" t="inlineStr">
        <is>
          <t>GÄVLEBORGS LÄN</t>
        </is>
      </c>
      <c r="G589" t="inlineStr">
        <is>
          <t>NORDANSTIG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59912-2024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45641</v>
      </c>
      <c r="E590" s="1" t="n">
        <v>46226</v>
      </c>
      <c r="F590" t="inlineStr">
        <is>
          <t>GÄVLEBORGS LÄN</t>
        </is>
      </c>
      <c r="G590" t="inlineStr">
        <is>
          <t>NORDANSTIG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59930-2024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45642</v>
      </c>
      <c r="E591" s="1" t="n">
        <v>46226</v>
      </c>
      <c r="F591" t="inlineStr">
        <is>
          <t>GÄVLEBORGS LÄN</t>
        </is>
      </c>
      <c r="G591" t="inlineStr">
        <is>
          <t>NORDANSTIG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58165-2023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45250</v>
      </c>
      <c r="E592" s="1" t="n">
        <v>46226</v>
      </c>
      <c r="F592" t="inlineStr">
        <is>
          <t>GÄVLEBORGS LÄN</t>
        </is>
      </c>
      <c r="G592" t="inlineStr">
        <is>
          <t>NORDANSTIG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46113</v>
      </c>
      <c r="E593" s="1" t="n">
        <v>46226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46226</v>
      </c>
      <c r="F594" t="inlineStr">
        <is>
          <t>GÄVLEBORGS LÄN</t>
        </is>
      </c>
      <c r="G594" t="inlineStr">
        <is>
          <t>NORDANSTIG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62182-2025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46226</v>
      </c>
      <c r="F595" t="inlineStr">
        <is>
          <t>GÄVLEBORGS LÄN</t>
        </is>
      </c>
      <c r="G595" t="inlineStr">
        <is>
          <t>NORDANSTIG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44964</v>
      </c>
      <c r="E596" s="1" t="n">
        <v>46226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45551-2024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46226</v>
      </c>
      <c r="F597" t="inlineStr">
        <is>
          <t>GÄVLEBORGS LÄN</t>
        </is>
      </c>
      <c r="G597" t="inlineStr">
        <is>
          <t>NORDANSTIG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19568-2024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45429</v>
      </c>
      <c r="E598" s="1" t="n">
        <v>46226</v>
      </c>
      <c r="F598" t="inlineStr">
        <is>
          <t>GÄVLEBORGS LÄN</t>
        </is>
      </c>
      <c r="G598" t="inlineStr">
        <is>
          <t>NORDANSTIG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45429</v>
      </c>
      <c r="E599" s="1" t="n">
        <v>46226</v>
      </c>
      <c r="F599" t="inlineStr">
        <is>
          <t>GÄVLEBORGS LÄN</t>
        </is>
      </c>
      <c r="G599" t="inlineStr">
        <is>
          <t>NORDANSTIG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46226</v>
      </c>
      <c r="F600" t="inlineStr">
        <is>
          <t>GÄVLEBORGS LÄN</t>
        </is>
      </c>
      <c r="G600" t="inlineStr">
        <is>
          <t>NORDANSTIG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26684-2026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46184</v>
      </c>
      <c r="E601" s="1" t="n">
        <v>46226</v>
      </c>
      <c r="F601" t="inlineStr">
        <is>
          <t>GÄVLEBORGS LÄN</t>
        </is>
      </c>
      <c r="G601" t="inlineStr">
        <is>
          <t>NORDANSTIG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26700-2026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46226</v>
      </c>
      <c r="F602" t="inlineStr">
        <is>
          <t>GÄVLEBORGS LÄN</t>
        </is>
      </c>
      <c r="G602" t="inlineStr">
        <is>
          <t>NORDANSTIG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46226</v>
      </c>
      <c r="F603" t="inlineStr">
        <is>
          <t>GÄVLEBORGS LÄN</t>
        </is>
      </c>
      <c r="G603" t="inlineStr">
        <is>
          <t>NORDANSTIG</t>
        </is>
      </c>
      <c r="H603" t="inlineStr">
        <is>
          <t>SCA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46226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50.7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62833-2025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46008</v>
      </c>
      <c r="E605" s="1" t="n">
        <v>46226</v>
      </c>
      <c r="F605" t="inlineStr">
        <is>
          <t>GÄVLEBORGS LÄN</t>
        </is>
      </c>
      <c r="G605" t="inlineStr">
        <is>
          <t>NORDANSTIG</t>
        </is>
      </c>
      <c r="H605" t="inlineStr">
        <is>
          <t>SCA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26634-2026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46226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46226</v>
      </c>
      <c r="F607" t="inlineStr">
        <is>
          <t>GÄVLEBORGS LÄN</t>
        </is>
      </c>
      <c r="G607" t="inlineStr">
        <is>
          <t>NORDANSTIG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44915</v>
      </c>
      <c r="E608" s="1" t="n">
        <v>46226</v>
      </c>
      <c r="F608" t="inlineStr">
        <is>
          <t>GÄVLEBORGS LÄN</t>
        </is>
      </c>
      <c r="G608" t="inlineStr">
        <is>
          <t>NORDANSTIG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27114-2026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46188</v>
      </c>
      <c r="E609" s="1" t="n">
        <v>46226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45042</v>
      </c>
      <c r="E610" s="1" t="n">
        <v>46226</v>
      </c>
      <c r="F610" t="inlineStr">
        <is>
          <t>GÄVLEBORGS LÄN</t>
        </is>
      </c>
      <c r="G610" t="inlineStr">
        <is>
          <t>NORDANSTIG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21118-2026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46146</v>
      </c>
      <c r="E611" s="1" t="n">
        <v>46226</v>
      </c>
      <c r="F611" t="inlineStr">
        <is>
          <t>GÄVLEBORGS LÄN</t>
        </is>
      </c>
      <c r="G611" t="inlineStr">
        <is>
          <t>NORDANSTIG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36525-2024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45537</v>
      </c>
      <c r="E612" s="1" t="n">
        <v>46226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17254-2026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46119</v>
      </c>
      <c r="E613" s="1" t="n">
        <v>46226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46226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25.3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46226</v>
      </c>
      <c r="F615" t="inlineStr">
        <is>
          <t>GÄVLEBORGS LÄN</t>
        </is>
      </c>
      <c r="G615" t="inlineStr">
        <is>
          <t>NORDANSTIG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46035</v>
      </c>
      <c r="E616" s="1" t="n">
        <v>46226</v>
      </c>
      <c r="F616" t="inlineStr">
        <is>
          <t>GÄVLEBORGS LÄN</t>
        </is>
      </c>
      <c r="G616" t="inlineStr">
        <is>
          <t>NORDANSTIG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37848-2025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45881</v>
      </c>
      <c r="E617" s="1" t="n">
        <v>46226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51541-2025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45950</v>
      </c>
      <c r="E618" s="1" t="n">
        <v>46226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54705-2024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45618</v>
      </c>
      <c r="E619" s="1" t="n">
        <v>46226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46226</v>
      </c>
      <c r="F620" t="inlineStr">
        <is>
          <t>GÄVLEBORGS LÄN</t>
        </is>
      </c>
      <c r="G620" t="inlineStr">
        <is>
          <t>NORDANSTIG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45880</v>
      </c>
      <c r="E621" s="1" t="n">
        <v>46226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21093-2026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46226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27149-2026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46226</v>
      </c>
      <c r="F623" t="inlineStr">
        <is>
          <t>GÄVLEBORGS LÄN</t>
        </is>
      </c>
      <c r="G623" t="inlineStr">
        <is>
          <t>NORDANSTIG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46226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38295-2025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45883</v>
      </c>
      <c r="E625" s="1" t="n">
        <v>46226</v>
      </c>
      <c r="F625" t="inlineStr">
        <is>
          <t>GÄVLEBORGS LÄN</t>
        </is>
      </c>
      <c r="G625" t="inlineStr">
        <is>
          <t>NORDANSTIG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46038</v>
      </c>
      <c r="E626" s="1" t="n">
        <v>46226</v>
      </c>
      <c r="F626" t="inlineStr">
        <is>
          <t>GÄVLEBORGS LÄN</t>
        </is>
      </c>
      <c r="G626" t="inlineStr">
        <is>
          <t>NORDANSTIG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45313</v>
      </c>
      <c r="E627" s="1" t="n">
        <v>46226</v>
      </c>
      <c r="F627" t="inlineStr">
        <is>
          <t>GÄVLEBORGS LÄN</t>
        </is>
      </c>
      <c r="G627" t="inlineStr">
        <is>
          <t>NORDANSTIG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27236-2026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46226</v>
      </c>
      <c r="F628" t="inlineStr">
        <is>
          <t>GÄVLEBORGS LÄN</t>
        </is>
      </c>
      <c r="G628" t="inlineStr">
        <is>
          <t>NORDANSTIG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46226</v>
      </c>
      <c r="F629" t="inlineStr">
        <is>
          <t>GÄVLEBORGS LÄN</t>
        </is>
      </c>
      <c r="G629" t="inlineStr">
        <is>
          <t>NORDANSTIG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37563-2025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45880</v>
      </c>
      <c r="E630" s="1" t="n">
        <v>46226</v>
      </c>
      <c r="F630" t="inlineStr">
        <is>
          <t>GÄVLEBORGS LÄN</t>
        </is>
      </c>
      <c r="G630" t="inlineStr">
        <is>
          <t>NORDANSTIG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8805-2025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45712</v>
      </c>
      <c r="E631" s="1" t="n">
        <v>46226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46226</v>
      </c>
      <c r="F632" t="inlineStr">
        <is>
          <t>GÄVLEBORGS LÄN</t>
        </is>
      </c>
      <c r="G632" t="inlineStr">
        <is>
          <t>NORDANSTIG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46226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63986-2025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46021</v>
      </c>
      <c r="E634" s="1" t="n">
        <v>46226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25631-2023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45089</v>
      </c>
      <c r="E635" s="1" t="n">
        <v>46226</v>
      </c>
      <c r="F635" t="inlineStr">
        <is>
          <t>GÄVLEBORGS LÄN</t>
        </is>
      </c>
      <c r="G635" t="inlineStr">
        <is>
          <t>NORDANSTIG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45079</v>
      </c>
      <c r="E636" s="1" t="n">
        <v>46226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38091-2025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45882</v>
      </c>
      <c r="E637" s="1" t="n">
        <v>46226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20.2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46024</v>
      </c>
      <c r="E638" s="1" t="n">
        <v>46226</v>
      </c>
      <c r="F638" t="inlineStr">
        <is>
          <t>GÄVLEBORGS LÄN</t>
        </is>
      </c>
      <c r="G638" t="inlineStr">
        <is>
          <t>NORDANSTIG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46026</v>
      </c>
      <c r="E639" s="1" t="n">
        <v>46226</v>
      </c>
      <c r="F639" t="inlineStr">
        <is>
          <t>GÄVLEBORGS LÄN</t>
        </is>
      </c>
      <c r="G639" t="inlineStr">
        <is>
          <t>NORDANSTIG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48607-2023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45208</v>
      </c>
      <c r="E640" s="1" t="n">
        <v>46226</v>
      </c>
      <c r="F640" t="inlineStr">
        <is>
          <t>GÄVLEBORGS LÄN</t>
        </is>
      </c>
      <c r="G640" t="inlineStr">
        <is>
          <t>NORDANSTIG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38246-2025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45883</v>
      </c>
      <c r="E641" s="1" t="n">
        <v>46226</v>
      </c>
      <c r="F641" t="inlineStr">
        <is>
          <t>GÄVLEBORGS LÄN</t>
        </is>
      </c>
      <c r="G641" t="inlineStr">
        <is>
          <t>NORDANSTIG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46226</v>
      </c>
      <c r="F642" t="inlineStr">
        <is>
          <t>GÄVLEBORGS LÄN</t>
        </is>
      </c>
      <c r="G642" t="inlineStr">
        <is>
          <t>NORDANSTIG</t>
        </is>
      </c>
      <c r="I642" t="n">
        <v>11.3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38610-2025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45884</v>
      </c>
      <c r="E643" s="1" t="n">
        <v>46226</v>
      </c>
      <c r="F643" t="inlineStr">
        <is>
          <t>GÄVLEBORGS LÄN</t>
        </is>
      </c>
      <c r="G643" t="inlineStr">
        <is>
          <t>NORDANSTIG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44832</v>
      </c>
      <c r="E644" s="1" t="n">
        <v>46226</v>
      </c>
      <c r="F644" t="inlineStr">
        <is>
          <t>GÄVLEBORGS LÄN</t>
        </is>
      </c>
      <c r="G644" t="inlineStr">
        <is>
          <t>NORDANSTIG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51740-2023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45222</v>
      </c>
      <c r="E645" s="1" t="n">
        <v>46226</v>
      </c>
      <c r="F645" t="inlineStr">
        <is>
          <t>GÄVLEBORGS LÄN</t>
        </is>
      </c>
      <c r="G645" t="inlineStr">
        <is>
          <t>NORDANSTIG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46226</v>
      </c>
      <c r="F646" t="inlineStr">
        <is>
          <t>GÄVLEBORGS LÄN</t>
        </is>
      </c>
      <c r="G646" t="inlineStr">
        <is>
          <t>NORDANSTIG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18529-2022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44686</v>
      </c>
      <c r="E647" s="1" t="n">
        <v>46226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44601</v>
      </c>
      <c r="E648" s="1" t="n">
        <v>46226</v>
      </c>
      <c r="F648" t="inlineStr">
        <is>
          <t>GÄVLEBORGS LÄN</t>
        </is>
      </c>
      <c r="G648" t="inlineStr">
        <is>
          <t>NORDANSTIG</t>
        </is>
      </c>
      <c r="I648" t="n">
        <v>8.800000000000001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46226</v>
      </c>
      <c r="F649" t="inlineStr">
        <is>
          <t>GÄVLEBORGS LÄN</t>
        </is>
      </c>
      <c r="G649" t="inlineStr">
        <is>
          <t>NORDANSTIG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46226</v>
      </c>
      <c r="F650" t="inlineStr">
        <is>
          <t>GÄVLEBORGS LÄN</t>
        </is>
      </c>
      <c r="G650" t="inlineStr">
        <is>
          <t>NORDANSTIG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45741</v>
      </c>
      <c r="E651" s="1" t="n">
        <v>46226</v>
      </c>
      <c r="F651" t="inlineStr">
        <is>
          <t>GÄVLEBORGS LÄN</t>
        </is>
      </c>
      <c r="G651" t="inlineStr">
        <is>
          <t>NORDANSTIG</t>
        </is>
      </c>
      <c r="I651" t="n">
        <v>16.7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46149</v>
      </c>
      <c r="E652" s="1" t="n">
        <v>46226</v>
      </c>
      <c r="F652" t="inlineStr">
        <is>
          <t>GÄVLEBORGS LÄN</t>
        </is>
      </c>
      <c r="G652" t="inlineStr">
        <is>
          <t>NORDANSTIG</t>
        </is>
      </c>
      <c r="I652" t="n">
        <v>10.7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46226</v>
      </c>
      <c r="F653" t="inlineStr">
        <is>
          <t>GÄVLEBORGS LÄN</t>
        </is>
      </c>
      <c r="G653" t="inlineStr">
        <is>
          <t>NORDANSTIG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46226</v>
      </c>
      <c r="F654" t="inlineStr">
        <is>
          <t>GÄVLEBORGS LÄN</t>
        </is>
      </c>
      <c r="G654" t="inlineStr">
        <is>
          <t>NORDANSTIG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46034</v>
      </c>
      <c r="E655" s="1" t="n">
        <v>46226</v>
      </c>
      <c r="F655" t="inlineStr">
        <is>
          <t>GÄVLEBORGS LÄN</t>
        </is>
      </c>
      <c r="G655" t="inlineStr">
        <is>
          <t>NORDANSTIG</t>
        </is>
      </c>
      <c r="I655" t="n">
        <v>12.7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10680-2026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46226</v>
      </c>
      <c r="F656" t="inlineStr">
        <is>
          <t>GÄVLEBORGS LÄN</t>
        </is>
      </c>
      <c r="G656" t="inlineStr">
        <is>
          <t>NORDANSTIG</t>
        </is>
      </c>
      <c r="I656" t="n">
        <v>10.9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46195</v>
      </c>
      <c r="E657" s="1" t="n">
        <v>46226</v>
      </c>
      <c r="F657" t="inlineStr">
        <is>
          <t>GÄVLEBORGS LÄN</t>
        </is>
      </c>
      <c r="G657" t="inlineStr">
        <is>
          <t>NORDANSTIG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21157-2022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44704</v>
      </c>
      <c r="E658" s="1" t="n">
        <v>46226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58876-2024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45636</v>
      </c>
      <c r="E659" s="1" t="n">
        <v>46226</v>
      </c>
      <c r="F659" t="inlineStr">
        <is>
          <t>GÄVLEBORGS LÄN</t>
        </is>
      </c>
      <c r="G659" t="inlineStr">
        <is>
          <t>NORDANSTIG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46226</v>
      </c>
      <c r="F660" t="inlineStr">
        <is>
          <t>GÄVLEBORGS LÄN</t>
        </is>
      </c>
      <c r="G660" t="inlineStr">
        <is>
          <t>NORDANSTIG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46226</v>
      </c>
      <c r="F661" t="inlineStr">
        <is>
          <t>GÄVLEBORGS LÄN</t>
        </is>
      </c>
      <c r="G661" t="inlineStr">
        <is>
          <t>NORDANSTIG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46037</v>
      </c>
      <c r="E662" s="1" t="n">
        <v>46226</v>
      </c>
      <c r="F662" t="inlineStr">
        <is>
          <t>GÄVLEBORGS LÄN</t>
        </is>
      </c>
      <c r="G662" t="inlineStr">
        <is>
          <t>NORDANSTIG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18691-2026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46128</v>
      </c>
      <c r="E663" s="1" t="n">
        <v>46226</v>
      </c>
      <c r="F663" t="inlineStr">
        <is>
          <t>GÄVLEBORGS LÄN</t>
        </is>
      </c>
      <c r="G663" t="inlineStr">
        <is>
          <t>NORDANSTIG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34842-2023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45141</v>
      </c>
      <c r="E664" s="1" t="n">
        <v>46226</v>
      </c>
      <c r="F664" t="inlineStr">
        <is>
          <t>GÄVLEBORGS LÄN</t>
        </is>
      </c>
      <c r="G664" t="inlineStr">
        <is>
          <t>NORDANSTIG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46037</v>
      </c>
      <c r="E665" s="1" t="n">
        <v>46226</v>
      </c>
      <c r="F665" t="inlineStr">
        <is>
          <t>GÄVLEBORGS LÄN</t>
        </is>
      </c>
      <c r="G665" t="inlineStr">
        <is>
          <t>NORDANSTIG</t>
        </is>
      </c>
      <c r="I665" t="n">
        <v>9.300000000000001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46037</v>
      </c>
      <c r="E666" s="1" t="n">
        <v>46226</v>
      </c>
      <c r="F666" t="inlineStr">
        <is>
          <t>GÄVLEBORGS LÄN</t>
        </is>
      </c>
      <c r="G666" t="inlineStr">
        <is>
          <t>NORDANSTIG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46226</v>
      </c>
      <c r="F667" t="inlineStr">
        <is>
          <t>GÄVLEBORGS LÄN</t>
        </is>
      </c>
      <c r="G667" t="inlineStr">
        <is>
          <t>NORDANSTIG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46226</v>
      </c>
      <c r="F668" t="inlineStr">
        <is>
          <t>GÄVLEBORGS LÄN</t>
        </is>
      </c>
      <c r="G668" t="inlineStr">
        <is>
          <t>NORDANSTIG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51560-2023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45222</v>
      </c>
      <c r="E669" s="1" t="n">
        <v>46226</v>
      </c>
      <c r="F669" t="inlineStr">
        <is>
          <t>GÄVLEBORGS LÄN</t>
        </is>
      </c>
      <c r="G669" t="inlineStr">
        <is>
          <t>NORDANSTIG</t>
        </is>
      </c>
      <c r="I669" t="n">
        <v>26.9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46041</v>
      </c>
      <c r="E670" s="1" t="n">
        <v>46226</v>
      </c>
      <c r="F670" t="inlineStr">
        <is>
          <t>GÄVLEBORGS LÄN</t>
        </is>
      </c>
      <c r="G670" t="inlineStr">
        <is>
          <t>NORDANSTIG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14415-2022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44652</v>
      </c>
      <c r="E671" s="1" t="n">
        <v>46226</v>
      </c>
      <c r="F671" t="inlineStr">
        <is>
          <t>GÄVLEBORGS LÄN</t>
        </is>
      </c>
      <c r="G671" t="inlineStr">
        <is>
          <t>NORDANSTIG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45297</v>
      </c>
      <c r="E672" s="1" t="n">
        <v>46226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45624</v>
      </c>
      <c r="E673" s="1" t="n">
        <v>46226</v>
      </c>
      <c r="F673" t="inlineStr">
        <is>
          <t>GÄVLEBORGS LÄN</t>
        </is>
      </c>
      <c r="G673" t="inlineStr">
        <is>
          <t>NORDANSTIG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46038</v>
      </c>
      <c r="E674" s="1" t="n">
        <v>46226</v>
      </c>
      <c r="F674" t="inlineStr">
        <is>
          <t>GÄVLEBORGS LÄN</t>
        </is>
      </c>
      <c r="G674" t="inlineStr">
        <is>
          <t>NORDANSTIG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46226</v>
      </c>
      <c r="F675" t="inlineStr">
        <is>
          <t>GÄVLEBORGS LÄN</t>
        </is>
      </c>
      <c r="G675" t="inlineStr">
        <is>
          <t>NORDANSTIG</t>
        </is>
      </c>
      <c r="I675" t="n">
        <v>21.1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46039</v>
      </c>
      <c r="E676" s="1" t="n">
        <v>46226</v>
      </c>
      <c r="F676" t="inlineStr">
        <is>
          <t>GÄVLEBORGS LÄN</t>
        </is>
      </c>
      <c r="G676" t="inlineStr">
        <is>
          <t>NORDANSTIG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46196</v>
      </c>
      <c r="E677" s="1" t="n">
        <v>46226</v>
      </c>
      <c r="F677" t="inlineStr">
        <is>
          <t>GÄVLEBORGS LÄN</t>
        </is>
      </c>
      <c r="G677" t="inlineStr">
        <is>
          <t>NORDANSTIG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12216-2025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45729</v>
      </c>
      <c r="E678" s="1" t="n">
        <v>46226</v>
      </c>
      <c r="F678" t="inlineStr">
        <is>
          <t>GÄVLEBORGS LÄN</t>
        </is>
      </c>
      <c r="G678" t="inlineStr">
        <is>
          <t>NORDANSTIG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14961-2025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45743</v>
      </c>
      <c r="E679" s="1" t="n">
        <v>46226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46043</v>
      </c>
      <c r="E680" s="1" t="n">
        <v>46226</v>
      </c>
      <c r="F680" t="inlineStr">
        <is>
          <t>GÄVLEBORGS LÄN</t>
        </is>
      </c>
      <c r="G680" t="inlineStr">
        <is>
          <t>NORDANSTIG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46042</v>
      </c>
      <c r="E681" s="1" t="n">
        <v>46226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46226</v>
      </c>
      <c r="F682" t="inlineStr">
        <is>
          <t>GÄVLEBORGS LÄN</t>
        </is>
      </c>
      <c r="G682" t="inlineStr">
        <is>
          <t>NORDANSTIG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46226</v>
      </c>
      <c r="F683" t="inlineStr">
        <is>
          <t>GÄVLEBORGS LÄN</t>
        </is>
      </c>
      <c r="G683" t="inlineStr">
        <is>
          <t>NORDANSTIG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46226</v>
      </c>
      <c r="F684" t="inlineStr">
        <is>
          <t>GÄVLEBORGS LÄN</t>
        </is>
      </c>
      <c r="G684" t="inlineStr">
        <is>
          <t>NORDANSTIG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46226</v>
      </c>
      <c r="F685" t="inlineStr">
        <is>
          <t>GÄVLEBORGS LÄN</t>
        </is>
      </c>
      <c r="G685" t="inlineStr">
        <is>
          <t>NORDANSTIG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46043</v>
      </c>
      <c r="E686" s="1" t="n">
        <v>46226</v>
      </c>
      <c r="F686" t="inlineStr">
        <is>
          <t>GÄVLEBORGS LÄN</t>
        </is>
      </c>
      <c r="G686" t="inlineStr">
        <is>
          <t>NORDANSTIG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46226</v>
      </c>
      <c r="F687" t="inlineStr">
        <is>
          <t>GÄVLEBORGS LÄN</t>
        </is>
      </c>
      <c r="G687" t="inlineStr">
        <is>
          <t>NORDANSTIG</t>
        </is>
      </c>
      <c r="I687" t="n">
        <v>10.1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46226</v>
      </c>
      <c r="F688" t="inlineStr">
        <is>
          <t>GÄVLEBORGS LÄN</t>
        </is>
      </c>
      <c r="G688" t="inlineStr">
        <is>
          <t>NORDANSTIG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46043</v>
      </c>
      <c r="E689" s="1" t="n">
        <v>46226</v>
      </c>
      <c r="F689" t="inlineStr">
        <is>
          <t>GÄVLEBORGS LÄN</t>
        </is>
      </c>
      <c r="G689" t="inlineStr">
        <is>
          <t>NORDANSTIG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46226</v>
      </c>
      <c r="F690" t="inlineStr">
        <is>
          <t>GÄVLEBORGS LÄN</t>
        </is>
      </c>
      <c r="G690" t="inlineStr">
        <is>
          <t>NORDANSTIG</t>
        </is>
      </c>
      <c r="I690" t="n">
        <v>5.6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46042</v>
      </c>
      <c r="E691" s="1" t="n">
        <v>46226</v>
      </c>
      <c r="F691" t="inlineStr">
        <is>
          <t>GÄVLEBORGS LÄN</t>
        </is>
      </c>
      <c r="G691" t="inlineStr">
        <is>
          <t>NORDANSTIG</t>
        </is>
      </c>
      <c r="I691" t="n">
        <v>7.5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46226</v>
      </c>
      <c r="F692" t="inlineStr">
        <is>
          <t>GÄVLEBORGS LÄN</t>
        </is>
      </c>
      <c r="G692" t="inlineStr">
        <is>
          <t>NORDANSTIG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46042</v>
      </c>
      <c r="E693" s="1" t="n">
        <v>46226</v>
      </c>
      <c r="F693" t="inlineStr">
        <is>
          <t>GÄVLEBORGS LÄN</t>
        </is>
      </c>
      <c r="G693" t="inlineStr">
        <is>
          <t>NORDANSTIG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46226</v>
      </c>
      <c r="F694" t="inlineStr">
        <is>
          <t>GÄVLEBORGS LÄN</t>
        </is>
      </c>
      <c r="G694" t="inlineStr">
        <is>
          <t>NORDANSTIG</t>
        </is>
      </c>
      <c r="I694" t="n">
        <v>11.3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46043</v>
      </c>
      <c r="E695" s="1" t="n">
        <v>46226</v>
      </c>
      <c r="F695" t="inlineStr">
        <is>
          <t>GÄVLEBORGS LÄN</t>
        </is>
      </c>
      <c r="G695" t="inlineStr">
        <is>
          <t>NORDANSTIG</t>
        </is>
      </c>
      <c r="I695" t="n">
        <v>8.4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46042</v>
      </c>
      <c r="E696" s="1" t="n">
        <v>46226</v>
      </c>
      <c r="F696" t="inlineStr">
        <is>
          <t>GÄVLEBORGS LÄN</t>
        </is>
      </c>
      <c r="G696" t="inlineStr">
        <is>
          <t>NORDANSTIG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46044</v>
      </c>
      <c r="E697" s="1" t="n">
        <v>46226</v>
      </c>
      <c r="F697" t="inlineStr">
        <is>
          <t>GÄVLEBORGS LÄN</t>
        </is>
      </c>
      <c r="G697" t="inlineStr">
        <is>
          <t>NORDANSTIG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46044</v>
      </c>
      <c r="E698" s="1" t="n">
        <v>46226</v>
      </c>
      <c r="F698" t="inlineStr">
        <is>
          <t>GÄVLEBORGS LÄN</t>
        </is>
      </c>
      <c r="G698" t="inlineStr">
        <is>
          <t>NORDANSTIG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45303</v>
      </c>
      <c r="E699" s="1" t="n">
        <v>46226</v>
      </c>
      <c r="F699" t="inlineStr">
        <is>
          <t>GÄVLEBORGS LÄN</t>
        </is>
      </c>
      <c r="G699" t="inlineStr">
        <is>
          <t>NORDANSTIG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44783</v>
      </c>
      <c r="E700" s="1" t="n">
        <v>46226</v>
      </c>
      <c r="F700" t="inlineStr">
        <is>
          <t>GÄVLEBORGS LÄN</t>
        </is>
      </c>
      <c r="G700" t="inlineStr">
        <is>
          <t>NORDANSTIG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4016-2026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46044</v>
      </c>
      <c r="E701" s="1" t="n">
        <v>46226</v>
      </c>
      <c r="F701" t="inlineStr">
        <is>
          <t>GÄVLEBORGS LÄN</t>
        </is>
      </c>
      <c r="G701" t="inlineStr">
        <is>
          <t>NORDANSTIG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46226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46045</v>
      </c>
      <c r="E703" s="1" t="n">
        <v>46226</v>
      </c>
      <c r="F703" t="inlineStr">
        <is>
          <t>GÄVLEBORGS LÄN</t>
        </is>
      </c>
      <c r="G703" t="inlineStr">
        <is>
          <t>NORDANSTIG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14532-2026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46226</v>
      </c>
      <c r="F704" t="inlineStr">
        <is>
          <t>GÄVLEBORGS LÄN</t>
        </is>
      </c>
      <c r="G704" t="inlineStr">
        <is>
          <t>NORDANSTIG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46026</v>
      </c>
      <c r="E705" s="1" t="n">
        <v>46226</v>
      </c>
      <c r="F705" t="inlineStr">
        <is>
          <t>GÄVLEBORGS LÄN</t>
        </is>
      </c>
      <c r="G705" t="inlineStr">
        <is>
          <t>NORDANSTIG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46226</v>
      </c>
      <c r="F706" t="inlineStr">
        <is>
          <t>GÄVLEBORGS LÄN</t>
        </is>
      </c>
      <c r="G706" t="inlineStr">
        <is>
          <t>NORDANSTIG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46226</v>
      </c>
      <c r="F707" t="inlineStr">
        <is>
          <t>GÄVLEBORGS LÄN</t>
        </is>
      </c>
      <c r="G707" t="inlineStr">
        <is>
          <t>NORDANSTIG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46226</v>
      </c>
      <c r="F708" t="inlineStr">
        <is>
          <t>GÄVLEBORGS LÄN</t>
        </is>
      </c>
      <c r="G708" t="inlineStr">
        <is>
          <t>NORDANSTIG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46226</v>
      </c>
      <c r="F709" t="inlineStr">
        <is>
          <t>GÄVLEBORGS LÄN</t>
        </is>
      </c>
      <c r="G709" t="inlineStr">
        <is>
          <t>NORDANSTIG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46226</v>
      </c>
      <c r="F710" t="inlineStr">
        <is>
          <t>GÄVLEBORGS LÄN</t>
        </is>
      </c>
      <c r="G710" t="inlineStr">
        <is>
          <t>NORDANSTIG</t>
        </is>
      </c>
      <c r="I710" t="n">
        <v>15.3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46226</v>
      </c>
      <c r="F711" t="inlineStr">
        <is>
          <t>GÄVLEBORGS LÄN</t>
        </is>
      </c>
      <c r="G711" t="inlineStr">
        <is>
          <t>NORDANSTIG</t>
        </is>
      </c>
      <c r="I711" t="n">
        <v>15.6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8968-2026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46069</v>
      </c>
      <c r="E712" s="1" t="n">
        <v>46226</v>
      </c>
      <c r="F712" t="inlineStr">
        <is>
          <t>GÄVLEBORGS LÄN</t>
        </is>
      </c>
      <c r="G712" t="inlineStr">
        <is>
          <t>NORDANSTIG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46048</v>
      </c>
      <c r="E713" s="1" t="n">
        <v>46226</v>
      </c>
      <c r="F713" t="inlineStr">
        <is>
          <t>GÄVLEBORGS LÄN</t>
        </is>
      </c>
      <c r="G713" t="inlineStr">
        <is>
          <t>NORDANSTIG</t>
        </is>
      </c>
      <c r="I713" t="n">
        <v>8.199999999999999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46048</v>
      </c>
      <c r="E714" s="1" t="n">
        <v>46226</v>
      </c>
      <c r="F714" t="inlineStr">
        <is>
          <t>GÄVLEBORGS LÄN</t>
        </is>
      </c>
      <c r="G714" t="inlineStr">
        <is>
          <t>NORDANSTIG</t>
        </is>
      </c>
      <c r="I714" t="n">
        <v>15.3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43465-2024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45568</v>
      </c>
      <c r="E715" s="1" t="n">
        <v>46226</v>
      </c>
      <c r="F715" t="inlineStr">
        <is>
          <t>GÄVLEBORGS LÄN</t>
        </is>
      </c>
      <c r="G715" t="inlineStr">
        <is>
          <t>NORDANSTIG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28370-2026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46226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46226</v>
      </c>
      <c r="F717" t="inlineStr">
        <is>
          <t>GÄVLEBORGS LÄN</t>
        </is>
      </c>
      <c r="G717" t="inlineStr">
        <is>
          <t>NORDANSTIG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46048</v>
      </c>
      <c r="E718" s="1" t="n">
        <v>46226</v>
      </c>
      <c r="F718" t="inlineStr">
        <is>
          <t>GÄVLEBORGS LÄN</t>
        </is>
      </c>
      <c r="G718" t="inlineStr">
        <is>
          <t>NORDANSTIG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28529-2026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46197</v>
      </c>
      <c r="E719" s="1" t="n">
        <v>46226</v>
      </c>
      <c r="F719" t="inlineStr">
        <is>
          <t>GÄVLEBORGS LÄN</t>
        </is>
      </c>
      <c r="G719" t="inlineStr">
        <is>
          <t>NORDANSTIG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46051</v>
      </c>
      <c r="E720" s="1" t="n">
        <v>46226</v>
      </c>
      <c r="F720" t="inlineStr">
        <is>
          <t>GÄVLEBORGS LÄN</t>
        </is>
      </c>
      <c r="G720" t="inlineStr">
        <is>
          <t>NORDANSTIG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46051</v>
      </c>
      <c r="E721" s="1" t="n">
        <v>46226</v>
      </c>
      <c r="F721" t="inlineStr">
        <is>
          <t>GÄVLEBORGS LÄN</t>
        </is>
      </c>
      <c r="G721" t="inlineStr">
        <is>
          <t>NORDANSTIG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38298-2024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45545</v>
      </c>
      <c r="E722" s="1" t="n">
        <v>46226</v>
      </c>
      <c r="F722" t="inlineStr">
        <is>
          <t>GÄVLEBORGS LÄN</t>
        </is>
      </c>
      <c r="G722" t="inlineStr">
        <is>
          <t>NORDANSTIG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36464-2024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45537</v>
      </c>
      <c r="E723" s="1" t="n">
        <v>46226</v>
      </c>
      <c r="F723" t="inlineStr">
        <is>
          <t>GÄVLEBORGS LÄN</t>
        </is>
      </c>
      <c r="G723" t="inlineStr">
        <is>
          <t>NORDANSTIG</t>
        </is>
      </c>
      <c r="H723" t="inlineStr">
        <is>
          <t>SCA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46051</v>
      </c>
      <c r="E724" s="1" t="n">
        <v>46226</v>
      </c>
      <c r="F724" t="inlineStr">
        <is>
          <t>GÄVLEBORGS LÄN</t>
        </is>
      </c>
      <c r="G724" t="inlineStr">
        <is>
          <t>NORDANSTIG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46052</v>
      </c>
      <c r="E725" s="1" t="n">
        <v>46226</v>
      </c>
      <c r="F725" t="inlineStr">
        <is>
          <t>GÄVLEBORGS LÄN</t>
        </is>
      </c>
      <c r="G725" t="inlineStr">
        <is>
          <t>NORDANSTIG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46050</v>
      </c>
      <c r="E726" s="1" t="n">
        <v>46226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63145-2023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45273</v>
      </c>
      <c r="E727" s="1" t="n">
        <v>46226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46226</v>
      </c>
      <c r="F728" t="inlineStr">
        <is>
          <t>GÄVLEBORGS LÄN</t>
        </is>
      </c>
      <c r="G728" t="inlineStr">
        <is>
          <t>NORDANSTIG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46050</v>
      </c>
      <c r="E729" s="1" t="n">
        <v>46226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28226-2026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46196</v>
      </c>
      <c r="E730" s="1" t="n">
        <v>46226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46226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46051</v>
      </c>
      <c r="E732" s="1" t="n">
        <v>46226</v>
      </c>
      <c r="F732" t="inlineStr">
        <is>
          <t>GÄVLEBORGS LÄN</t>
        </is>
      </c>
      <c r="G732" t="inlineStr">
        <is>
          <t>NORDANSTIG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15622-2025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45748</v>
      </c>
      <c r="E733" s="1" t="n">
        <v>46226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46226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28739-2026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46198</v>
      </c>
      <c r="E735" s="1" t="n">
        <v>46226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46051</v>
      </c>
      <c r="E736" s="1" t="n">
        <v>46226</v>
      </c>
      <c r="F736" t="inlineStr">
        <is>
          <t>GÄVLEBORGS LÄN</t>
        </is>
      </c>
      <c r="G736" t="inlineStr">
        <is>
          <t>NORDANSTIG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22733-2026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46157</v>
      </c>
      <c r="E737" s="1" t="n">
        <v>46226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46053</v>
      </c>
      <c r="E738" s="1" t="n">
        <v>46226</v>
      </c>
      <c r="F738" t="inlineStr">
        <is>
          <t>GÄVLEBORGS LÄN</t>
        </is>
      </c>
      <c r="G738" t="inlineStr">
        <is>
          <t>NORDANSTIG</t>
        </is>
      </c>
      <c r="I738" t="n">
        <v>45.3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46226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9382-2022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44616</v>
      </c>
      <c r="E740" s="1" t="n">
        <v>46226</v>
      </c>
      <c r="F740" t="inlineStr">
        <is>
          <t>GÄVLEBORGS LÄN</t>
        </is>
      </c>
      <c r="G740" t="inlineStr">
        <is>
          <t>NORDANSTIG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28724-2026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46226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46226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6344-2026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46226</v>
      </c>
      <c r="F743" t="inlineStr">
        <is>
          <t>GÄVLEBORGS LÄN</t>
        </is>
      </c>
      <c r="G743" t="inlineStr">
        <is>
          <t>NORDANSTIG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28734-2026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46226</v>
      </c>
      <c r="F744" t="inlineStr">
        <is>
          <t>GÄVLEBORGS LÄN</t>
        </is>
      </c>
      <c r="G744" t="inlineStr">
        <is>
          <t>NORDANSTIG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46052</v>
      </c>
      <c r="E745" s="1" t="n">
        <v>46226</v>
      </c>
      <c r="F745" t="inlineStr">
        <is>
          <t>GÄVLEBORGS LÄN</t>
        </is>
      </c>
      <c r="G745" t="inlineStr">
        <is>
          <t>NORDANSTIG</t>
        </is>
      </c>
      <c r="I745" t="n">
        <v>10.2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15494-2023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45020</v>
      </c>
      <c r="E746" s="1" t="n">
        <v>46226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15496-2023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45020</v>
      </c>
      <c r="E747" s="1" t="n">
        <v>46226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46299-2023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45197</v>
      </c>
      <c r="E748" s="1" t="n">
        <v>46226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46226</v>
      </c>
      <c r="F749" t="inlineStr">
        <is>
          <t>GÄVLEBORGS LÄN</t>
        </is>
      </c>
      <c r="G749" t="inlineStr">
        <is>
          <t>NORDANSTIG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46053</v>
      </c>
      <c r="E750" s="1" t="n">
        <v>46226</v>
      </c>
      <c r="F750" t="inlineStr">
        <is>
          <t>GÄVLEBORGS LÄN</t>
        </is>
      </c>
      <c r="G750" t="inlineStr">
        <is>
          <t>NORDANSTIG</t>
        </is>
      </c>
      <c r="I750" t="n">
        <v>9.1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10484-2023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44987</v>
      </c>
      <c r="E751" s="1" t="n">
        <v>46226</v>
      </c>
      <c r="F751" t="inlineStr">
        <is>
          <t>GÄVLEBORGS LÄN</t>
        </is>
      </c>
      <c r="G751" t="inlineStr">
        <is>
          <t>NORDANSTIG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6647-2026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46056</v>
      </c>
      <c r="E752" s="1" t="n">
        <v>46226</v>
      </c>
      <c r="F752" t="inlineStr">
        <is>
          <t>GÄVLEBORGS LÄN</t>
        </is>
      </c>
      <c r="G752" t="inlineStr">
        <is>
          <t>NORDANSTIG</t>
        </is>
      </c>
      <c r="I752" t="n">
        <v>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46057</v>
      </c>
      <c r="E753" s="1" t="n">
        <v>46226</v>
      </c>
      <c r="F753" t="inlineStr">
        <is>
          <t>GÄVLEBORGS LÄN</t>
        </is>
      </c>
      <c r="G753" t="inlineStr">
        <is>
          <t>NORDANSTIG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19231-2024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45428</v>
      </c>
      <c r="E754" s="1" t="n">
        <v>46226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46226</v>
      </c>
      <c r="F755" t="inlineStr">
        <is>
          <t>GÄVLEBORGS LÄN</t>
        </is>
      </c>
      <c r="G755" t="inlineStr">
        <is>
          <t>NORDANSTIG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51842-2024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46226</v>
      </c>
      <c r="F756" t="inlineStr">
        <is>
          <t>GÄVLEBORGS LÄN</t>
        </is>
      </c>
      <c r="G756" t="inlineStr">
        <is>
          <t>NORDANSTIG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46202</v>
      </c>
      <c r="E757" s="1" t="n">
        <v>46226</v>
      </c>
      <c r="F757" t="inlineStr">
        <is>
          <t>GÄVLEBORGS LÄN</t>
        </is>
      </c>
      <c r="G757" t="inlineStr">
        <is>
          <t>NORDANSTIG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23039-2026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46161</v>
      </c>
      <c r="E758" s="1" t="n">
        <v>46226</v>
      </c>
      <c r="F758" t="inlineStr">
        <is>
          <t>GÄVLEBORGS LÄN</t>
        </is>
      </c>
      <c r="G758" t="inlineStr">
        <is>
          <t>NORDANSTIG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57866-2024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46226</v>
      </c>
      <c r="F759" t="inlineStr">
        <is>
          <t>GÄVLEBORGS LÄN</t>
        </is>
      </c>
      <c r="G759" t="inlineStr">
        <is>
          <t>NORDANSTIG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54713-2024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45618</v>
      </c>
      <c r="E760" s="1" t="n">
        <v>46226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23002-2026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46160</v>
      </c>
      <c r="E761" s="1" t="n">
        <v>46226</v>
      </c>
      <c r="F761" t="inlineStr">
        <is>
          <t>GÄVLEBORGS LÄN</t>
        </is>
      </c>
      <c r="G761" t="inlineStr">
        <is>
          <t>NORDANSTIG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38451-2024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45546</v>
      </c>
      <c r="E762" s="1" t="n">
        <v>46226</v>
      </c>
      <c r="F762" t="inlineStr">
        <is>
          <t>GÄVLEBORGS LÄN</t>
        </is>
      </c>
      <c r="G762" t="inlineStr">
        <is>
          <t>NORDANSTIG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29371-2026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46203</v>
      </c>
      <c r="E763" s="1" t="n">
        <v>46226</v>
      </c>
      <c r="F763" t="inlineStr">
        <is>
          <t>GÄVLEBORGS LÄN</t>
        </is>
      </c>
      <c r="G763" t="inlineStr">
        <is>
          <t>NORDANSTIG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64835-2021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44512</v>
      </c>
      <c r="E764" s="1" t="n">
        <v>46226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57463-2023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45246</v>
      </c>
      <c r="E765" s="1" t="n">
        <v>46226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46226</v>
      </c>
      <c r="F766" t="inlineStr">
        <is>
          <t>GÄVLEBORGS LÄN</t>
        </is>
      </c>
      <c r="G766" t="inlineStr">
        <is>
          <t>NORDANSTIG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56733-2024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45628</v>
      </c>
      <c r="E767" s="1" t="n">
        <v>46226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37972-2022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44811</v>
      </c>
      <c r="E768" s="1" t="n">
        <v>46226</v>
      </c>
      <c r="F768" t="inlineStr">
        <is>
          <t>GÄVLEBORGS LÄN</t>
        </is>
      </c>
      <c r="G768" t="inlineStr">
        <is>
          <t>NORDANSTIG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51222-2024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46226</v>
      </c>
      <c r="F769" t="inlineStr">
        <is>
          <t>GÄVLEBORGS LÄN</t>
        </is>
      </c>
      <c r="G769" t="inlineStr">
        <is>
          <t>NORDANSTIG</t>
        </is>
      </c>
      <c r="I769" t="n">
        <v>15.1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51230-2024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45603</v>
      </c>
      <c r="E770" s="1" t="n">
        <v>46226</v>
      </c>
      <c r="F770" t="inlineStr">
        <is>
          <t>GÄVLEBORGS LÄN</t>
        </is>
      </c>
      <c r="G770" t="inlineStr">
        <is>
          <t>NORDANSTIG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46226</v>
      </c>
      <c r="F771" t="inlineStr">
        <is>
          <t>GÄVLEBORGS LÄN</t>
        </is>
      </c>
      <c r="G771" t="inlineStr">
        <is>
          <t>NORDANSTIG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33974-2022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44790</v>
      </c>
      <c r="E772" s="1" t="n">
        <v>46226</v>
      </c>
      <c r="F772" t="inlineStr">
        <is>
          <t>GÄVLEBORGS LÄN</t>
        </is>
      </c>
      <c r="G772" t="inlineStr">
        <is>
          <t>NORDANSTIG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45579</v>
      </c>
      <c r="E773" s="1" t="n">
        <v>46226</v>
      </c>
      <c r="F773" t="inlineStr">
        <is>
          <t>GÄVLEBORGS LÄN</t>
        </is>
      </c>
      <c r="G773" t="inlineStr">
        <is>
          <t>NORDANSTIG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15088-2024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45399</v>
      </c>
      <c r="E774" s="1" t="n">
        <v>46226</v>
      </c>
      <c r="F774" t="inlineStr">
        <is>
          <t>GÄVLEBORGS LÄN</t>
        </is>
      </c>
      <c r="G774" t="inlineStr">
        <is>
          <t>NORDANSTIG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58749-2024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45635</v>
      </c>
      <c r="E775" s="1" t="n">
        <v>46226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46051</v>
      </c>
      <c r="E776" s="1" t="n">
        <v>46226</v>
      </c>
      <c r="F776" t="inlineStr">
        <is>
          <t>GÄVLEBORGS LÄN</t>
        </is>
      </c>
      <c r="G776" t="inlineStr">
        <is>
          <t>NORDANSTIG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34502-2024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45525</v>
      </c>
      <c r="E777" s="1" t="n">
        <v>46226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36694-2024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45537</v>
      </c>
      <c r="E778" s="1" t="n">
        <v>46226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29733-2026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46226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19906-2026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46226</v>
      </c>
      <c r="F780" t="inlineStr">
        <is>
          <t>GÄVLEBORGS LÄN</t>
        </is>
      </c>
      <c r="G780" t="inlineStr">
        <is>
          <t>NORDANSTIG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16434-2026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46226</v>
      </c>
      <c r="F781" t="inlineStr">
        <is>
          <t>GÄVLEBORGS LÄN</t>
        </is>
      </c>
      <c r="G781" t="inlineStr">
        <is>
          <t>NORDANSTIG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55523-2024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45622</v>
      </c>
      <c r="E782" s="1" t="n">
        <v>46226</v>
      </c>
      <c r="F782" t="inlineStr">
        <is>
          <t>GÄVLEBORGS LÄN</t>
        </is>
      </c>
      <c r="G782" t="inlineStr">
        <is>
          <t>NORDANSTIG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55538-2024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45622</v>
      </c>
      <c r="E783" s="1" t="n">
        <v>46226</v>
      </c>
      <c r="F783" t="inlineStr">
        <is>
          <t>GÄVLEBORGS LÄN</t>
        </is>
      </c>
      <c r="G783" t="inlineStr">
        <is>
          <t>NORDANSTIG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45667</v>
      </c>
      <c r="E784" s="1" t="n">
        <v>46226</v>
      </c>
      <c r="F784" t="inlineStr">
        <is>
          <t>GÄVLEBORGS LÄN</t>
        </is>
      </c>
      <c r="G784" t="inlineStr">
        <is>
          <t>NORDANSTIG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1579-2025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45670</v>
      </c>
      <c r="E785" s="1" t="n">
        <v>46226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65039-2023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45287</v>
      </c>
      <c r="E786" s="1" t="n">
        <v>46226</v>
      </c>
      <c r="F786" t="inlineStr">
        <is>
          <t>GÄVLEBORGS LÄN</t>
        </is>
      </c>
      <c r="G786" t="inlineStr">
        <is>
          <t>NORDANSTIG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23770-2024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45455</v>
      </c>
      <c r="E787" s="1" t="n">
        <v>46226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46164</v>
      </c>
      <c r="E788" s="1" t="n">
        <v>46226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46167</v>
      </c>
      <c r="E789" s="1" t="n">
        <v>46226</v>
      </c>
      <c r="F789" t="inlineStr">
        <is>
          <t>GÄVLEBORGS LÄN</t>
        </is>
      </c>
      <c r="G789" t="inlineStr">
        <is>
          <t>NORDANSTIG</t>
        </is>
      </c>
      <c r="I789" t="n">
        <v>18.1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30431-2026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46209</v>
      </c>
      <c r="E790" s="1" t="n">
        <v>46226</v>
      </c>
      <c r="F790" t="inlineStr">
        <is>
          <t>GÄVLEBORGS LÄN</t>
        </is>
      </c>
      <c r="G790" t="inlineStr">
        <is>
          <t>NORDANSTIG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44596</v>
      </c>
      <c r="E791" s="1" t="n">
        <v>46226</v>
      </c>
      <c r="F791" t="inlineStr">
        <is>
          <t>GÄVLEBORGS LÄN</t>
        </is>
      </c>
      <c r="G791" t="inlineStr">
        <is>
          <t>NORDANSTIG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46226</v>
      </c>
      <c r="F792" t="inlineStr">
        <is>
          <t>GÄVLEBORGS LÄN</t>
        </is>
      </c>
      <c r="G792" t="inlineStr">
        <is>
          <t>NORDANSTIG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30428-2026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46226</v>
      </c>
      <c r="F793" t="inlineStr">
        <is>
          <t>GÄVLEBORGS LÄN</t>
        </is>
      </c>
      <c r="G793" t="inlineStr">
        <is>
          <t>NORDANSTIG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46164</v>
      </c>
      <c r="E794" s="1" t="n">
        <v>46226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46206</v>
      </c>
      <c r="E795" s="1" t="n">
        <v>46226</v>
      </c>
      <c r="F795" t="inlineStr">
        <is>
          <t>GÄVLEBORGS LÄN</t>
        </is>
      </c>
      <c r="G795" t="inlineStr">
        <is>
          <t>NORDANSTIG</t>
        </is>
      </c>
      <c r="I795" t="n">
        <v>8.1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30390-2026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46209</v>
      </c>
      <c r="E796" s="1" t="n">
        <v>46226</v>
      </c>
      <c r="F796" t="inlineStr">
        <is>
          <t>GÄVLEBORGS LÄN</t>
        </is>
      </c>
      <c r="G796" t="inlineStr">
        <is>
          <t>NORDANSTIG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30391-2026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46209</v>
      </c>
      <c r="E797" s="1" t="n">
        <v>46226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46226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46226</v>
      </c>
      <c r="F799" t="inlineStr">
        <is>
          <t>GÄVLEBORGS LÄN</t>
        </is>
      </c>
      <c r="G799" t="inlineStr">
        <is>
          <t>NORDANSTIG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31899-2022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44777</v>
      </c>
      <c r="E800" s="1" t="n">
        <v>46226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30259-2026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46206</v>
      </c>
      <c r="E801" s="1" t="n">
        <v>46226</v>
      </c>
      <c r="F801" t="inlineStr">
        <is>
          <t>GÄVLEBORGS LÄN</t>
        </is>
      </c>
      <c r="G801" t="inlineStr">
        <is>
          <t>NORDANSTIG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46226</v>
      </c>
      <c r="F802" t="inlineStr">
        <is>
          <t>GÄVLEBORGS LÄN</t>
        </is>
      </c>
      <c r="G802" t="inlineStr">
        <is>
          <t>NORDANSTIG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42796-2024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46226</v>
      </c>
      <c r="F803" t="inlineStr">
        <is>
          <t>GÄVLEBORGS LÄN</t>
        </is>
      </c>
      <c r="G803" t="inlineStr">
        <is>
          <t>NORDANSTIG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17853-2025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45758</v>
      </c>
      <c r="E804" s="1" t="n">
        <v>46226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54896-2024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45618</v>
      </c>
      <c r="E805" s="1" t="n">
        <v>46226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45686</v>
      </c>
      <c r="E806" s="1" t="n">
        <v>46226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24178-2026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46168</v>
      </c>
      <c r="E807" s="1" t="n">
        <v>46226</v>
      </c>
      <c r="F807" t="inlineStr">
        <is>
          <t>GÄVLEBORGS LÄN</t>
        </is>
      </c>
      <c r="G807" t="inlineStr">
        <is>
          <t>NORDANSTIG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73748-2021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44552</v>
      </c>
      <c r="E808" s="1" t="n">
        <v>46226</v>
      </c>
      <c r="F808" t="inlineStr">
        <is>
          <t>GÄVLEBORGS LÄN</t>
        </is>
      </c>
      <c r="G808" t="inlineStr">
        <is>
          <t>NORDANSTIG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51387-2024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45604</v>
      </c>
      <c r="E809" s="1" t="n">
        <v>46226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24518-2026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46170</v>
      </c>
      <c r="E810" s="1" t="n">
        <v>46226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46226</v>
      </c>
      <c r="F811" t="inlineStr">
        <is>
          <t>GÄVLEBORGS LÄN</t>
        </is>
      </c>
      <c r="G811" t="inlineStr">
        <is>
          <t>NORDANSTIG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30899-2026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46213</v>
      </c>
      <c r="E812" s="1" t="n">
        <v>46226</v>
      </c>
      <c r="F812" t="inlineStr">
        <is>
          <t>GÄVLEBORGS LÄN</t>
        </is>
      </c>
      <c r="G812" t="inlineStr">
        <is>
          <t>NORDANSTIG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35115-2022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44797</v>
      </c>
      <c r="E813" s="1" t="n">
        <v>46226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35765-2024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45532</v>
      </c>
      <c r="E814" s="1" t="n">
        <v>46226</v>
      </c>
      <c r="F814" t="inlineStr">
        <is>
          <t>GÄVLEBORGS LÄN</t>
        </is>
      </c>
      <c r="G814" t="inlineStr">
        <is>
          <t>NORDANSTIG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46042</v>
      </c>
      <c r="E815" s="1" t="n">
        <v>46226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38159-2022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44812</v>
      </c>
      <c r="E816" s="1" t="n">
        <v>46226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46035</v>
      </c>
      <c r="E817" s="1" t="n">
        <v>46226</v>
      </c>
      <c r="F817" t="inlineStr">
        <is>
          <t>GÄVLEBORGS LÄN</t>
        </is>
      </c>
      <c r="G817" t="inlineStr">
        <is>
          <t>NORDANSTIG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50657-2024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45601</v>
      </c>
      <c r="E818" s="1" t="n">
        <v>46226</v>
      </c>
      <c r="F818" t="inlineStr">
        <is>
          <t>GÄVLEBORGS LÄN</t>
        </is>
      </c>
      <c r="G818" t="inlineStr">
        <is>
          <t>NORDANSTIG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30978-2024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45499</v>
      </c>
      <c r="E819" s="1" t="n">
        <v>46226</v>
      </c>
      <c r="F819" t="inlineStr">
        <is>
          <t>GÄVLEBORGS LÄN</t>
        </is>
      </c>
      <c r="G819" t="inlineStr">
        <is>
          <t>NORDANSTIG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34560-2023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45140</v>
      </c>
      <c r="E820" s="1" t="n">
        <v>46226</v>
      </c>
      <c r="F820" t="inlineStr">
        <is>
          <t>GÄVLEBORGS LÄN</t>
        </is>
      </c>
      <c r="G820" t="inlineStr">
        <is>
          <t>NORDANSTIG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46029</v>
      </c>
      <c r="E821" s="1" t="n">
        <v>46226</v>
      </c>
      <c r="F821" t="inlineStr">
        <is>
          <t>GÄVLEBORGS LÄN</t>
        </is>
      </c>
      <c r="G821" t="inlineStr">
        <is>
          <t>NORDANSTIG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46226</v>
      </c>
      <c r="F822" t="inlineStr">
        <is>
          <t>GÄVLEBORGS LÄN</t>
        </is>
      </c>
      <c r="G822" t="inlineStr">
        <is>
          <t>NORDANSTIG</t>
        </is>
      </c>
      <c r="I822" t="n">
        <v>11.5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46171</v>
      </c>
      <c r="E823" s="1" t="n">
        <v>46226</v>
      </c>
      <c r="F823" t="inlineStr">
        <is>
          <t>GÄVLEBORGS LÄN</t>
        </is>
      </c>
      <c r="G823" t="inlineStr">
        <is>
          <t>NORDANSTIG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46171</v>
      </c>
      <c r="E824" s="1" t="n">
        <v>46226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24623-2026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46171</v>
      </c>
      <c r="E825" s="1" t="n">
        <v>46226</v>
      </c>
      <c r="F825" t="inlineStr">
        <is>
          <t>GÄVLEBORGS LÄN</t>
        </is>
      </c>
      <c r="G825" t="inlineStr">
        <is>
          <t>NORDANSTIG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3819-2026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46226</v>
      </c>
      <c r="F826" t="inlineStr">
        <is>
          <t>GÄVLEBORGS LÄN</t>
        </is>
      </c>
      <c r="G826" t="inlineStr">
        <is>
          <t>NORDANSTIG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25406-2026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46176</v>
      </c>
      <c r="E827" s="1" t="n">
        <v>46226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53988-2023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45231</v>
      </c>
      <c r="E828" s="1" t="n">
        <v>46226</v>
      </c>
      <c r="F828" t="inlineStr">
        <is>
          <t>GÄVLEBORGS LÄN</t>
        </is>
      </c>
      <c r="G828" t="inlineStr">
        <is>
          <t>NORDANSTIG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31366-2026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46226</v>
      </c>
      <c r="F829" t="inlineStr">
        <is>
          <t>GÄVLEBORGS LÄN</t>
        </is>
      </c>
      <c r="G829" t="inlineStr">
        <is>
          <t>NORDANSTIG</t>
        </is>
      </c>
      <c r="I829" t="n">
        <v>9.6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25166-2026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46175</v>
      </c>
      <c r="E830" s="1" t="n">
        <v>46226</v>
      </c>
      <c r="F830" t="inlineStr">
        <is>
          <t>GÄVLEBORGS LÄN</t>
        </is>
      </c>
      <c r="G830" t="inlineStr">
        <is>
          <t>NORDANSTIG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25089-2026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46175</v>
      </c>
      <c r="E831" s="1" t="n">
        <v>46226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20133-2026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46136</v>
      </c>
      <c r="E832" s="1" t="n">
        <v>46226</v>
      </c>
      <c r="F832" t="inlineStr">
        <is>
          <t>GÄVLEBORGS LÄN</t>
        </is>
      </c>
      <c r="G832" t="inlineStr">
        <is>
          <t>NORDANSTIG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1860-2025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45671</v>
      </c>
      <c r="E833" s="1" t="n">
        <v>46226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31365-2026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46213</v>
      </c>
      <c r="E834" s="1" t="n">
        <v>46226</v>
      </c>
      <c r="F834" t="inlineStr">
        <is>
          <t>GÄVLEBORGS LÄN</t>
        </is>
      </c>
      <c r="G834" t="inlineStr">
        <is>
          <t>NORDANSTIG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31385-2026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46220</v>
      </c>
      <c r="E835" s="1" t="n">
        <v>46226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25946-2023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45090</v>
      </c>
      <c r="E836" s="1" t="n">
        <v>46226</v>
      </c>
      <c r="F836" t="inlineStr">
        <is>
          <t>GÄVLEBORGS LÄN</t>
        </is>
      </c>
      <c r="G836" t="inlineStr">
        <is>
          <t>NORDANSTIG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5608-2026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46051</v>
      </c>
      <c r="E837" s="1" t="n">
        <v>46226</v>
      </c>
      <c r="F837" t="inlineStr">
        <is>
          <t>GÄVLEBORGS LÄN</t>
        </is>
      </c>
      <c r="G837" t="inlineStr">
        <is>
          <t>NORDANSTIG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35070-2022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44797</v>
      </c>
      <c r="E838" s="1" t="n">
        <v>46226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3640-2026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46043</v>
      </c>
      <c r="E839" s="1" t="n">
        <v>46226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3387-2026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46042</v>
      </c>
      <c r="E840" s="1" t="n">
        <v>46226</v>
      </c>
      <c r="F840" t="inlineStr">
        <is>
          <t>GÄVLEBORGS LÄN</t>
        </is>
      </c>
      <c r="G840" t="inlineStr">
        <is>
          <t>NORDANSTIG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10910-2026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46079</v>
      </c>
      <c r="E841" s="1" t="n">
        <v>46226</v>
      </c>
      <c r="F841" t="inlineStr">
        <is>
          <t>GÄVLEBORGS LÄN</t>
        </is>
      </c>
      <c r="G841" t="inlineStr">
        <is>
          <t>NORDANSTIG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31538-2026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46223</v>
      </c>
      <c r="E842" s="1" t="n">
        <v>46226</v>
      </c>
      <c r="F842" t="inlineStr">
        <is>
          <t>GÄVLEBORGS LÄN</t>
        </is>
      </c>
      <c r="G842" t="inlineStr">
        <is>
          <t>NORDANSTIG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22868-2023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45072</v>
      </c>
      <c r="E843" s="1" t="n">
        <v>46226</v>
      </c>
      <c r="F843" t="inlineStr">
        <is>
          <t>GÄVLEBORGS LÄN</t>
        </is>
      </c>
      <c r="G843" t="inlineStr">
        <is>
          <t>NORDANSTIG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8646-2026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46066</v>
      </c>
      <c r="E844" s="1" t="n">
        <v>46226</v>
      </c>
      <c r="F844" t="inlineStr">
        <is>
          <t>GÄVLEBORGS LÄN</t>
        </is>
      </c>
      <c r="G844" t="inlineStr">
        <is>
          <t>NORDANSTIG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25586-2026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46177</v>
      </c>
      <c r="E845" s="1" t="n">
        <v>46226</v>
      </c>
      <c r="F845" t="inlineStr">
        <is>
          <t>GÄVLEBORGS LÄN</t>
        </is>
      </c>
      <c r="G845" t="inlineStr">
        <is>
          <t>NORDANSTIG</t>
        </is>
      </c>
      <c r="H845" t="inlineStr">
        <is>
          <t>SCA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31500-2026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46223</v>
      </c>
      <c r="E846" s="1" t="n">
        <v>46226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25704-2026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46226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46179</v>
      </c>
      <c r="E848" s="1" t="n">
        <v>46226</v>
      </c>
      <c r="F848" t="inlineStr">
        <is>
          <t>GÄVLEBORGS LÄN</t>
        </is>
      </c>
      <c r="G848" t="inlineStr">
        <is>
          <t>NORDANSTIG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25633-2026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46226</v>
      </c>
      <c r="F849" t="inlineStr">
        <is>
          <t>GÄVLEBORGS LÄN</t>
        </is>
      </c>
      <c r="G849" t="inlineStr">
        <is>
          <t>NORDANSTIG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31406-2026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46226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31422-2026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46220</v>
      </c>
      <c r="E851" s="1" t="n">
        <v>46226</v>
      </c>
      <c r="F851" t="inlineStr">
        <is>
          <t>GÄVLEBORGS LÄN</t>
        </is>
      </c>
      <c r="G851" t="inlineStr">
        <is>
          <t>NORDANSTIG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31423-2026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46220</v>
      </c>
      <c r="E852" s="1" t="n">
        <v>46226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16640-2025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45754</v>
      </c>
      <c r="E853" s="1" t="n">
        <v>46226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5660-2023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44960</v>
      </c>
      <c r="E854" s="1" t="n">
        <v>46226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40738-2023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45170</v>
      </c>
      <c r="E855" s="1" t="n">
        <v>46226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9.5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32652-2023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45121</v>
      </c>
      <c r="E856" s="1" t="n">
        <v>46226</v>
      </c>
      <c r="F856" t="inlineStr">
        <is>
          <t>GÄVLEBORGS LÄN</t>
        </is>
      </c>
      <c r="G856" t="inlineStr">
        <is>
          <t>NORDANSTIG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11627-2026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46084</v>
      </c>
      <c r="E857" s="1" t="n">
        <v>46226</v>
      </c>
      <c r="F857" t="inlineStr">
        <is>
          <t>GÄVLEBORGS LÄN</t>
        </is>
      </c>
      <c r="G857" t="inlineStr">
        <is>
          <t>NORDANSTIG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26044-2026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46181</v>
      </c>
      <c r="E858" s="1" t="n">
        <v>46226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26238-2026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46182</v>
      </c>
      <c r="E859" s="1" t="n">
        <v>46226</v>
      </c>
      <c r="F859" t="inlineStr">
        <is>
          <t>GÄVLEBORGS LÄN</t>
        </is>
      </c>
      <c r="G859" t="inlineStr">
        <is>
          <t>NORDANSTIG</t>
        </is>
      </c>
      <c r="H859" t="inlineStr">
        <is>
          <t>SCA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26486-2026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46183</v>
      </c>
      <c r="E860" s="1" t="n">
        <v>46226</v>
      </c>
      <c r="F860" t="inlineStr">
        <is>
          <t>GÄVLEBORGS LÄN</t>
        </is>
      </c>
      <c r="G860" t="inlineStr">
        <is>
          <t>NORDANSTIG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26126-2026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46181</v>
      </c>
      <c r="E861" s="1" t="n">
        <v>46226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3.9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20747-2023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45058</v>
      </c>
      <c r="E862" s="1" t="n">
        <v>46226</v>
      </c>
      <c r="F862" t="inlineStr">
        <is>
          <t>GÄVLEBORGS LÄN</t>
        </is>
      </c>
      <c r="G862" t="inlineStr">
        <is>
          <t>NORDANSTIG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37739-2024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45541</v>
      </c>
      <c r="E863" s="1" t="n">
        <v>46226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12858-2025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45733</v>
      </c>
      <c r="E864" s="1" t="n">
        <v>46226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17505-2025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45757</v>
      </c>
      <c r="E865" s="1" t="n">
        <v>46226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8.300000000000001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11599-2024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45373</v>
      </c>
      <c r="E866" s="1" t="n">
        <v>46226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58912-2024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45636</v>
      </c>
      <c r="E867" s="1" t="n">
        <v>46226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17052-2023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45034</v>
      </c>
      <c r="E868" s="1" t="n">
        <v>46226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8.6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18988-2022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44690</v>
      </c>
      <c r="E869" s="1" t="n">
        <v>46226</v>
      </c>
      <c r="F869" t="inlineStr">
        <is>
          <t>GÄVLEBORGS LÄN</t>
        </is>
      </c>
      <c r="G869" t="inlineStr">
        <is>
          <t>NORDANSTIG</t>
        </is>
      </c>
      <c r="I869" t="n">
        <v>9.300000000000001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45550-2024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45579</v>
      </c>
      <c r="E870" s="1" t="n">
        <v>46226</v>
      </c>
      <c r="F870" t="inlineStr">
        <is>
          <t>GÄVLEBORGS LÄN</t>
        </is>
      </c>
      <c r="G870" t="inlineStr">
        <is>
          <t>NORDANSTIG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34557-2023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45140</v>
      </c>
      <c r="E871" s="1" t="n">
        <v>46226</v>
      </c>
      <c r="F871" t="inlineStr">
        <is>
          <t>GÄVLEBORGS LÄN</t>
        </is>
      </c>
      <c r="G871" t="inlineStr">
        <is>
          <t>NORDANSTIG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43589-2021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44433</v>
      </c>
      <c r="E872" s="1" t="n">
        <v>46226</v>
      </c>
      <c r="F872" t="inlineStr">
        <is>
          <t>GÄVLEBORGS LÄN</t>
        </is>
      </c>
      <c r="G872" t="inlineStr">
        <is>
          <t>NORDANSTIG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47876-2023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45204</v>
      </c>
      <c r="E873" s="1" t="n">
        <v>46226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57863-2024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45631</v>
      </c>
      <c r="E874" s="1" t="n">
        <v>46226</v>
      </c>
      <c r="F874" t="inlineStr">
        <is>
          <t>GÄVLEBORGS LÄN</t>
        </is>
      </c>
      <c r="G874" t="inlineStr">
        <is>
          <t>NORDANSTIG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44930</v>
      </c>
      <c r="E875" s="1" t="n">
        <v>46226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1708-2023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44938</v>
      </c>
      <c r="E876" s="1" t="n">
        <v>46226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5479-2023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44960</v>
      </c>
      <c r="E877" s="1" t="n">
        <v>46226</v>
      </c>
      <c r="F877" t="inlineStr">
        <is>
          <t>GÄVLEBORGS LÄN</t>
        </is>
      </c>
      <c r="G877" t="inlineStr">
        <is>
          <t>NORDANSTIG</t>
        </is>
      </c>
      <c r="I877" t="n">
        <v>17.6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10137-2024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45364</v>
      </c>
      <c r="E878" s="1" t="n">
        <v>46226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37217-2024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46226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9131-2024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45358</v>
      </c>
      <c r="E880" s="1" t="n">
        <v>46226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46226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46376-2024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45582</v>
      </c>
      <c r="E882" s="1" t="n">
        <v>46226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22547-2022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44713</v>
      </c>
      <c r="E883" s="1" t="n">
        <v>46226</v>
      </c>
      <c r="F883" t="inlineStr">
        <is>
          <t>GÄVLEBORGS LÄN</t>
        </is>
      </c>
      <c r="G883" t="inlineStr">
        <is>
          <t>NORDANSTIG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30816-2022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44765</v>
      </c>
      <c r="E884" s="1" t="n">
        <v>46226</v>
      </c>
      <c r="F884" t="inlineStr">
        <is>
          <t>GÄVLEBORGS LÄN</t>
        </is>
      </c>
      <c r="G884" t="inlineStr">
        <is>
          <t>NORDANSTIG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38342-2024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45545</v>
      </c>
      <c r="E885" s="1" t="n">
        <v>46226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59297-2024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45637</v>
      </c>
      <c r="E886" s="1" t="n">
        <v>46226</v>
      </c>
      <c r="F886" t="inlineStr">
        <is>
          <t>GÄVLEBORGS LÄN</t>
        </is>
      </c>
      <c r="G886" t="inlineStr">
        <is>
          <t>NORDANSTIG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21473-2023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45063</v>
      </c>
      <c r="E887" s="1" t="n">
        <v>46226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17843-2023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45037</v>
      </c>
      <c r="E888" s="1" t="n">
        <v>46226</v>
      </c>
      <c r="F888" t="inlineStr">
        <is>
          <t>GÄVLEBORGS LÄN</t>
        </is>
      </c>
      <c r="G888" t="inlineStr">
        <is>
          <t>NORDANSTIG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36025-2023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45149</v>
      </c>
      <c r="E889" s="1" t="n">
        <v>46226</v>
      </c>
      <c r="F889" t="inlineStr">
        <is>
          <t>GÄVLEBORGS LÄN</t>
        </is>
      </c>
      <c r="G889" t="inlineStr">
        <is>
          <t>NORDANSTIG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41616-2023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45175</v>
      </c>
      <c r="E890" s="1" t="n">
        <v>46226</v>
      </c>
      <c r="F890" t="inlineStr">
        <is>
          <t>GÄVLEBORGS LÄN</t>
        </is>
      </c>
      <c r="G890" t="inlineStr">
        <is>
          <t>NORDANSTIG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57976-2022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44900</v>
      </c>
      <c r="E891" s="1" t="n">
        <v>46226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57983-2022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44900</v>
      </c>
      <c r="E892" s="1" t="n">
        <v>46226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21187-2022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44704</v>
      </c>
      <c r="E893" s="1" t="n">
        <v>46226</v>
      </c>
      <c r="F893" t="inlineStr">
        <is>
          <t>GÄVLEBORGS LÄN</t>
        </is>
      </c>
      <c r="G893" t="inlineStr">
        <is>
          <t>NORDANSTIG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51806-2024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45607</v>
      </c>
      <c r="E894" s="1" t="n">
        <v>46226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51821-2024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45607</v>
      </c>
      <c r="E895" s="1" t="n">
        <v>46226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5.7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54156-2024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45616</v>
      </c>
      <c r="E896" s="1" t="n">
        <v>46226</v>
      </c>
      <c r="F896" t="inlineStr">
        <is>
          <t>GÄVLEBORGS LÄN</t>
        </is>
      </c>
      <c r="G896" t="inlineStr">
        <is>
          <t>NORDANSTIG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48212-2024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45590</v>
      </c>
      <c r="E897" s="1" t="n">
        <v>46226</v>
      </c>
      <c r="F897" t="inlineStr">
        <is>
          <t>GÄVLEBORGS LÄN</t>
        </is>
      </c>
      <c r="G897" t="inlineStr">
        <is>
          <t>NORDANSTIG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30630-2022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44763</v>
      </c>
      <c r="E898" s="1" t="n">
        <v>46226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36960-2023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45154</v>
      </c>
      <c r="E899" s="1" t="n">
        <v>46226</v>
      </c>
      <c r="F899" t="inlineStr">
        <is>
          <t>GÄVLEBORGS LÄN</t>
        </is>
      </c>
      <c r="G899" t="inlineStr">
        <is>
          <t>NORDANSTIG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31270-2024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45504</v>
      </c>
      <c r="E900" s="1" t="n">
        <v>46226</v>
      </c>
      <c r="F900" t="inlineStr">
        <is>
          <t>GÄVLEBORGS LÄN</t>
        </is>
      </c>
      <c r="G900" t="inlineStr">
        <is>
          <t>NORDANSTIG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51438-2023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45219</v>
      </c>
      <c r="E901" s="1" t="n">
        <v>46226</v>
      </c>
      <c r="F901" t="inlineStr">
        <is>
          <t>GÄVLEBORGS LÄN</t>
        </is>
      </c>
      <c r="G901" t="inlineStr">
        <is>
          <t>NORDANSTIG</t>
        </is>
      </c>
      <c r="H901" t="inlineStr">
        <is>
          <t>SCA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5963-2025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45695</v>
      </c>
      <c r="E902" s="1" t="n">
        <v>46226</v>
      </c>
      <c r="F902" t="inlineStr">
        <is>
          <t>GÄVLEBORGS LÄN</t>
        </is>
      </c>
      <c r="G902" t="inlineStr">
        <is>
          <t>NORDANSTIG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17482-2022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44679</v>
      </c>
      <c r="E903" s="1" t="n">
        <v>46226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54519-2024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45617</v>
      </c>
      <c r="E904" s="1" t="n">
        <v>46226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5.8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11087-2022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44628</v>
      </c>
      <c r="E905" s="1" t="n">
        <v>46226</v>
      </c>
      <c r="F905" t="inlineStr">
        <is>
          <t>GÄVLEBORGS LÄN</t>
        </is>
      </c>
      <c r="G905" t="inlineStr">
        <is>
          <t>NORDANSTIG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52006-2024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45607</v>
      </c>
      <c r="E906" s="1" t="n">
        <v>46226</v>
      </c>
      <c r="F906" t="inlineStr">
        <is>
          <t>GÄVLEBORGS LÄN</t>
        </is>
      </c>
      <c r="G906" t="inlineStr">
        <is>
          <t>NORDANSTIG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54401-2024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46226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10042-2025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45719</v>
      </c>
      <c r="E908" s="1" t="n">
        <v>46226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6.6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12266-2025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45729</v>
      </c>
      <c r="E909" s="1" t="n">
        <v>46226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26728-2022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44739</v>
      </c>
      <c r="E910" s="1" t="n">
        <v>46226</v>
      </c>
      <c r="F910" t="inlineStr">
        <is>
          <t>GÄVLEBORGS LÄN</t>
        </is>
      </c>
      <c r="G910" t="inlineStr">
        <is>
          <t>NORDANSTIG</t>
        </is>
      </c>
      <c r="I910" t="n">
        <v>6.5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44500-2024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45574</v>
      </c>
      <c r="E911" s="1" t="n">
        <v>46226</v>
      </c>
      <c r="F911" t="inlineStr">
        <is>
          <t>GÄVLEBORGS LÄN</t>
        </is>
      </c>
      <c r="G911" t="inlineStr">
        <is>
          <t>NORDANSTIG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41074-2023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45173</v>
      </c>
      <c r="E912" s="1" t="n">
        <v>46226</v>
      </c>
      <c r="F912" t="inlineStr">
        <is>
          <t>GÄVLEBORGS LÄN</t>
        </is>
      </c>
      <c r="G912" t="inlineStr">
        <is>
          <t>NORDANSTIG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60675-2024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45644</v>
      </c>
      <c r="E913" s="1" t="n">
        <v>46226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1802-2023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44938</v>
      </c>
      <c r="E914" s="1" t="n">
        <v>46226</v>
      </c>
      <c r="F914" t="inlineStr">
        <is>
          <t>GÄVLEBORGS LÄN</t>
        </is>
      </c>
      <c r="G914" t="inlineStr">
        <is>
          <t>NORDANSTIG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43893-2023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45187</v>
      </c>
      <c r="E915" s="1" t="n">
        <v>46226</v>
      </c>
      <c r="F915" t="inlineStr">
        <is>
          <t>GÄVLEBORGS LÄN</t>
        </is>
      </c>
      <c r="G915" t="inlineStr">
        <is>
          <t>NORDANSTIG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21153-2023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45062</v>
      </c>
      <c r="E916" s="1" t="n">
        <v>46226</v>
      </c>
      <c r="F916" t="inlineStr">
        <is>
          <t>GÄVLEBORGS LÄN</t>
        </is>
      </c>
      <c r="G916" t="inlineStr">
        <is>
          <t>NORDANSTIG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4001-2023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44952</v>
      </c>
      <c r="E917" s="1" t="n">
        <v>46226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4024-2023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44952</v>
      </c>
      <c r="E918" s="1" t="n">
        <v>46226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32602-2024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45513</v>
      </c>
      <c r="E919" s="1" t="n">
        <v>46226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73389-2021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44551</v>
      </c>
      <c r="E920" s="1" t="n">
        <v>46226</v>
      </c>
      <c r="F920" t="inlineStr">
        <is>
          <t>GÄVLEBORGS LÄN</t>
        </is>
      </c>
      <c r="G920" t="inlineStr">
        <is>
          <t>NORDANSTIG</t>
        </is>
      </c>
      <c r="I920" t="n">
        <v>4.2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34913-2023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45142</v>
      </c>
      <c r="E921" s="1" t="n">
        <v>46226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34918-2023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45142</v>
      </c>
      <c r="E922" s="1" t="n">
        <v>46226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25273-2024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45462</v>
      </c>
      <c r="E923" s="1" t="n">
        <v>46226</v>
      </c>
      <c r="F923" t="inlineStr">
        <is>
          <t>GÄVLEBORGS LÄN</t>
        </is>
      </c>
      <c r="G923" t="inlineStr">
        <is>
          <t>NORDANSTIG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19569-2025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45770</v>
      </c>
      <c r="E924" s="1" t="n">
        <v>46226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51250-2022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44868</v>
      </c>
      <c r="E925" s="1" t="n">
        <v>46226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58870-2023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45252</v>
      </c>
      <c r="E926" s="1" t="n">
        <v>46226</v>
      </c>
      <c r="F926" t="inlineStr">
        <is>
          <t>GÄVLEBORGS LÄN</t>
        </is>
      </c>
      <c r="G926" t="inlineStr">
        <is>
          <t>NORDANSTIG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51091-2024</t>
        </is>
      </c>
      <c r="B927" t="inlineStr">
        <is>
          <t>avverkningsanmälan</t>
        </is>
      </c>
      <c r="C927" t="inlineStr">
        <is>
          <t>Avverkning för att bevara och utveckla /försöksver</t>
        </is>
      </c>
      <c r="D927" s="1" t="n">
        <v>45603</v>
      </c>
      <c r="E927" s="1" t="n">
        <v>46226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SCA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30130-2024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45489</v>
      </c>
      <c r="E928" s="1" t="n">
        <v>46226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25402-2024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45463</v>
      </c>
      <c r="E929" s="1" t="n">
        <v>46226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54385-2024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46226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52206-2022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44869</v>
      </c>
      <c r="E931" s="1" t="n">
        <v>46226</v>
      </c>
      <c r="F931" t="inlineStr">
        <is>
          <t>GÄVLEBORGS LÄN</t>
        </is>
      </c>
      <c r="G931" t="inlineStr">
        <is>
          <t>NORDANSTIG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4556-2025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45687</v>
      </c>
      <c r="E932" s="1" t="n">
        <v>46226</v>
      </c>
      <c r="F932" t="inlineStr">
        <is>
          <t>GÄVLEBORGS LÄN</t>
        </is>
      </c>
      <c r="G932" t="inlineStr">
        <is>
          <t>NORDANSTIG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12398-2023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44999</v>
      </c>
      <c r="E933" s="1" t="n">
        <v>46226</v>
      </c>
      <c r="F933" t="inlineStr">
        <is>
          <t>GÄVLEBORGS LÄN</t>
        </is>
      </c>
      <c r="G933" t="inlineStr">
        <is>
          <t>NORDANSTIG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6324-2023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44965</v>
      </c>
      <c r="E934" s="1" t="n">
        <v>46226</v>
      </c>
      <c r="F934" t="inlineStr">
        <is>
          <t>GÄVLEBORGS LÄN</t>
        </is>
      </c>
      <c r="G934" t="inlineStr">
        <is>
          <t>NORDANSTIG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2105-2023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44939</v>
      </c>
      <c r="E935" s="1" t="n">
        <v>46226</v>
      </c>
      <c r="F935" t="inlineStr">
        <is>
          <t>GÄVLEBORGS LÄN</t>
        </is>
      </c>
      <c r="G935" t="inlineStr">
        <is>
          <t>NORDANSTIG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59851-2024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45639</v>
      </c>
      <c r="E936" s="1" t="n">
        <v>46226</v>
      </c>
      <c r="F936" t="inlineStr">
        <is>
          <t>GÄVLEBORGS LÄN</t>
        </is>
      </c>
      <c r="G936" t="inlineStr">
        <is>
          <t>NORDANSTIG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15464-2023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45020</v>
      </c>
      <c r="E937" s="1" t="n">
        <v>46226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62619-2023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45271</v>
      </c>
      <c r="E938" s="1" t="n">
        <v>46226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60285-2024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45642</v>
      </c>
      <c r="E939" s="1" t="n">
        <v>46226</v>
      </c>
      <c r="F939" t="inlineStr">
        <is>
          <t>GÄVLEBORGS LÄN</t>
        </is>
      </c>
      <c r="G939" t="inlineStr">
        <is>
          <t>NORDANSTIG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58162-2024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45632</v>
      </c>
      <c r="E940" s="1" t="n">
        <v>46226</v>
      </c>
      <c r="F940" t="inlineStr">
        <is>
          <t>GÄVLEBORGS LÄN</t>
        </is>
      </c>
      <c r="G940" t="inlineStr">
        <is>
          <t>NORDANSTIG</t>
        </is>
      </c>
      <c r="H940" t="inlineStr">
        <is>
          <t>Kyrkan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40261-2023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45169</v>
      </c>
      <c r="E941" s="1" t="n">
        <v>46226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72820-2021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44547</v>
      </c>
      <c r="E942" s="1" t="n">
        <v>46226</v>
      </c>
      <c r="F942" t="inlineStr">
        <is>
          <t>GÄVLEBORGS LÄN</t>
        </is>
      </c>
      <c r="G942" t="inlineStr">
        <is>
          <t>NORDANSTIG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51930-2023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45223</v>
      </c>
      <c r="E943" s="1" t="n">
        <v>46226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4414-2022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44589</v>
      </c>
      <c r="E944" s="1" t="n">
        <v>46226</v>
      </c>
      <c r="F944" t="inlineStr">
        <is>
          <t>GÄVLEBORGS LÄN</t>
        </is>
      </c>
      <c r="G944" t="inlineStr">
        <is>
          <t>NORDANSTIG</t>
        </is>
      </c>
      <c r="I944" t="n">
        <v>12.6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48636-2024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46226</v>
      </c>
      <c r="F945" t="inlineStr">
        <is>
          <t>GÄVLEBORGS LÄN</t>
        </is>
      </c>
      <c r="G945" t="inlineStr">
        <is>
          <t>NORDANSTIG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9884-2023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44985</v>
      </c>
      <c r="E946" s="1" t="n">
        <v>46226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55694-2024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45622</v>
      </c>
      <c r="E947" s="1" t="n">
        <v>46226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11434-2024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45372</v>
      </c>
      <c r="E948" s="1" t="n">
        <v>46226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15226-2023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45019</v>
      </c>
      <c r="E949" s="1" t="n">
        <v>46226</v>
      </c>
      <c r="F949" t="inlineStr">
        <is>
          <t>GÄVLEBORGS LÄN</t>
        </is>
      </c>
      <c r="G949" t="inlineStr">
        <is>
          <t>NORDANSTIG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19566-2025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45770</v>
      </c>
      <c r="E950" s="1" t="n">
        <v>46226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23369-2022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44720</v>
      </c>
      <c r="E951" s="1" t="n">
        <v>46226</v>
      </c>
      <c r="F951" t="inlineStr">
        <is>
          <t>GÄVLEBORGS LÄN</t>
        </is>
      </c>
      <c r="G951" t="inlineStr">
        <is>
          <t>NORDANSTIG</t>
        </is>
      </c>
      <c r="I951" t="n">
        <v>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12607-2024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45382</v>
      </c>
      <c r="E952" s="1" t="n">
        <v>46226</v>
      </c>
      <c r="F952" t="inlineStr">
        <is>
          <t>GÄVLEBORGS LÄN</t>
        </is>
      </c>
      <c r="G952" t="inlineStr">
        <is>
          <t>NORDANSTIG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45310-2022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44844</v>
      </c>
      <c r="E953" s="1" t="n">
        <v>46226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6820-2023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44967</v>
      </c>
      <c r="E954" s="1" t="n">
        <v>46226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2592-2023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44943</v>
      </c>
      <c r="E955" s="1" t="n">
        <v>46226</v>
      </c>
      <c r="F955" t="inlineStr">
        <is>
          <t>GÄVLEBORGS LÄN</t>
        </is>
      </c>
      <c r="G955" t="inlineStr">
        <is>
          <t>NORDANSTIG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43075-2024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45567</v>
      </c>
      <c r="E956" s="1" t="n">
        <v>46226</v>
      </c>
      <c r="F956" t="inlineStr">
        <is>
          <t>GÄVLEBORGS LÄN</t>
        </is>
      </c>
      <c r="G956" t="inlineStr">
        <is>
          <t>NORDANSTIG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58891-2024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45636</v>
      </c>
      <c r="E957" s="1" t="n">
        <v>46226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56351-2024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45624</v>
      </c>
      <c r="E958" s="1" t="n">
        <v>46226</v>
      </c>
      <c r="F958" t="inlineStr">
        <is>
          <t>GÄVLEBORGS LÄN</t>
        </is>
      </c>
      <c r="G958" t="inlineStr">
        <is>
          <t>NORDANSTIG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58112-2024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46226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18525-2025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45763</v>
      </c>
      <c r="E960" s="1" t="n">
        <v>46226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62816-2023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45271</v>
      </c>
      <c r="E961" s="1" t="n">
        <v>46226</v>
      </c>
      <c r="F961" t="inlineStr">
        <is>
          <t>GÄVLEBORGS LÄN</t>
        </is>
      </c>
      <c r="G961" t="inlineStr">
        <is>
          <t>NORDANSTIG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37295-2022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44808</v>
      </c>
      <c r="E962" s="1" t="n">
        <v>46226</v>
      </c>
      <c r="F962" t="inlineStr">
        <is>
          <t>GÄVLEBORGS LÄN</t>
        </is>
      </c>
      <c r="G962" t="inlineStr">
        <is>
          <t>NORDANSTIG</t>
        </is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15385-2023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45019</v>
      </c>
      <c r="E963" s="1" t="n">
        <v>46226</v>
      </c>
      <c r="F963" t="inlineStr">
        <is>
          <t>GÄVLEBORGS LÄN</t>
        </is>
      </c>
      <c r="G963" t="inlineStr">
        <is>
          <t>NORDANSTIG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7149-2022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44603</v>
      </c>
      <c r="E964" s="1" t="n">
        <v>46226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55531-2024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45622</v>
      </c>
      <c r="E965" s="1" t="n">
        <v>46226</v>
      </c>
      <c r="F965" t="inlineStr">
        <is>
          <t>GÄVLEBORGS LÄN</t>
        </is>
      </c>
      <c r="G965" t="inlineStr">
        <is>
          <t>NORDANSTIG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7013-2023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44967</v>
      </c>
      <c r="E966" s="1" t="n">
        <v>46226</v>
      </c>
      <c r="F966" t="inlineStr">
        <is>
          <t>GÄVLEBORGS LÄN</t>
        </is>
      </c>
      <c r="G966" t="inlineStr">
        <is>
          <t>NORDANSTIG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7014-2023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44967</v>
      </c>
      <c r="E967" s="1" t="n">
        <v>46226</v>
      </c>
      <c r="F967" t="inlineStr">
        <is>
          <t>GÄVLEBORGS LÄN</t>
        </is>
      </c>
      <c r="G967" t="inlineStr">
        <is>
          <t>NORDANSTIG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37974-2024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45544</v>
      </c>
      <c r="E968" s="1" t="n">
        <v>46226</v>
      </c>
      <c r="F968" t="inlineStr">
        <is>
          <t>GÄVLEBORGS LÄN</t>
        </is>
      </c>
      <c r="G968" t="inlineStr">
        <is>
          <t>NORDANSTIG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54524-2024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45617</v>
      </c>
      <c r="E969" s="1" t="n">
        <v>46226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59422-2022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44907</v>
      </c>
      <c r="E970" s="1" t="n">
        <v>46226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37031-2024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45539</v>
      </c>
      <c r="E971" s="1" t="n">
        <v>46226</v>
      </c>
      <c r="F971" t="inlineStr">
        <is>
          <t>GÄVLEBORGS LÄN</t>
        </is>
      </c>
      <c r="G971" t="inlineStr">
        <is>
          <t>NORDANSTIG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51380-2024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45604</v>
      </c>
      <c r="E972" s="1" t="n">
        <v>46226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51988-2024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45607</v>
      </c>
      <c r="E973" s="1" t="n">
        <v>46226</v>
      </c>
      <c r="F973" t="inlineStr">
        <is>
          <t>GÄVLEBORGS LÄN</t>
        </is>
      </c>
      <c r="G973" t="inlineStr">
        <is>
          <t>NORDANSTIG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47762-2021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44448</v>
      </c>
      <c r="E974" s="1" t="n">
        <v>46226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38346-2024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45545</v>
      </c>
      <c r="E975" s="1" t="n">
        <v>46226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18322-2024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45422</v>
      </c>
      <c r="E976" s="1" t="n">
        <v>46226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54685-2024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45618</v>
      </c>
      <c r="E977" s="1" t="n">
        <v>46226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23417-2023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45076</v>
      </c>
      <c r="E978" s="1" t="n">
        <v>46226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21085-2024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45439</v>
      </c>
      <c r="E979" s="1" t="n">
        <v>46226</v>
      </c>
      <c r="F979" t="inlineStr">
        <is>
          <t>GÄVLEBORGS LÄN</t>
        </is>
      </c>
      <c r="G979" t="inlineStr">
        <is>
          <t>NORDANSTIG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20512-2022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44699</v>
      </c>
      <c r="E980" s="1" t="n">
        <v>46226</v>
      </c>
      <c r="F980" t="inlineStr">
        <is>
          <t>GÄVLEBORGS LÄN</t>
        </is>
      </c>
      <c r="G980" t="inlineStr">
        <is>
          <t>NORDANSTIG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8898-2024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45357</v>
      </c>
      <c r="E981" s="1" t="n">
        <v>46226</v>
      </c>
      <c r="F981" t="inlineStr">
        <is>
          <t>GÄVLEBORGS LÄN</t>
        </is>
      </c>
      <c r="G981" t="inlineStr">
        <is>
          <t>NORDANSTIG</t>
        </is>
      </c>
      <c r="I981" t="n">
        <v>8.199999999999999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41620-2023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45175</v>
      </c>
      <c r="E982" s="1" t="n">
        <v>46226</v>
      </c>
      <c r="F982" t="inlineStr">
        <is>
          <t>GÄVLEBORGS LÄN</t>
        </is>
      </c>
      <c r="G982" t="inlineStr">
        <is>
          <t>NORDANSTIG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12764-2025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45733</v>
      </c>
      <c r="E983" s="1" t="n">
        <v>46226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53691-2024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45615</v>
      </c>
      <c r="E984" s="1" t="n">
        <v>46226</v>
      </c>
      <c r="F984" t="inlineStr">
        <is>
          <t>GÄVLEBORGS LÄN</t>
        </is>
      </c>
      <c r="G984" t="inlineStr">
        <is>
          <t>NORDANSTIG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6093-2023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44964</v>
      </c>
      <c r="E985" s="1" t="n">
        <v>46226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59799-2022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44908</v>
      </c>
      <c r="E986" s="1" t="n">
        <v>46226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18332-2024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45422</v>
      </c>
      <c r="E987" s="1" t="n">
        <v>46226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31571-2024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45506</v>
      </c>
      <c r="E988" s="1" t="n">
        <v>46226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5411-2022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44595</v>
      </c>
      <c r="E989" s="1" t="n">
        <v>46226</v>
      </c>
      <c r="F989" t="inlineStr">
        <is>
          <t>GÄVLEBORGS LÄN</t>
        </is>
      </c>
      <c r="G989" t="inlineStr">
        <is>
          <t>NORDANSTIG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55450-2024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45622</v>
      </c>
      <c r="E990" s="1" t="n">
        <v>46226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55498-2024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46226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41957-2023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45177</v>
      </c>
      <c r="E992" s="1" t="n">
        <v>46226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10069-2025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45719</v>
      </c>
      <c r="E993" s="1" t="n">
        <v>46226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60839-2023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45260</v>
      </c>
      <c r="E994" s="1" t="n">
        <v>46226</v>
      </c>
      <c r="F994" t="inlineStr">
        <is>
          <t>GÄVLEBORGS LÄN</t>
        </is>
      </c>
      <c r="G994" t="inlineStr">
        <is>
          <t>NORDANSTIG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45687</v>
      </c>
      <c r="E995" s="1" t="n">
        <v>46226</v>
      </c>
      <c r="F995" t="inlineStr">
        <is>
          <t>GÄVLEBORGS LÄN</t>
        </is>
      </c>
      <c r="G995" t="inlineStr">
        <is>
          <t>NORDANSTIG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14402-2025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45741</v>
      </c>
      <c r="E996" s="1" t="n">
        <v>46226</v>
      </c>
      <c r="F996" t="inlineStr">
        <is>
          <t>GÄVLEBORGS LÄN</t>
        </is>
      </c>
      <c r="G996" t="inlineStr">
        <is>
          <t>NORDANSTIG</t>
        </is>
      </c>
      <c r="I996" t="n">
        <v>17.1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48832-2022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44859</v>
      </c>
      <c r="E997" s="1" t="n">
        <v>46226</v>
      </c>
      <c r="F997" t="inlineStr">
        <is>
          <t>GÄVLEBORGS LÄN</t>
        </is>
      </c>
      <c r="G997" t="inlineStr">
        <is>
          <t>NORDANSTIG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38332-2024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45545</v>
      </c>
      <c r="E998" s="1" t="n">
        <v>46226</v>
      </c>
      <c r="F998" t="inlineStr">
        <is>
          <t>GÄVLEBORGS LÄN</t>
        </is>
      </c>
      <c r="G998" t="inlineStr">
        <is>
          <t>NORDANSTIG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62089-2021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44502</v>
      </c>
      <c r="E999" s="1" t="n">
        <v>46226</v>
      </c>
      <c r="F999" t="inlineStr">
        <is>
          <t>GÄVLEBORGS LÄN</t>
        </is>
      </c>
      <c r="G999" t="inlineStr">
        <is>
          <t>NORDANSTIG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32827-2023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45124</v>
      </c>
      <c r="E1000" s="1" t="n">
        <v>46226</v>
      </c>
      <c r="F1000" t="inlineStr">
        <is>
          <t>GÄVLEBORGS LÄN</t>
        </is>
      </c>
      <c r="G1000" t="inlineStr">
        <is>
          <t>NORDANSTIG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33535-2022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44789</v>
      </c>
      <c r="E1001" s="1" t="n">
        <v>46226</v>
      </c>
      <c r="F1001" t="inlineStr">
        <is>
          <t>GÄVLEBORGS LÄN</t>
        </is>
      </c>
      <c r="G1001" t="inlineStr">
        <is>
          <t>NORDANSTIG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33559-2022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44789</v>
      </c>
      <c r="E1002" s="1" t="n">
        <v>46226</v>
      </c>
      <c r="F1002" t="inlineStr">
        <is>
          <t>GÄVLEBORGS LÄN</t>
        </is>
      </c>
      <c r="G1002" t="inlineStr">
        <is>
          <t>NORDANSTIG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30078-2024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45489</v>
      </c>
      <c r="E1003" s="1" t="n">
        <v>46226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884-2024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46226</v>
      </c>
      <c r="F1004" t="inlineStr">
        <is>
          <t>GÄVLEBORGS LÄN</t>
        </is>
      </c>
      <c r="G1004" t="inlineStr">
        <is>
          <t>NORDANSTIG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59043-2024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45636</v>
      </c>
      <c r="E1005" s="1" t="n">
        <v>46226</v>
      </c>
      <c r="F1005" t="inlineStr">
        <is>
          <t>GÄVLEBORGS LÄN</t>
        </is>
      </c>
      <c r="G1005" t="inlineStr">
        <is>
          <t>NORDANSTIG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18680-2025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45763</v>
      </c>
      <c r="E1006" s="1" t="n">
        <v>46226</v>
      </c>
      <c r="F1006" t="inlineStr">
        <is>
          <t>GÄVLEBORGS LÄN</t>
        </is>
      </c>
      <c r="G1006" t="inlineStr">
        <is>
          <t>NORDANSTIG</t>
        </is>
      </c>
      <c r="I1006" t="n">
        <v>9.4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20876-2025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45777</v>
      </c>
      <c r="E1007" s="1" t="n">
        <v>46226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18707-2025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45763</v>
      </c>
      <c r="E1008" s="1" t="n">
        <v>46226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18716-2025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45763</v>
      </c>
      <c r="E1009" s="1" t="n">
        <v>46226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21725-2025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46226</v>
      </c>
      <c r="F1010" t="inlineStr">
        <is>
          <t>GÄVLEBORGS LÄN</t>
        </is>
      </c>
      <c r="G1010" t="inlineStr">
        <is>
          <t>NORDANSTIG</t>
        </is>
      </c>
      <c r="I1010" t="n">
        <v>6.4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12389-2023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44999</v>
      </c>
      <c r="E1011" s="1" t="n">
        <v>46226</v>
      </c>
      <c r="F1011" t="inlineStr">
        <is>
          <t>GÄVLEBORGS LÄN</t>
        </is>
      </c>
      <c r="G1011" t="inlineStr">
        <is>
          <t>NORDANSTIG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30879-2024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45498</v>
      </c>
      <c r="E1012" s="1" t="n">
        <v>46226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21928-2025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45784</v>
      </c>
      <c r="E1013" s="1" t="n">
        <v>46226</v>
      </c>
      <c r="F1013" t="inlineStr">
        <is>
          <t>GÄVLEBORGS LÄN</t>
        </is>
      </c>
      <c r="G1013" t="inlineStr">
        <is>
          <t>NORDANSTIG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32470-2023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45120</v>
      </c>
      <c r="E1014" s="1" t="n">
        <v>46226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46226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22319-2025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45786</v>
      </c>
      <c r="E1016" s="1" t="n">
        <v>46226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67879-2021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44525</v>
      </c>
      <c r="E1017" s="1" t="n">
        <v>46226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33414-2022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44788</v>
      </c>
      <c r="E1018" s="1" t="n">
        <v>46226</v>
      </c>
      <c r="F1018" t="inlineStr">
        <is>
          <t>GÄVLEBORGS LÄN</t>
        </is>
      </c>
      <c r="G1018" t="inlineStr">
        <is>
          <t>NORDANSTIG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17678-2025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45758</v>
      </c>
      <c r="E1019" s="1" t="n">
        <v>46226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23072-2025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45790</v>
      </c>
      <c r="E1020" s="1" t="n">
        <v>46226</v>
      </c>
      <c r="F1020" t="inlineStr">
        <is>
          <t>GÄVLEBORGS LÄN</t>
        </is>
      </c>
      <c r="G1020" t="inlineStr">
        <is>
          <t>NORDANSTIG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23119-2025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45791</v>
      </c>
      <c r="E1021" s="1" t="n">
        <v>46226</v>
      </c>
      <c r="F1021" t="inlineStr">
        <is>
          <t>GÄVLEBORGS LÄN</t>
        </is>
      </c>
      <c r="G1021" t="inlineStr">
        <is>
          <t>NORDANSTIG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23154-2025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45791</v>
      </c>
      <c r="E1022" s="1" t="n">
        <v>46226</v>
      </c>
      <c r="F1022" t="inlineStr">
        <is>
          <t>GÄVLEBORGS LÄN</t>
        </is>
      </c>
      <c r="G1022" t="inlineStr">
        <is>
          <t>NORDANSTIG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23122-2025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45791</v>
      </c>
      <c r="E1023" s="1" t="n">
        <v>46226</v>
      </c>
      <c r="F1023" t="inlineStr">
        <is>
          <t>GÄVLEBORGS LÄN</t>
        </is>
      </c>
      <c r="G1023" t="inlineStr">
        <is>
          <t>NORDANSTIG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16616-2025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45754</v>
      </c>
      <c r="E1024" s="1" t="n">
        <v>46226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20137-2023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45055</v>
      </c>
      <c r="E1025" s="1" t="n">
        <v>46226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23791-2025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46226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54803-2023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45236</v>
      </c>
      <c r="E1027" s="1" t="n">
        <v>46226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23623-2025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45792</v>
      </c>
      <c r="E1028" s="1" t="n">
        <v>46226</v>
      </c>
      <c r="F1028" t="inlineStr">
        <is>
          <t>GÄVLEBORGS LÄN</t>
        </is>
      </c>
      <c r="G1028" t="inlineStr">
        <is>
          <t>NORDANSTIG</t>
        </is>
      </c>
      <c r="I1028" t="n">
        <v>12.9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23788-2025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45793</v>
      </c>
      <c r="E1029" s="1" t="n">
        <v>46226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46226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45312-2023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45191</v>
      </c>
      <c r="E1031" s="1" t="n">
        <v>46226</v>
      </c>
      <c r="F1031" t="inlineStr">
        <is>
          <t>GÄVLEBORGS LÄN</t>
        </is>
      </c>
      <c r="G1031" t="inlineStr">
        <is>
          <t>NORDANSTIG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24101-2025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46226</v>
      </c>
      <c r="F1032" t="inlineStr">
        <is>
          <t>GÄVLEBORGS LÄN</t>
        </is>
      </c>
      <c r="G1032" t="inlineStr">
        <is>
          <t>NORDANSTIG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43523-2024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45569</v>
      </c>
      <c r="E1033" s="1" t="n">
        <v>46226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25068-2025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45799</v>
      </c>
      <c r="E1034" s="1" t="n">
        <v>46226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16.7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25723-2024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45463</v>
      </c>
      <c r="E1035" s="1" t="n">
        <v>46226</v>
      </c>
      <c r="F1035" t="inlineStr">
        <is>
          <t>GÄVLEBORGS LÄN</t>
        </is>
      </c>
      <c r="G1035" t="inlineStr">
        <is>
          <t>NORDANSTIG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37294-2024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45540</v>
      </c>
      <c r="E1036" s="1" t="n">
        <v>46226</v>
      </c>
      <c r="F1036" t="inlineStr">
        <is>
          <t>GÄVLEBORGS LÄN</t>
        </is>
      </c>
      <c r="G1036" t="inlineStr">
        <is>
          <t>NORDANSTIG</t>
        </is>
      </c>
      <c r="I1036" t="n">
        <v>3.9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47238-2024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45586</v>
      </c>
      <c r="E1037" s="1" t="n">
        <v>46226</v>
      </c>
      <c r="F1037" t="inlineStr">
        <is>
          <t>GÄVLEBORGS LÄN</t>
        </is>
      </c>
      <c r="G1037" t="inlineStr">
        <is>
          <t>NORDANSTIG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35741-2024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45532</v>
      </c>
      <c r="E1038" s="1" t="n">
        <v>46226</v>
      </c>
      <c r="F1038" t="inlineStr">
        <is>
          <t>GÄVLEBORGS LÄN</t>
        </is>
      </c>
      <c r="G1038" t="inlineStr">
        <is>
          <t>NORDANSTIG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24938-2025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45799</v>
      </c>
      <c r="E1039" s="1" t="n">
        <v>46226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30.1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25467-2025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45802</v>
      </c>
      <c r="E1040" s="1" t="n">
        <v>46226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25468-2025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45802</v>
      </c>
      <c r="E1041" s="1" t="n">
        <v>46226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25080-2025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45799</v>
      </c>
      <c r="E1042" s="1" t="n">
        <v>46226</v>
      </c>
      <c r="F1042" t="inlineStr">
        <is>
          <t>GÄVLEBORGS LÄN</t>
        </is>
      </c>
      <c r="G1042" t="inlineStr">
        <is>
          <t>NORDANSTIG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25469-2025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45802</v>
      </c>
      <c r="E1043" s="1" t="n">
        <v>46226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6.4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4142-2023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44953</v>
      </c>
      <c r="E1044" s="1" t="n">
        <v>46226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52120-2022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44873</v>
      </c>
      <c r="E1045" s="1" t="n">
        <v>46226</v>
      </c>
      <c r="F1045" t="inlineStr">
        <is>
          <t>GÄVLEBORGS LÄN</t>
        </is>
      </c>
      <c r="G1045" t="inlineStr">
        <is>
          <t>NORDANSTIG</t>
        </is>
      </c>
      <c r="I1045" t="n">
        <v>6.9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14051-2025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45740</v>
      </c>
      <c r="E1046" s="1" t="n">
        <v>46226</v>
      </c>
      <c r="F1046" t="inlineStr">
        <is>
          <t>GÄVLEBORGS LÄN</t>
        </is>
      </c>
      <c r="G1046" t="inlineStr">
        <is>
          <t>NORDANSTIG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1526-2024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45306</v>
      </c>
      <c r="E1047" s="1" t="n">
        <v>46226</v>
      </c>
      <c r="F1047" t="inlineStr">
        <is>
          <t>GÄVLEBORGS LÄN</t>
        </is>
      </c>
      <c r="G1047" t="inlineStr">
        <is>
          <t>NORDANSTIG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5475-2023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44960</v>
      </c>
      <c r="E1048" s="1" t="n">
        <v>46226</v>
      </c>
      <c r="F1048" t="inlineStr">
        <is>
          <t>GÄVLEBORGS LÄN</t>
        </is>
      </c>
      <c r="G1048" t="inlineStr">
        <is>
          <t>NORDANSTIG</t>
        </is>
      </c>
      <c r="I1048" t="n">
        <v>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60520-2023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45259</v>
      </c>
      <c r="E1049" s="1" t="n">
        <v>46226</v>
      </c>
      <c r="F1049" t="inlineStr">
        <is>
          <t>GÄVLEBORGS LÄN</t>
        </is>
      </c>
      <c r="G1049" t="inlineStr">
        <is>
          <t>NORDANSTIG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2149-2024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45309</v>
      </c>
      <c r="E1050" s="1" t="n">
        <v>46226</v>
      </c>
      <c r="F1050" t="inlineStr">
        <is>
          <t>GÄVLEBORGS LÄN</t>
        </is>
      </c>
      <c r="G1050" t="inlineStr">
        <is>
          <t>NORDANSTIG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46226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46226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46226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46226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46226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46226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46226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46226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46226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46226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46226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46226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46226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46226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46226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2026-07-23T01:45:03Z</dcterms:created>
  <dcterms:modified xmlns:dcterms="http://purl.org/dc/terms/" xmlns:xsi="http://www.w3.org/2001/XMLSchema-instance" xsi:type="dcterms:W3CDTF">2026-07-23T01:45:04Z</dcterms:modified>
</cp:coreProperties>
</file>