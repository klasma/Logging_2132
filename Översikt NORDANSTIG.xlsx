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46320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46320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46320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46320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46320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46320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46320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46320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46320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46320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46320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46320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46320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51227-2023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45219</v>
      </c>
      <c r="E16" s="1" t="n">
        <v>46320</v>
      </c>
      <c r="F16" t="inlineStr">
        <is>
          <t>GÄVLEBORGS LÄN</t>
        </is>
      </c>
      <c r="G16" t="inlineStr">
        <is>
          <t>NORDANSTIG</t>
        </is>
      </c>
      <c r="I16" t="n">
        <v>10.2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Kattfotslav
Violettgrå tagellav
Granbarkgnagare
Vedticka</t>
        </is>
      </c>
      <c r="W16">
        <f>HYPERLINK("https://klasma.github.io/Logging_2132/artfynd/A 51227-2023 artfynd.xlsx", "A 51227-2023")</f>
        <v/>
      </c>
      <c r="X16">
        <f>HYPERLINK("https://klasma.github.io/Logging_2132/kartor/A 51227-2023 karta.png", "A 51227-2023")</f>
        <v/>
      </c>
      <c r="Y16">
        <f>HYPERLINK("https://klasma.github.io/Logging_2132/kartor_geotiff/A 51227-2023 georefererad karta.tif", "A 51227-2023")</f>
        <v/>
      </c>
      <c r="AA16">
        <f>HYPERLINK("https://klasma.github.io/Logging_2132/klagomål/A 51227-2023 FSC-klagomål.docx", "A 51227-2023")</f>
        <v/>
      </c>
      <c r="AB16">
        <f>HYPERLINK("https://klasma.github.io/Logging_2132/klagomålsmail/A 51227-2023 FSC-klagomål mail.docx", "A 51227-2023")</f>
        <v/>
      </c>
      <c r="AC16">
        <f>HYPERLINK("https://klasma.github.io/Logging_2132/tillsyn/A 51227-2023 tillsynsbegäran.docx", "A 51227-2023")</f>
        <v/>
      </c>
      <c r="AD16">
        <f>HYPERLINK("https://klasma.github.io/Logging_2132/tillsynsmail/A 51227-2023 tillsynsbegäran mail.docx", "A 51227-2023")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46320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46320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30490-2026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46210</v>
      </c>
      <c r="E19" s="1" t="n">
        <v>46320</v>
      </c>
      <c r="F19" t="inlineStr">
        <is>
          <t>GÄVLEBORGS LÄN</t>
        </is>
      </c>
      <c r="G19" t="inlineStr">
        <is>
          <t>NORDANSTIG</t>
        </is>
      </c>
      <c r="I19" t="n">
        <v>2.9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Lunglav
Korallblylav
Luddlav
Ögonpyrola</t>
        </is>
      </c>
      <c r="W19">
        <f>HYPERLINK("https://klasma.github.io/Logging_2132/artfynd/A 30490-2026 artfynd.xlsx", "A 30490-2026")</f>
        <v/>
      </c>
      <c r="X19">
        <f>HYPERLINK("https://klasma.github.io/Logging_2132/kartor/A 30490-2026 karta.png", "A 30490-2026")</f>
        <v/>
      </c>
      <c r="Y19">
        <f>HYPERLINK("https://klasma.github.io/Logging_2132/kartor_geotiff/A 30490-2026 georefererad karta.tif", "A 30490-2026")</f>
        <v/>
      </c>
      <c r="AA19">
        <f>HYPERLINK("https://klasma.github.io/Logging_2132/klagomål/A 30490-2026 FSC-klagomål.docx", "A 30490-2026")</f>
        <v/>
      </c>
      <c r="AB19">
        <f>HYPERLINK("https://klasma.github.io/Logging_2132/klagomålsmail/A 30490-2026 FSC-klagomål mail.docx", "A 30490-2026")</f>
        <v/>
      </c>
      <c r="AC19">
        <f>HYPERLINK("https://klasma.github.io/Logging_2132/tillsyn/A 30490-2026 tillsynsbegäran.docx", "A 30490-2026")</f>
        <v/>
      </c>
      <c r="AD19">
        <f>HYPERLINK("https://klasma.github.io/Logging_2132/tillsynsmail/A 30490-2026 tillsynsbegäran mail.docx", "A 30490-2026")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46320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46320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46320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46320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46320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46320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46320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46320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46320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46320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46320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46320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46320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60231-2025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46320</v>
      </c>
      <c r="F33" t="inlineStr">
        <is>
          <t>GÄVLEBORGS LÄN</t>
        </is>
      </c>
      <c r="G33" t="inlineStr">
        <is>
          <t>NORDANSTIG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Dropptaggsvamp
Revlummer</t>
        </is>
      </c>
      <c r="W33">
        <f>HYPERLINK("https://klasma.github.io/Logging_2132/artfynd/A 60231-2025 artfynd.xlsx", "A 60231-2025")</f>
        <v/>
      </c>
      <c r="X33">
        <f>HYPERLINK("https://klasma.github.io/Logging_2132/kartor/A 60231-2025 karta.png", "A 60231-2025")</f>
        <v/>
      </c>
      <c r="Y33">
        <f>HYPERLINK("https://klasma.github.io/Logging_2132/kartor_geotiff/A 60231-2025 georefererad karta.tif", "A 60231-2025")</f>
        <v/>
      </c>
      <c r="AA33">
        <f>HYPERLINK("https://klasma.github.io/Logging_2132/klagomål/A 60231-2025 FSC-klagomål.docx", "A 60231-2025")</f>
        <v/>
      </c>
      <c r="AB33">
        <f>HYPERLINK("https://klasma.github.io/Logging_2132/klagomålsmail/A 60231-2025 FSC-klagomål mail.docx", "A 60231-2025")</f>
        <v/>
      </c>
      <c r="AC33">
        <f>HYPERLINK("https://klasma.github.io/Logging_2132/tillsyn/A 60231-2025 tillsynsbegäran.docx", "A 60231-2025")</f>
        <v/>
      </c>
      <c r="AD33">
        <f>HYPERLINK("https://klasma.github.io/Logging_2132/tillsynsmail/A 60231-2025 tillsynsbegäran mail.docx", "A 60231-2025")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46320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46320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46320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32946-2026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46320</v>
      </c>
      <c r="F37" t="inlineStr">
        <is>
          <t>GÄVLEBORGS LÄN</t>
        </is>
      </c>
      <c r="G37" t="inlineStr">
        <is>
          <t>NORDANSTIG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Fjällig taggsvamp s.str.
Tibast</t>
        </is>
      </c>
      <c r="W37">
        <f>HYPERLINK("https://klasma.github.io/Logging_2132/artfynd/A 32946-2026 artfynd.xlsx", "A 32946-2026")</f>
        <v/>
      </c>
      <c r="X37">
        <f>HYPERLINK("https://klasma.github.io/Logging_2132/kartor/A 32946-2026 karta.png", "A 32946-2026")</f>
        <v/>
      </c>
      <c r="Y37">
        <f>HYPERLINK("https://klasma.github.io/Logging_2132/kartor_geotiff/A 32946-2026 georefererad karta.tif", "A 32946-2026")</f>
        <v/>
      </c>
      <c r="AA37">
        <f>HYPERLINK("https://klasma.github.io/Logging_2132/klagomål/A 32946-2026 FSC-klagomål.docx", "A 32946-2026")</f>
        <v/>
      </c>
      <c r="AB37">
        <f>HYPERLINK("https://klasma.github.io/Logging_2132/klagomålsmail/A 32946-2026 FSC-klagomål mail.docx", "A 32946-2026")</f>
        <v/>
      </c>
      <c r="AC37">
        <f>HYPERLINK("https://klasma.github.io/Logging_2132/tillsyn/A 32946-2026 tillsynsbegäran.docx", "A 32946-2026")</f>
        <v/>
      </c>
      <c r="AD37">
        <f>HYPERLINK("https://klasma.github.io/Logging_2132/tillsynsmail/A 32946-2026 tillsynsbegäran mail.docx", "A 32946-2026")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46320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45295</v>
      </c>
      <c r="E39" s="1" t="n">
        <v>46320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1.5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Tibast
Tvåblad</t>
        </is>
      </c>
      <c r="W39">
        <f>HYPERLINK("https://klasma.github.io/Logging_2132/artfynd/A 321-2024 artfynd.xlsx", "A 321-2024")</f>
        <v/>
      </c>
      <c r="X39">
        <f>HYPERLINK("https://klasma.github.io/Logging_2132/kartor/A 321-2024 karta.png", "A 321-2024")</f>
        <v/>
      </c>
      <c r="Y39">
        <f>HYPERLINK("https://klasma.github.io/Logging_2132/kartor_geotiff/A 321-2024 georefererad karta.tif", "A 321-2024")</f>
        <v/>
      </c>
      <c r="AA39">
        <f>HYPERLINK("https://klasma.github.io/Logging_2132/klagomål/A 321-2024 FSC-klagomål.docx", "A 321-2024")</f>
        <v/>
      </c>
      <c r="AB39">
        <f>HYPERLINK("https://klasma.github.io/Logging_2132/klagomålsmail/A 321-2024 FSC-klagomål mail.docx", "A 321-2024")</f>
        <v/>
      </c>
      <c r="AC39">
        <f>HYPERLINK("https://klasma.github.io/Logging_2132/tillsyn/A 321-2024 tillsynsbegäran.docx", "A 321-2024")</f>
        <v/>
      </c>
      <c r="AD39">
        <f>HYPERLINK("https://klasma.github.io/Logging_2132/tillsynsmail/A 321-2024 tillsynsbegäran mail.docx", "A 321-2024")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46320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62767-2022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44884</v>
      </c>
      <c r="E41" s="1" t="n">
        <v>46320</v>
      </c>
      <c r="F41" t="inlineStr">
        <is>
          <t>GÄVLEBORGS LÄN</t>
        </is>
      </c>
      <c r="G41" t="inlineStr">
        <is>
          <t>NORDANSTIG</t>
        </is>
      </c>
      <c r="H41" t="inlineStr">
        <is>
          <t>SCA</t>
        </is>
      </c>
      <c r="I41" t="n">
        <v>13.3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26</v>
      </c>
      <c r="U41" t="n">
        <v>1</v>
      </c>
      <c r="V41" s="2" t="inlineStr">
        <is>
          <t>Skogsknipprot
Törnskata</t>
        </is>
      </c>
      <c r="W41">
        <f>HYPERLINK("https://klasma.github.io/Logging_2132/artfynd/A 62767-2022 artfynd.xlsx", "A 62767-2022")</f>
        <v/>
      </c>
      <c r="X41">
        <f>HYPERLINK("https://klasma.github.io/Logging_2132/kartor/A 62767-2022 karta.png", "A 62767-2022")</f>
        <v/>
      </c>
      <c r="Y41">
        <f>HYPERLINK("https://klasma.github.io/Logging_2132/kartor_geotiff/A 62767-2022 georefererad karta.tif", "A 62767-2022")</f>
        <v/>
      </c>
      <c r="AA41">
        <f>HYPERLINK("https://klasma.github.io/Logging_2132/klagomål/A 62767-2022 FSC-klagomål.docx", "A 62767-2022")</f>
        <v/>
      </c>
      <c r="AB41">
        <f>HYPERLINK("https://klasma.github.io/Logging_2132/klagomålsmail/A 62767-2022 FSC-klagomål mail.docx", "A 62767-2022")</f>
        <v/>
      </c>
      <c r="AC41">
        <f>HYPERLINK("https://klasma.github.io/Logging_2132/tillsyn/A 62767-2022 tillsynsbegäran.docx", "A 62767-2022")</f>
        <v/>
      </c>
      <c r="AD41">
        <f>HYPERLINK("https://klasma.github.io/Logging_2132/tillsynsmail/A 62767-2022 tillsynsbegäran mail.docx", "A 62767-2022")</f>
        <v/>
      </c>
      <c r="AE41">
        <f>HYPERLINK("https://klasma.github.io/Logging_2132/fåglar/A 62767-2022 prioriterade fågelarter.docx", "A 62767-2022")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46320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31066-2024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46320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4.7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Smal svampklubba</t>
        </is>
      </c>
      <c r="W43">
        <f>HYPERLINK("https://klasma.github.io/Logging_2132/artfynd/A 31066-2024 artfynd.xlsx", "A 31066-2024")</f>
        <v/>
      </c>
      <c r="X43">
        <f>HYPERLINK("https://klasma.github.io/Logging_2132/kartor/A 31066-2024 karta.png", "A 31066-2024")</f>
        <v/>
      </c>
      <c r="Y43">
        <f>HYPERLINK("https://klasma.github.io/Logging_2132/kartor_geotiff/A 31066-2024 georefererad karta.tif", "A 31066-2024")</f>
        <v/>
      </c>
      <c r="AA43">
        <f>HYPERLINK("https://klasma.github.io/Logging_2132/klagomål/A 31066-2024 FSC-klagomål.docx", "A 31066-2024")</f>
        <v/>
      </c>
      <c r="AB43">
        <f>HYPERLINK("https://klasma.github.io/Logging_2132/klagomålsmail/A 31066-2024 FSC-klagomål mail.docx", "A 31066-2024")</f>
        <v/>
      </c>
      <c r="AC43">
        <f>HYPERLINK("https://klasma.github.io/Logging_2132/tillsyn/A 31066-2024 tillsynsbegäran.docx", "A 31066-2024")</f>
        <v/>
      </c>
      <c r="AD43">
        <f>HYPERLINK("https://klasma.github.io/Logging_2132/tillsynsmail/A 31066-2024 tillsynsbegäran mail.docx", "A 31066-2024")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46320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46320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46320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46320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46320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46320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46320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18306-2022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46320</v>
      </c>
      <c r="F51" t="inlineStr">
        <is>
          <t>GÄVLEBORGS LÄN</t>
        </is>
      </c>
      <c r="G51" t="inlineStr">
        <is>
          <t>NORDANSTIG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HYPERLINK("https://klasma.github.io/Logging_2132/artfynd/A 18306-2022 artfynd.xlsx", "A 18306-2022")</f>
        <v/>
      </c>
      <c r="X51">
        <f>HYPERLINK("https://klasma.github.io/Logging_2132/kartor/A 18306-2022 karta.png", "A 18306-2022")</f>
        <v/>
      </c>
      <c r="Y51">
        <f>HYPERLINK("https://klasma.github.io/Logging_2132/kartor_geotiff/A 18306-2022 georefererad karta.tif", "A 18306-2022")</f>
        <v/>
      </c>
      <c r="AA51">
        <f>HYPERLINK("https://klasma.github.io/Logging_2132/klagomål/A 18306-2022 FSC-klagomål.docx", "A 18306-2022")</f>
        <v/>
      </c>
      <c r="AB51">
        <f>HYPERLINK("https://klasma.github.io/Logging_2132/klagomålsmail/A 18306-2022 FSC-klagomål mail.docx", "A 18306-2022")</f>
        <v/>
      </c>
      <c r="AC51">
        <f>HYPERLINK("https://klasma.github.io/Logging_2132/tillsyn/A 18306-2022 tillsynsbegäran.docx", "A 18306-2022")</f>
        <v/>
      </c>
      <c r="AD51">
        <f>HYPERLINK("https://klasma.github.io/Logging_2132/tillsynsmail/A 18306-2022 tillsynsbegäran mail.docx", "A 18306-2022")</f>
        <v/>
      </c>
    </row>
    <row r="52" ht="15" customHeight="1">
      <c r="A52" t="inlineStr">
        <is>
          <t>A 22863-2023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46320</v>
      </c>
      <c r="F52" t="inlineStr">
        <is>
          <t>GÄVLEBORGS LÄN</t>
        </is>
      </c>
      <c r="G52" t="inlineStr">
        <is>
          <t>NORDANSTIG</t>
        </is>
      </c>
      <c r="I52" t="n">
        <v>1.9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22863-2023 artfynd.xlsx", "A 22863-2023")</f>
        <v/>
      </c>
      <c r="X52">
        <f>HYPERLINK("https://klasma.github.io/Logging_2132/kartor/A 22863-2023 karta.png", "A 22863-2023")</f>
        <v/>
      </c>
      <c r="Y52">
        <f>HYPERLINK("https://klasma.github.io/Logging_2132/kartor_geotiff/A 22863-2023 georefererad karta.tif", "A 22863-2023")</f>
        <v/>
      </c>
      <c r="AA52">
        <f>HYPERLINK("https://klasma.github.io/Logging_2132/klagomål/A 22863-2023 FSC-klagomål.docx", "A 22863-2023")</f>
        <v/>
      </c>
      <c r="AB52">
        <f>HYPERLINK("https://klasma.github.io/Logging_2132/klagomålsmail/A 22863-2023 FSC-klagomål mail.docx", "A 22863-2023")</f>
        <v/>
      </c>
      <c r="AC52">
        <f>HYPERLINK("https://klasma.github.io/Logging_2132/tillsyn/A 22863-2023 tillsynsbegäran.docx", "A 22863-2023")</f>
        <v/>
      </c>
      <c r="AD52">
        <f>HYPERLINK("https://klasma.github.io/Logging_2132/tillsynsmail/A 22863-2023 tillsynsbegäran mail.docx", "A 22863-2023")</f>
        <v/>
      </c>
    </row>
    <row r="53" ht="15" customHeight="1">
      <c r="A53" t="inlineStr">
        <is>
          <t>A 14392-2025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46320</v>
      </c>
      <c r="F53" t="inlineStr">
        <is>
          <t>GÄVLEBORGS LÄN</t>
        </is>
      </c>
      <c r="G53" t="inlineStr">
        <is>
          <t>NORDANSTIG</t>
        </is>
      </c>
      <c r="I53" t="n">
        <v>28.6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Violettgrå tagellav</t>
        </is>
      </c>
      <c r="W53">
        <f>HYPERLINK("https://klasma.github.io/Logging_2132/artfynd/A 14392-2025 artfynd.xlsx", "A 14392-2025")</f>
        <v/>
      </c>
      <c r="X53">
        <f>HYPERLINK("https://klasma.github.io/Logging_2132/kartor/A 14392-2025 karta.png", "A 14392-2025")</f>
        <v/>
      </c>
      <c r="Y53">
        <f>HYPERLINK("https://klasma.github.io/Logging_2132/kartor_geotiff/A 14392-2025 georefererad karta.tif", "A 14392-2025")</f>
        <v/>
      </c>
      <c r="AA53">
        <f>HYPERLINK("https://klasma.github.io/Logging_2132/klagomål/A 14392-2025 FSC-klagomål.docx", "A 14392-2025")</f>
        <v/>
      </c>
      <c r="AB53">
        <f>HYPERLINK("https://klasma.github.io/Logging_2132/klagomålsmail/A 14392-2025 FSC-klagomål mail.docx", "A 14392-2025")</f>
        <v/>
      </c>
      <c r="AC53">
        <f>HYPERLINK("https://klasma.github.io/Logging_2132/tillsyn/A 14392-2025 tillsynsbegäran.docx", "A 14392-2025")</f>
        <v/>
      </c>
      <c r="AD53">
        <f>HYPERLINK("https://klasma.github.io/Logging_2132/tillsynsmail/A 14392-2025 tillsynsbegäran mail.docx", "A 14392-2025")</f>
        <v/>
      </c>
    </row>
    <row r="54" ht="15" customHeight="1">
      <c r="A54" t="inlineStr">
        <is>
          <t>A 11895-2026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46085</v>
      </c>
      <c r="E54" s="1" t="n">
        <v>46320</v>
      </c>
      <c r="F54" t="inlineStr">
        <is>
          <t>GÄVLEBORGS LÄN</t>
        </is>
      </c>
      <c r="G54" t="inlineStr">
        <is>
          <t>NORDANSTIG</t>
        </is>
      </c>
      <c r="I54" t="n">
        <v>21.2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Sötgräs</t>
        </is>
      </c>
      <c r="W54">
        <f>HYPERLINK("https://klasma.github.io/Logging_2132/artfynd/A 11895-2026 artfynd.xlsx", "A 11895-2026")</f>
        <v/>
      </c>
      <c r="X54">
        <f>HYPERLINK("https://klasma.github.io/Logging_2132/kartor/A 11895-2026 karta.png", "A 11895-2026")</f>
        <v/>
      </c>
      <c r="Y54">
        <f>HYPERLINK("https://klasma.github.io/Logging_2132/kartor_geotiff/A 11895-2026 georefererad karta.tif", "A 11895-2026")</f>
        <v/>
      </c>
      <c r="AA54">
        <f>HYPERLINK("https://klasma.github.io/Logging_2132/klagomål/A 11895-2026 FSC-klagomål.docx", "A 11895-2026")</f>
        <v/>
      </c>
      <c r="AB54">
        <f>HYPERLINK("https://klasma.github.io/Logging_2132/klagomålsmail/A 11895-2026 FSC-klagomål mail.docx", "A 11895-2026")</f>
        <v/>
      </c>
      <c r="AC54">
        <f>HYPERLINK("https://klasma.github.io/Logging_2132/tillsyn/A 11895-2026 tillsynsbegäran.docx", "A 11895-2026")</f>
        <v/>
      </c>
      <c r="AD54">
        <f>HYPERLINK("https://klasma.github.io/Logging_2132/tillsynsmail/A 11895-2026 tillsynsbegäran mail.docx", "A 11895-2026")</f>
        <v/>
      </c>
    </row>
    <row r="55" ht="15" customHeight="1">
      <c r="A55" t="inlineStr">
        <is>
          <t>A 47605-2025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46320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1</v>
      </c>
      <c r="V55" s="2" t="inlineStr">
        <is>
          <t>Tjäder</t>
        </is>
      </c>
      <c r="W55">
        <f>HYPERLINK("https://klasma.github.io/Logging_2132/artfynd/A 47605-2025 artfynd.xlsx", "A 47605-2025")</f>
        <v/>
      </c>
      <c r="X55">
        <f>HYPERLINK("https://klasma.github.io/Logging_2132/kartor/A 47605-2025 karta.png", "A 47605-2025")</f>
        <v/>
      </c>
      <c r="Y55">
        <f>HYPERLINK("https://klasma.github.io/Logging_2132/kartor_geotiff/A 47605-2025 georefererad karta.tif", "A 47605-2025")</f>
        <v/>
      </c>
      <c r="AA55">
        <f>HYPERLINK("https://klasma.github.io/Logging_2132/klagomål/A 47605-2025 FSC-klagomål.docx", "A 47605-2025")</f>
        <v/>
      </c>
      <c r="AB55">
        <f>HYPERLINK("https://klasma.github.io/Logging_2132/klagomålsmail/A 47605-2025 FSC-klagomål mail.docx", "A 47605-2025")</f>
        <v/>
      </c>
      <c r="AC55">
        <f>HYPERLINK("https://klasma.github.io/Logging_2132/tillsyn/A 47605-2025 tillsynsbegäran.docx", "A 47605-2025")</f>
        <v/>
      </c>
      <c r="AD55">
        <f>HYPERLINK("https://klasma.github.io/Logging_2132/tillsynsmail/A 47605-2025 tillsynsbegäran mail.docx", "A 47605-2025")</f>
        <v/>
      </c>
      <c r="AE55">
        <f>HYPERLINK("https://klasma.github.io/Logging_2132/fåglar/A 47605-2025 prioriterade fågelarter.docx", "A 47605-2025")</f>
        <v/>
      </c>
    </row>
    <row r="56" ht="15" customHeight="1">
      <c r="A56" t="inlineStr">
        <is>
          <t>A 25625-2026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46177</v>
      </c>
      <c r="E56" s="1" t="n">
        <v>46320</v>
      </c>
      <c r="F56" t="inlineStr">
        <is>
          <t>GÄVLEBORGS LÄN</t>
        </is>
      </c>
      <c r="G56" t="inlineStr">
        <is>
          <t>NORDANSTIG</t>
        </is>
      </c>
      <c r="H56" t="inlineStr">
        <is>
          <t>SCA</t>
        </is>
      </c>
      <c r="I56" t="n">
        <v>0.7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13</v>
      </c>
      <c r="U56" t="n">
        <v>0</v>
      </c>
      <c r="V56" s="2" t="inlineStr">
        <is>
          <t>Skogsknipprot</t>
        </is>
      </c>
      <c r="W56">
        <f>HYPERLINK("https://klasma.github.io/Logging_2132/artfynd/A 25625-2026 artfynd.xlsx", "A 25625-2026")</f>
        <v/>
      </c>
      <c r="X56">
        <f>HYPERLINK("https://klasma.github.io/Logging_2132/kartor/A 25625-2026 karta.png", "A 25625-2026")</f>
        <v/>
      </c>
      <c r="Y56">
        <f>HYPERLINK("https://klasma.github.io/Logging_2132/kartor_geotiff/A 25625-2026 georefererad karta.tif", "A 25625-2026")</f>
        <v/>
      </c>
      <c r="AA56">
        <f>HYPERLINK("https://klasma.github.io/Logging_2132/klagomål/A 25625-2026 FSC-klagomål.docx", "A 25625-2026")</f>
        <v/>
      </c>
      <c r="AB56">
        <f>HYPERLINK("https://klasma.github.io/Logging_2132/klagomålsmail/A 25625-2026 FSC-klagomål mail.docx", "A 25625-2026")</f>
        <v/>
      </c>
      <c r="AC56">
        <f>HYPERLINK("https://klasma.github.io/Logging_2132/tillsyn/A 25625-2026 tillsynsbegäran.docx", "A 25625-2026")</f>
        <v/>
      </c>
      <c r="AD56">
        <f>HYPERLINK("https://klasma.github.io/Logging_2132/tillsynsmail/A 25625-2026 tillsynsbegäran mail.docx", "A 25625-2026")</f>
        <v/>
      </c>
    </row>
    <row r="57" ht="15" customHeight="1">
      <c r="A57" t="inlineStr">
        <is>
          <t>A 377-2024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46320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HYPERLINK("https://klasma.github.io/Logging_2132/artfynd/A 377-2024 artfynd.xlsx", "A 377-2024")</f>
        <v/>
      </c>
      <c r="X57">
        <f>HYPERLINK("https://klasma.github.io/Logging_2132/kartor/A 377-2024 karta.png", "A 377-2024")</f>
        <v/>
      </c>
      <c r="Y57">
        <f>HYPERLINK("https://klasma.github.io/Logging_2132/kartor_geotiff/A 377-2024 georefererad karta.tif", "A 377-2024")</f>
        <v/>
      </c>
      <c r="AA57">
        <f>HYPERLINK("https://klasma.github.io/Logging_2132/klagomål/A 377-2024 FSC-klagomål.docx", "A 377-2024")</f>
        <v/>
      </c>
      <c r="AB57">
        <f>HYPERLINK("https://klasma.github.io/Logging_2132/klagomålsmail/A 377-2024 FSC-klagomål mail.docx", "A 377-2024")</f>
        <v/>
      </c>
      <c r="AC57">
        <f>HYPERLINK("https://klasma.github.io/Logging_2132/tillsyn/A 377-2024 tillsynsbegäran.docx", "A 377-2024")</f>
        <v/>
      </c>
      <c r="AD57">
        <f>HYPERLINK("https://klasma.github.io/Logging_2132/tillsynsmail/A 377-2024 tillsynsbegäran mail.docx", "A 377-2024")</f>
        <v/>
      </c>
      <c r="AE57">
        <f>HYPERLINK("https://klasma.github.io/Logging_2132/fåglar/A 377-2024 prioriterade fågelarter.docx", "A 377-2024")</f>
        <v/>
      </c>
    </row>
    <row r="58" ht="15" customHeight="1">
      <c r="A58" t="inlineStr">
        <is>
          <t>A 26278-2026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46320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Lavskrika</t>
        </is>
      </c>
      <c r="W58">
        <f>HYPERLINK("https://klasma.github.io/Logging_2132/artfynd/A 26278-2026 artfynd.xlsx", "A 26278-2026")</f>
        <v/>
      </c>
      <c r="X58">
        <f>HYPERLINK("https://klasma.github.io/Logging_2132/kartor/A 26278-2026 karta.png", "A 26278-2026")</f>
        <v/>
      </c>
      <c r="Y58">
        <f>HYPERLINK("https://klasma.github.io/Logging_2132/kartor_geotiff/A 26278-2026 georefererad karta.tif", "A 26278-2026")</f>
        <v/>
      </c>
      <c r="AA58">
        <f>HYPERLINK("https://klasma.github.io/Logging_2132/klagomål/A 26278-2026 FSC-klagomål.docx", "A 26278-2026")</f>
        <v/>
      </c>
      <c r="AB58">
        <f>HYPERLINK("https://klasma.github.io/Logging_2132/klagomålsmail/A 26278-2026 FSC-klagomål mail.docx", "A 26278-2026")</f>
        <v/>
      </c>
      <c r="AC58">
        <f>HYPERLINK("https://klasma.github.io/Logging_2132/tillsyn/A 26278-2026 tillsynsbegäran.docx", "A 26278-2026")</f>
        <v/>
      </c>
      <c r="AD58">
        <f>HYPERLINK("https://klasma.github.io/Logging_2132/tillsynsmail/A 26278-2026 tillsynsbegäran mail.docx", "A 26278-2026")</f>
        <v/>
      </c>
      <c r="AE58">
        <f>HYPERLINK("https://klasma.github.io/Logging_2132/fåglar/A 26278-2026 prioriterade fågelarter.docx", "A 26278-2026")</f>
        <v/>
      </c>
    </row>
    <row r="59" ht="15" customHeight="1">
      <c r="A59" t="inlineStr">
        <is>
          <t>A 55476-2025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45971</v>
      </c>
      <c r="E59" s="1" t="n">
        <v>46320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HYPERLINK("https://klasma.github.io/Logging_2132/artfynd/A 55476-2025 artfynd.xlsx", "A 55476-2025")</f>
        <v/>
      </c>
      <c r="X59">
        <f>HYPERLINK("https://klasma.github.io/Logging_2132/kartor/A 55476-2025 karta.png", "A 55476-2025")</f>
        <v/>
      </c>
      <c r="Y59">
        <f>HYPERLINK("https://klasma.github.io/Logging_2132/kartor_geotiff/A 55476-2025 georefererad karta.tif", "A 55476-2025")</f>
        <v/>
      </c>
      <c r="AA59">
        <f>HYPERLINK("https://klasma.github.io/Logging_2132/klagomål/A 55476-2025 FSC-klagomål.docx", "A 55476-2025")</f>
        <v/>
      </c>
      <c r="AB59">
        <f>HYPERLINK("https://klasma.github.io/Logging_2132/klagomålsmail/A 55476-2025 FSC-klagomål mail.docx", "A 55476-2025")</f>
        <v/>
      </c>
      <c r="AC59">
        <f>HYPERLINK("https://klasma.github.io/Logging_2132/tillsyn/A 55476-2025 tillsynsbegäran.docx", "A 55476-2025")</f>
        <v/>
      </c>
      <c r="AD59">
        <f>HYPERLINK("https://klasma.github.io/Logging_2132/tillsynsmail/A 55476-2025 tillsynsbegäran mail.docx", "A 55476-2025")</f>
        <v/>
      </c>
    </row>
    <row r="60" ht="15" customHeight="1">
      <c r="A60" t="inlineStr">
        <is>
          <t>A 57186-2025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46320</v>
      </c>
      <c r="F60" t="inlineStr">
        <is>
          <t>GÄVLEBORGS LÄN</t>
        </is>
      </c>
      <c r="G60" t="inlineStr">
        <is>
          <t>NORDANSTIG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Stjärnstarr</t>
        </is>
      </c>
      <c r="W60">
        <f>HYPERLINK("https://klasma.github.io/Logging_2132/artfynd/A 57186-2025 artfynd.xlsx", "A 57186-2025")</f>
        <v/>
      </c>
      <c r="X60">
        <f>HYPERLINK("https://klasma.github.io/Logging_2132/kartor/A 57186-2025 karta.png", "A 57186-2025")</f>
        <v/>
      </c>
      <c r="Y60">
        <f>HYPERLINK("https://klasma.github.io/Logging_2132/kartor_geotiff/A 57186-2025 georefererad karta.tif", "A 57186-2025")</f>
        <v/>
      </c>
      <c r="AA60">
        <f>HYPERLINK("https://klasma.github.io/Logging_2132/klagomål/A 57186-2025 FSC-klagomål.docx", "A 57186-2025")</f>
        <v/>
      </c>
      <c r="AB60">
        <f>HYPERLINK("https://klasma.github.io/Logging_2132/klagomålsmail/A 57186-2025 FSC-klagomål mail.docx", "A 57186-2025")</f>
        <v/>
      </c>
      <c r="AC60">
        <f>HYPERLINK("https://klasma.github.io/Logging_2132/tillsyn/A 57186-2025 tillsynsbegäran.docx", "A 57186-2025")</f>
        <v/>
      </c>
      <c r="AD60">
        <f>HYPERLINK("https://klasma.github.io/Logging_2132/tillsynsmail/A 57186-2025 tillsynsbegäran mail.docx", "A 57186-2025")</f>
        <v/>
      </c>
    </row>
    <row r="61" ht="15" customHeight="1">
      <c r="A61" t="inlineStr">
        <is>
          <t>A 60371-2025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45995</v>
      </c>
      <c r="E61" s="1" t="n">
        <v>46320</v>
      </c>
      <c r="F61" t="inlineStr">
        <is>
          <t>GÄVLEBORGS LÄN</t>
        </is>
      </c>
      <c r="G61" t="inlineStr">
        <is>
          <t>NORDANSTIG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Nattviol</t>
        </is>
      </c>
      <c r="W61">
        <f>HYPERLINK("https://klasma.github.io/Logging_2132/artfynd/A 60371-2025 artfynd.xlsx", "A 60371-2025")</f>
        <v/>
      </c>
      <c r="X61">
        <f>HYPERLINK("https://klasma.github.io/Logging_2132/kartor/A 60371-2025 karta.png", "A 60371-2025")</f>
        <v/>
      </c>
      <c r="Y61">
        <f>HYPERLINK("https://klasma.github.io/Logging_2132/kartor_geotiff/A 60371-2025 georefererad karta.tif", "A 60371-2025")</f>
        <v/>
      </c>
      <c r="AA61">
        <f>HYPERLINK("https://klasma.github.io/Logging_2132/klagomål/A 60371-2025 FSC-klagomål.docx", "A 60371-2025")</f>
        <v/>
      </c>
      <c r="AB61">
        <f>HYPERLINK("https://klasma.github.io/Logging_2132/klagomålsmail/A 60371-2025 FSC-klagomål mail.docx", "A 60371-2025")</f>
        <v/>
      </c>
      <c r="AC61">
        <f>HYPERLINK("https://klasma.github.io/Logging_2132/tillsyn/A 60371-2025 tillsynsbegäran.docx", "A 60371-2025")</f>
        <v/>
      </c>
      <c r="AD61">
        <f>HYPERLINK("https://klasma.github.io/Logging_2132/tillsynsmail/A 60371-2025 tillsynsbegäran mail.docx", "A 60371-2025")</f>
        <v/>
      </c>
    </row>
    <row r="62" ht="15" customHeight="1">
      <c r="A62" t="inlineStr">
        <is>
          <t>A 28587-2024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46320</v>
      </c>
      <c r="F62" t="inlineStr">
        <is>
          <t>GÄVLEBORGS LÄN</t>
        </is>
      </c>
      <c r="G62" t="inlineStr">
        <is>
          <t>NORDANSTIG</t>
        </is>
      </c>
      <c r="I62" t="n">
        <v>26.3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HYPERLINK("https://klasma.github.io/Logging_2132/artfynd/A 28587-2024 artfynd.xlsx", "A 28587-2024")</f>
        <v/>
      </c>
      <c r="X62">
        <f>HYPERLINK("https://klasma.github.io/Logging_2132/kartor/A 28587-2024 karta.png", "A 28587-2024")</f>
        <v/>
      </c>
      <c r="Y62">
        <f>HYPERLINK("https://klasma.github.io/Logging_2132/kartor_geotiff/A 28587-2024 georefererad karta.tif", "A 28587-2024")</f>
        <v/>
      </c>
      <c r="AA62">
        <f>HYPERLINK("https://klasma.github.io/Logging_2132/klagomål/A 28587-2024 FSC-klagomål.docx", "A 28587-2024")</f>
        <v/>
      </c>
      <c r="AB62">
        <f>HYPERLINK("https://klasma.github.io/Logging_2132/klagomålsmail/A 28587-2024 FSC-klagomål mail.docx", "A 28587-2024")</f>
        <v/>
      </c>
      <c r="AC62">
        <f>HYPERLINK("https://klasma.github.io/Logging_2132/tillsyn/A 28587-2024 tillsynsbegäran.docx", "A 28587-2024")</f>
        <v/>
      </c>
      <c r="AD62">
        <f>HYPERLINK("https://klasma.github.io/Logging_2132/tillsynsmail/A 28587-2024 tillsynsbegäran mail.docx", "A 28587-2024")</f>
        <v/>
      </c>
    </row>
    <row r="63" ht="15" customHeight="1">
      <c r="A63" t="inlineStr">
        <is>
          <t>A 18681-2025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46320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HYPERLINK("https://klasma.github.io/Logging_2132/artfynd/A 18681-2025 artfynd.xlsx", "A 18681-2025")</f>
        <v/>
      </c>
      <c r="X63">
        <f>HYPERLINK("https://klasma.github.io/Logging_2132/kartor/A 18681-2025 karta.png", "A 18681-2025")</f>
        <v/>
      </c>
      <c r="Y63">
        <f>HYPERLINK("https://klasma.github.io/Logging_2132/kartor_geotiff/A 18681-2025 georefererad karta.tif", "A 18681-2025")</f>
        <v/>
      </c>
      <c r="AA63">
        <f>HYPERLINK("https://klasma.github.io/Logging_2132/klagomål/A 18681-2025 FSC-klagomål.docx", "A 18681-2025")</f>
        <v/>
      </c>
      <c r="AB63">
        <f>HYPERLINK("https://klasma.github.io/Logging_2132/klagomålsmail/A 18681-2025 FSC-klagomål mail.docx", "A 18681-2025")</f>
        <v/>
      </c>
      <c r="AC63">
        <f>HYPERLINK("https://klasma.github.io/Logging_2132/tillsyn/A 18681-2025 tillsynsbegäran.docx", "A 18681-2025")</f>
        <v/>
      </c>
      <c r="AD63">
        <f>HYPERLINK("https://klasma.github.io/Logging_2132/tillsynsmail/A 18681-2025 tillsynsbegäran mail.docx", "A 18681-2025")</f>
        <v/>
      </c>
    </row>
    <row r="64" ht="15" customHeight="1">
      <c r="A64" t="inlineStr">
        <is>
          <t>A 23333-2025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46320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Spillkråka</t>
        </is>
      </c>
      <c r="W64">
        <f>HYPERLINK("https://klasma.github.io/Logging_2132/artfynd/A 23333-2025 artfynd.xlsx", "A 23333-2025")</f>
        <v/>
      </c>
      <c r="X64">
        <f>HYPERLINK("https://klasma.github.io/Logging_2132/kartor/A 23333-2025 karta.png", "A 23333-2025")</f>
        <v/>
      </c>
      <c r="Y64">
        <f>HYPERLINK("https://klasma.github.io/Logging_2132/kartor_geotiff/A 23333-2025 georefererad karta.tif", "A 23333-2025")</f>
        <v/>
      </c>
      <c r="AA64">
        <f>HYPERLINK("https://klasma.github.io/Logging_2132/klagomål/A 23333-2025 FSC-klagomål.docx", "A 23333-2025")</f>
        <v/>
      </c>
      <c r="AB64">
        <f>HYPERLINK("https://klasma.github.io/Logging_2132/klagomålsmail/A 23333-2025 FSC-klagomål mail.docx", "A 23333-2025")</f>
        <v/>
      </c>
      <c r="AC64">
        <f>HYPERLINK("https://klasma.github.io/Logging_2132/tillsyn/A 23333-2025 tillsynsbegäran.docx", "A 23333-2025")</f>
        <v/>
      </c>
      <c r="AD64">
        <f>HYPERLINK("https://klasma.github.io/Logging_2132/tillsynsmail/A 23333-2025 tillsynsbegäran mail.docx", "A 23333-2025")</f>
        <v/>
      </c>
      <c r="AE64">
        <f>HYPERLINK("https://klasma.github.io/Logging_2132/fåglar/A 23333-2025 prioriterade fågelarter.docx", "A 23333-2025")</f>
        <v/>
      </c>
    </row>
    <row r="65" ht="15" customHeight="1">
      <c r="A65" t="inlineStr">
        <is>
          <t>A 2878-2026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46038</v>
      </c>
      <c r="E65" s="1" t="n">
        <v>46320</v>
      </c>
      <c r="F65" t="inlineStr">
        <is>
          <t>GÄVLEBORGS LÄN</t>
        </is>
      </c>
      <c r="G65" t="inlineStr">
        <is>
          <t>NORDANSTIG</t>
        </is>
      </c>
      <c r="I65" t="n">
        <v>3.4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HYPERLINK("https://klasma.github.io/Logging_2132/artfynd/A 2878-2026 artfynd.xlsx", "A 2878-2026")</f>
        <v/>
      </c>
      <c r="X65">
        <f>HYPERLINK("https://klasma.github.io/Logging_2132/kartor/A 2878-2026 karta.png", "A 2878-2026")</f>
        <v/>
      </c>
      <c r="Y65">
        <f>HYPERLINK("https://klasma.github.io/Logging_2132/kartor_geotiff/A 2878-2026 georefererad karta.tif", "A 2878-2026")</f>
        <v/>
      </c>
      <c r="AA65">
        <f>HYPERLINK("https://klasma.github.io/Logging_2132/klagomål/A 2878-2026 FSC-klagomål.docx", "A 2878-2026")</f>
        <v/>
      </c>
      <c r="AB65">
        <f>HYPERLINK("https://klasma.github.io/Logging_2132/klagomålsmail/A 2878-2026 FSC-klagomål mail.docx", "A 2878-2026")</f>
        <v/>
      </c>
      <c r="AC65">
        <f>HYPERLINK("https://klasma.github.io/Logging_2132/tillsyn/A 2878-2026 tillsynsbegäran.docx", "A 2878-2026")</f>
        <v/>
      </c>
      <c r="AD65">
        <f>HYPERLINK("https://klasma.github.io/Logging_2132/tillsynsmail/A 2878-2026 tillsynsbegäran mail.docx", "A 2878-2026")</f>
        <v/>
      </c>
      <c r="AE65">
        <f>HYPERLINK("https://klasma.github.io/Logging_2132/fåglar/A 2878-2026 prioriterade fågelarter.docx", "A 2878-2026")</f>
        <v/>
      </c>
    </row>
    <row r="66" ht="15" customHeight="1">
      <c r="A66" t="inlineStr">
        <is>
          <t>A 24758-2025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46320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23.2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HYPERLINK("https://klasma.github.io/Logging_2132/artfynd/A 24758-2025 artfynd.xlsx", "A 24758-2025")</f>
        <v/>
      </c>
      <c r="X66">
        <f>HYPERLINK("https://klasma.github.io/Logging_2132/kartor/A 24758-2025 karta.png", "A 24758-2025")</f>
        <v/>
      </c>
      <c r="Y66">
        <f>HYPERLINK("https://klasma.github.io/Logging_2132/kartor_geotiff/A 24758-2025 georefererad karta.tif", "A 24758-2025")</f>
        <v/>
      </c>
      <c r="Z66">
        <f>HYPERLINK("https://klasma.github.io/Logging_2132/knärot/A 24758-2025 karta knärot.png", "A 24758-2025")</f>
        <v/>
      </c>
      <c r="AA66">
        <f>HYPERLINK("https://klasma.github.io/Logging_2132/klagomål/A 24758-2025 FSC-klagomål.docx", "A 24758-2025")</f>
        <v/>
      </c>
      <c r="AB66">
        <f>HYPERLINK("https://klasma.github.io/Logging_2132/klagomålsmail/A 24758-2025 FSC-klagomål mail.docx", "A 24758-2025")</f>
        <v/>
      </c>
      <c r="AC66">
        <f>HYPERLINK("https://klasma.github.io/Logging_2132/tillsyn/A 24758-2025 tillsynsbegäran.docx", "A 24758-2025")</f>
        <v/>
      </c>
      <c r="AD66">
        <f>HYPERLINK("https://klasma.github.io/Logging_2132/tillsynsmail/A 24758-2025 tillsynsbegäran mail.docx", "A 24758-2025")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46320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16515-2023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45029</v>
      </c>
      <c r="E68" s="1" t="n">
        <v>46320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HYPERLINK("https://klasma.github.io/Logging_2132/artfynd/A 16515-2023 artfynd.xlsx", "A 16515-2023")</f>
        <v/>
      </c>
      <c r="X68">
        <f>HYPERLINK("https://klasma.github.io/Logging_2132/kartor/A 16515-2023 karta.png", "A 16515-2023")</f>
        <v/>
      </c>
      <c r="Y68">
        <f>HYPERLINK("https://klasma.github.io/Logging_2132/kartor_geotiff/A 16515-2023 georefererad karta.tif", "A 16515-2023")</f>
        <v/>
      </c>
      <c r="AA68">
        <f>HYPERLINK("https://klasma.github.io/Logging_2132/klagomål/A 16515-2023 FSC-klagomål.docx", "A 16515-2023")</f>
        <v/>
      </c>
      <c r="AB68">
        <f>HYPERLINK("https://klasma.github.io/Logging_2132/klagomålsmail/A 16515-2023 FSC-klagomål mail.docx", "A 16515-2023")</f>
        <v/>
      </c>
      <c r="AC68">
        <f>HYPERLINK("https://klasma.github.io/Logging_2132/tillsyn/A 16515-2023 tillsynsbegäran.docx", "A 16515-2023")</f>
        <v/>
      </c>
      <c r="AD68">
        <f>HYPERLINK("https://klasma.github.io/Logging_2132/tillsynsmail/A 16515-2023 tillsynsbegäran mail.docx", "A 16515-2023")</f>
        <v/>
      </c>
    </row>
    <row r="69" ht="15" customHeight="1">
      <c r="A69" t="inlineStr">
        <is>
          <t>A 3755-2023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46320</v>
      </c>
      <c r="F69" t="inlineStr">
        <is>
          <t>GÄVLEBORGS LÄN</t>
        </is>
      </c>
      <c r="G69" t="inlineStr">
        <is>
          <t>NORDANSTIG</t>
        </is>
      </c>
      <c r="I69" t="n">
        <v>8.199999999999999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Bredgentiana</t>
        </is>
      </c>
      <c r="W69">
        <f>HYPERLINK("https://klasma.github.io/Logging_2132/artfynd/A 3755-2023 artfynd.xlsx", "A 3755-2023")</f>
        <v/>
      </c>
      <c r="X69">
        <f>HYPERLINK("https://klasma.github.io/Logging_2132/kartor/A 3755-2023 karta.png", "A 3755-2023")</f>
        <v/>
      </c>
      <c r="Y69">
        <f>HYPERLINK("https://klasma.github.io/Logging_2132/kartor_geotiff/A 3755-2023 georefererad karta.tif", "A 3755-2023")</f>
        <v/>
      </c>
      <c r="AA69">
        <f>HYPERLINK("https://klasma.github.io/Logging_2132/klagomål/A 3755-2023 FSC-klagomål.docx", "A 3755-2023")</f>
        <v/>
      </c>
      <c r="AB69">
        <f>HYPERLINK("https://klasma.github.io/Logging_2132/klagomålsmail/A 3755-2023 FSC-klagomål mail.docx", "A 3755-2023")</f>
        <v/>
      </c>
      <c r="AC69">
        <f>HYPERLINK("https://klasma.github.io/Logging_2132/tillsyn/A 3755-2023 tillsynsbegäran.docx", "A 3755-2023")</f>
        <v/>
      </c>
      <c r="AD69">
        <f>HYPERLINK("https://klasma.github.io/Logging_2132/tillsynsmail/A 3755-2023 tillsynsbegäran mail.docx", "A 3755-2023")</f>
        <v/>
      </c>
    </row>
    <row r="70" ht="15" customHeight="1">
      <c r="A70" t="inlineStr">
        <is>
          <t>A 16809-2022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44673</v>
      </c>
      <c r="E70" s="1" t="n">
        <v>46320</v>
      </c>
      <c r="F70" t="inlineStr">
        <is>
          <t>GÄVLEBORGS LÄN</t>
        </is>
      </c>
      <c r="G70" t="inlineStr">
        <is>
          <t>NORDANSTIG</t>
        </is>
      </c>
      <c r="I70" t="n">
        <v>4.4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Garnlav</t>
        </is>
      </c>
      <c r="W70">
        <f>HYPERLINK("https://klasma.github.io/Logging_2132/artfynd/A 16809-2022 artfynd.xlsx", "A 16809-2022")</f>
        <v/>
      </c>
      <c r="X70">
        <f>HYPERLINK("https://klasma.github.io/Logging_2132/kartor/A 16809-2022 karta.png", "A 16809-2022")</f>
        <v/>
      </c>
      <c r="Y70">
        <f>HYPERLINK("https://klasma.github.io/Logging_2132/kartor_geotiff/A 16809-2022 georefererad karta.tif", "A 16809-2022")</f>
        <v/>
      </c>
      <c r="AA70">
        <f>HYPERLINK("https://klasma.github.io/Logging_2132/klagomål/A 16809-2022 FSC-klagomål.docx", "A 16809-2022")</f>
        <v/>
      </c>
      <c r="AB70">
        <f>HYPERLINK("https://klasma.github.io/Logging_2132/klagomålsmail/A 16809-2022 FSC-klagomål mail.docx", "A 16809-2022")</f>
        <v/>
      </c>
      <c r="AC70">
        <f>HYPERLINK("https://klasma.github.io/Logging_2132/tillsyn/A 16809-2022 tillsynsbegäran.docx", "A 16809-2022")</f>
        <v/>
      </c>
      <c r="AD70">
        <f>HYPERLINK("https://klasma.github.io/Logging_2132/tillsynsmail/A 16809-2022 tillsynsbegäran mail.docx", "A 16809-2022")</f>
        <v/>
      </c>
    </row>
    <row r="71" ht="15" customHeight="1">
      <c r="A71" t="inlineStr">
        <is>
          <t>A 22041-2022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46320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Svavelriska</t>
        </is>
      </c>
      <c r="W71">
        <f>HYPERLINK("https://klasma.github.io/Logging_2132/artfynd/A 22041-2022 artfynd.xlsx", "A 22041-2022")</f>
        <v/>
      </c>
      <c r="X71">
        <f>HYPERLINK("https://klasma.github.io/Logging_2132/kartor/A 22041-2022 karta.png", "A 22041-2022")</f>
        <v/>
      </c>
      <c r="Y71">
        <f>HYPERLINK("https://klasma.github.io/Logging_2132/kartor_geotiff/A 22041-2022 georefererad karta.tif", "A 22041-2022")</f>
        <v/>
      </c>
      <c r="AA71">
        <f>HYPERLINK("https://klasma.github.io/Logging_2132/klagomål/A 22041-2022 FSC-klagomål.docx", "A 22041-2022")</f>
        <v/>
      </c>
      <c r="AB71">
        <f>HYPERLINK("https://klasma.github.io/Logging_2132/klagomålsmail/A 22041-2022 FSC-klagomål mail.docx", "A 22041-2022")</f>
        <v/>
      </c>
      <c r="AC71">
        <f>HYPERLINK("https://klasma.github.io/Logging_2132/tillsyn/A 22041-2022 tillsynsbegäran.docx", "A 22041-2022")</f>
        <v/>
      </c>
      <c r="AD71">
        <f>HYPERLINK("https://klasma.github.io/Logging_2132/tillsynsmail/A 22041-2022 tillsynsbegäran mail.docx", "A 22041-2022")</f>
        <v/>
      </c>
    </row>
    <row r="72" ht="15" customHeight="1">
      <c r="A72" t="inlineStr">
        <is>
          <t>A 20441-2023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45056</v>
      </c>
      <c r="E72" s="1" t="n">
        <v>46320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Orre</t>
        </is>
      </c>
      <c r="W72">
        <f>HYPERLINK("https://klasma.github.io/Logging_2132/artfynd/A 20441-2023 artfynd.xlsx", "A 20441-2023")</f>
        <v/>
      </c>
      <c r="X72">
        <f>HYPERLINK("https://klasma.github.io/Logging_2132/kartor/A 20441-2023 karta.png", "A 20441-2023")</f>
        <v/>
      </c>
      <c r="Y72">
        <f>HYPERLINK("https://klasma.github.io/Logging_2132/kartor_geotiff/A 20441-2023 georefererad karta.tif", "A 20441-2023")</f>
        <v/>
      </c>
      <c r="AA72">
        <f>HYPERLINK("https://klasma.github.io/Logging_2132/klagomål/A 20441-2023 FSC-klagomål.docx", "A 20441-2023")</f>
        <v/>
      </c>
      <c r="AB72">
        <f>HYPERLINK("https://klasma.github.io/Logging_2132/klagomålsmail/A 20441-2023 FSC-klagomål mail.docx", "A 20441-2023")</f>
        <v/>
      </c>
      <c r="AC72">
        <f>HYPERLINK("https://klasma.github.io/Logging_2132/tillsyn/A 20441-2023 tillsynsbegäran.docx", "A 20441-2023")</f>
        <v/>
      </c>
      <c r="AD72">
        <f>HYPERLINK("https://klasma.github.io/Logging_2132/tillsynsmail/A 20441-2023 tillsynsbegäran mail.docx", "A 20441-2023")</f>
        <v/>
      </c>
      <c r="AE72">
        <f>HYPERLINK("https://klasma.github.io/Logging_2132/fåglar/A 20441-2023 prioriterade fågelarter.docx", "A 20441-2023")</f>
        <v/>
      </c>
    </row>
    <row r="73" ht="15" customHeight="1">
      <c r="A73" t="inlineStr">
        <is>
          <t>A 20566-2025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46320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HYPERLINK("https://klasma.github.io/Logging_2132/artfynd/A 20566-2025 artfynd.xlsx", "A 20566-2025")</f>
        <v/>
      </c>
      <c r="X73">
        <f>HYPERLINK("https://klasma.github.io/Logging_2132/kartor/A 20566-2025 karta.png", "A 20566-2025")</f>
        <v/>
      </c>
      <c r="Y73">
        <f>HYPERLINK("https://klasma.github.io/Logging_2132/kartor_geotiff/A 20566-2025 georefererad karta.tif", "A 20566-2025")</f>
        <v/>
      </c>
      <c r="AA73">
        <f>HYPERLINK("https://klasma.github.io/Logging_2132/klagomål/A 20566-2025 FSC-klagomål.docx", "A 20566-2025")</f>
        <v/>
      </c>
      <c r="AB73">
        <f>HYPERLINK("https://klasma.github.io/Logging_2132/klagomålsmail/A 20566-2025 FSC-klagomål mail.docx", "A 20566-2025")</f>
        <v/>
      </c>
      <c r="AC73">
        <f>HYPERLINK("https://klasma.github.io/Logging_2132/tillsyn/A 20566-2025 tillsynsbegäran.docx", "A 20566-2025")</f>
        <v/>
      </c>
      <c r="AD73">
        <f>HYPERLINK("https://klasma.github.io/Logging_2132/tillsynsmail/A 20566-2025 tillsynsbegäran mail.docx", "A 20566-2025")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46320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6109-2023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44964</v>
      </c>
      <c r="E75" s="1" t="n">
        <v>46320</v>
      </c>
      <c r="F75" t="inlineStr">
        <is>
          <t>GÄVLEBORGS LÄN</t>
        </is>
      </c>
      <c r="G75" t="inlineStr">
        <is>
          <t>NORDANSTIG</t>
        </is>
      </c>
      <c r="I75" t="n">
        <v>0.1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Mattlummer</t>
        </is>
      </c>
      <c r="W75">
        <f>HYPERLINK("https://klasma.github.io/Logging_2132/artfynd/A 6109-2023 artfynd.xlsx", "A 6109-2023")</f>
        <v/>
      </c>
      <c r="X75">
        <f>HYPERLINK("https://klasma.github.io/Logging_2132/kartor/A 6109-2023 karta.png", "A 6109-2023")</f>
        <v/>
      </c>
      <c r="Y75">
        <f>HYPERLINK("https://klasma.github.io/Logging_2132/kartor_geotiff/A 6109-2023 georefererad karta.tif", "A 6109-2023")</f>
        <v/>
      </c>
      <c r="AA75">
        <f>HYPERLINK("https://klasma.github.io/Logging_2132/klagomål/A 6109-2023 FSC-klagomål.docx", "A 6109-2023")</f>
        <v/>
      </c>
      <c r="AB75">
        <f>HYPERLINK("https://klasma.github.io/Logging_2132/klagomålsmail/A 6109-2023 FSC-klagomål mail.docx", "A 6109-2023")</f>
        <v/>
      </c>
      <c r="AC75">
        <f>HYPERLINK("https://klasma.github.io/Logging_2132/tillsyn/A 6109-2023 tillsynsbegäran.docx", "A 6109-2023")</f>
        <v/>
      </c>
      <c r="AD75">
        <f>HYPERLINK("https://klasma.github.io/Logging_2132/tillsynsmail/A 6109-2023 tillsynsbegäran mail.docx", "A 6109-2023")</f>
        <v/>
      </c>
    </row>
    <row r="76" ht="15" customHeight="1">
      <c r="A76" t="inlineStr">
        <is>
          <t>A 57806-2024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45631</v>
      </c>
      <c r="E76" s="1" t="n">
        <v>46320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HYPERLINK("https://klasma.github.io/Logging_2132/artfynd/A 57806-2024 artfynd.xlsx", "A 57806-2024")</f>
        <v/>
      </c>
      <c r="X76">
        <f>HYPERLINK("https://klasma.github.io/Logging_2132/kartor/A 57806-2024 karta.png", "A 57806-2024")</f>
        <v/>
      </c>
      <c r="Y76">
        <f>HYPERLINK("https://klasma.github.io/Logging_2132/kartor_geotiff/A 57806-2024 georefererad karta.tif", "A 57806-2024")</f>
        <v/>
      </c>
      <c r="Z76">
        <f>HYPERLINK("https://klasma.github.io/Logging_2132/knärot/A 57806-2024 karta knärot.png", "A 57806-2024")</f>
        <v/>
      </c>
      <c r="AA76">
        <f>HYPERLINK("https://klasma.github.io/Logging_2132/klagomål/A 57806-2024 FSC-klagomål.docx", "A 57806-2024")</f>
        <v/>
      </c>
      <c r="AB76">
        <f>HYPERLINK("https://klasma.github.io/Logging_2132/klagomålsmail/A 57806-2024 FSC-klagomål mail.docx", "A 57806-2024")</f>
        <v/>
      </c>
      <c r="AC76">
        <f>HYPERLINK("https://klasma.github.io/Logging_2132/tillsyn/A 57806-2024 tillsynsbegäran.docx", "A 57806-2024")</f>
        <v/>
      </c>
      <c r="AD76">
        <f>HYPERLINK("https://klasma.github.io/Logging_2132/tillsynsmail/A 57806-2024 tillsynsbegäran mail.docx", "A 57806-2024")</f>
        <v/>
      </c>
    </row>
    <row r="77" ht="15" customHeight="1">
      <c r="A77" t="inlineStr">
        <is>
          <t>A 3692-2022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44586</v>
      </c>
      <c r="E77" s="1" t="n">
        <v>46320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HYPERLINK("https://klasma.github.io/Logging_2132/artfynd/A 3692-2022 artfynd.xlsx", "A 3692-2022")</f>
        <v/>
      </c>
      <c r="X77">
        <f>HYPERLINK("https://klasma.github.io/Logging_2132/kartor/A 3692-2022 karta.png", "A 3692-2022")</f>
        <v/>
      </c>
      <c r="Y77">
        <f>HYPERLINK("https://klasma.github.io/Logging_2132/kartor_geotiff/A 3692-2022 georefererad karta.tif", "A 3692-2022")</f>
        <v/>
      </c>
      <c r="AA77">
        <f>HYPERLINK("https://klasma.github.io/Logging_2132/klagomål/A 3692-2022 FSC-klagomål.docx", "A 3692-2022")</f>
        <v/>
      </c>
      <c r="AB77">
        <f>HYPERLINK("https://klasma.github.io/Logging_2132/klagomålsmail/A 3692-2022 FSC-klagomål mail.docx", "A 3692-2022")</f>
        <v/>
      </c>
      <c r="AC77">
        <f>HYPERLINK("https://klasma.github.io/Logging_2132/tillsyn/A 3692-2022 tillsynsbegäran.docx", "A 3692-2022")</f>
        <v/>
      </c>
      <c r="AD77">
        <f>HYPERLINK("https://klasma.github.io/Logging_2132/tillsynsmail/A 3692-2022 tillsynsbegäran mail.docx", "A 3692-2022")</f>
        <v/>
      </c>
    </row>
    <row r="78" ht="15" customHeight="1">
      <c r="A78" t="inlineStr">
        <is>
          <t>A 2254-2025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46320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1.3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4</v>
      </c>
      <c r="U78" t="n">
        <v>0</v>
      </c>
      <c r="V78" s="2" t="inlineStr">
        <is>
          <t>Bredgentiana</t>
        </is>
      </c>
      <c r="W78">
        <f>HYPERLINK("https://klasma.github.io/Logging_2132/artfynd/A 2254-2025 artfynd.xlsx", "A 2254-2025")</f>
        <v/>
      </c>
      <c r="X78">
        <f>HYPERLINK("https://klasma.github.io/Logging_2132/kartor/A 2254-2025 karta.png", "A 2254-2025")</f>
        <v/>
      </c>
      <c r="Y78">
        <f>HYPERLINK("https://klasma.github.io/Logging_2132/kartor_geotiff/A 2254-2025 georefererad karta.tif", "A 2254-2025")</f>
        <v/>
      </c>
      <c r="AA78">
        <f>HYPERLINK("https://klasma.github.io/Logging_2132/klagomål/A 2254-2025 FSC-klagomål.docx", "A 2254-2025")</f>
        <v/>
      </c>
      <c r="AB78">
        <f>HYPERLINK("https://klasma.github.io/Logging_2132/klagomålsmail/A 2254-2025 FSC-klagomål mail.docx", "A 2254-2025")</f>
        <v/>
      </c>
      <c r="AC78">
        <f>HYPERLINK("https://klasma.github.io/Logging_2132/tillsyn/A 2254-2025 tillsynsbegäran.docx", "A 2254-2025")</f>
        <v/>
      </c>
      <c r="AD78">
        <f>HYPERLINK("https://klasma.github.io/Logging_2132/tillsynsmail/A 2254-2025 tillsynsbegäran mail.docx", "A 2254-2025")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46320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46320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46320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46320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46320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46320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46320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46320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46320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46320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46320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46320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46320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46320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46320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46320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46320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46320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46320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46320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46320</v>
      </c>
      <c r="F99" t="inlineStr">
        <is>
          <t>GÄVLEBORGS LÄN</t>
        </is>
      </c>
      <c r="G99" t="inlineStr">
        <is>
          <t>NORDANSTIG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46320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46320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46320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46320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46320</v>
      </c>
      <c r="F105" t="inlineStr">
        <is>
          <t>GÄVLEBORGS LÄN</t>
        </is>
      </c>
      <c r="G105" t="inlineStr">
        <is>
          <t>NORDANSTIG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44651</v>
      </c>
      <c r="E106" s="1" t="n">
        <v>46320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46320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46320</v>
      </c>
      <c r="F108" t="inlineStr">
        <is>
          <t>GÄVLEBORGS LÄN</t>
        </is>
      </c>
      <c r="G108" t="inlineStr">
        <is>
          <t>NORDANSTIG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46320</v>
      </c>
      <c r="F109" t="inlineStr">
        <is>
          <t>GÄVLEBORGS LÄN</t>
        </is>
      </c>
      <c r="G109" t="inlineStr">
        <is>
          <t>NORDANSTIG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46320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46320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46320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46320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72435-2021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44545</v>
      </c>
      <c r="E114" s="1" t="n">
        <v>46320</v>
      </c>
      <c r="F114" t="inlineStr">
        <is>
          <t>GÄVLEBORGS LÄN</t>
        </is>
      </c>
      <c r="G114" t="inlineStr">
        <is>
          <t>NORDANSTIG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46320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46320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46320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46320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46320</v>
      </c>
      <c r="F119" t="inlineStr">
        <is>
          <t>GÄVLEBORGS LÄN</t>
        </is>
      </c>
      <c r="G119" t="inlineStr">
        <is>
          <t>NORDANSTIG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46320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46320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46320</v>
      </c>
      <c r="F122" t="inlineStr">
        <is>
          <t>GÄVLEBORGS LÄN</t>
        </is>
      </c>
      <c r="G122" t="inlineStr">
        <is>
          <t>NORDANSTIG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46320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46320</v>
      </c>
      <c r="F124" t="inlineStr">
        <is>
          <t>GÄVLEBORGS LÄN</t>
        </is>
      </c>
      <c r="G124" t="inlineStr">
        <is>
          <t>NORDANSTIG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73725-2021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46320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44728</v>
      </c>
      <c r="E126" s="1" t="n">
        <v>46320</v>
      </c>
      <c r="F126" t="inlineStr">
        <is>
          <t>GÄVLEBORGS LÄN</t>
        </is>
      </c>
      <c r="G126" t="inlineStr">
        <is>
          <t>NORDANSTIG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46320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46320</v>
      </c>
      <c r="F128" t="inlineStr">
        <is>
          <t>GÄVLEBORGS LÄN</t>
        </is>
      </c>
      <c r="G128" t="inlineStr">
        <is>
          <t>NORDANSTIG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46320</v>
      </c>
      <c r="F129" t="inlineStr">
        <is>
          <t>GÄVLEBORGS LÄN</t>
        </is>
      </c>
      <c r="G129" t="inlineStr">
        <is>
          <t>NORDANSTIG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46320</v>
      </c>
      <c r="F130" t="inlineStr">
        <is>
          <t>GÄVLEBORGS LÄN</t>
        </is>
      </c>
      <c r="G130" t="inlineStr">
        <is>
          <t>NORDANSTIG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46320</v>
      </c>
      <c r="F131" t="inlineStr">
        <is>
          <t>GÄVLEBORGS LÄN</t>
        </is>
      </c>
      <c r="G131" t="inlineStr">
        <is>
          <t>NORDANSTIG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46320</v>
      </c>
      <c r="F132" t="inlineStr">
        <is>
          <t>GÄVLEBORGS LÄN</t>
        </is>
      </c>
      <c r="G132" t="inlineStr">
        <is>
          <t>NORDANSTIG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46320</v>
      </c>
      <c r="F133" t="inlineStr">
        <is>
          <t>GÄVLEBORGS LÄN</t>
        </is>
      </c>
      <c r="G133" t="inlineStr">
        <is>
          <t>NORDANSTIG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46320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46320</v>
      </c>
      <c r="F135" t="inlineStr">
        <is>
          <t>GÄVLEBORGS LÄN</t>
        </is>
      </c>
      <c r="G135" t="inlineStr">
        <is>
          <t>NORDANSTIG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46320</v>
      </c>
      <c r="F136" t="inlineStr">
        <is>
          <t>GÄVLEBORGS LÄN</t>
        </is>
      </c>
      <c r="G136" t="inlineStr">
        <is>
          <t>NORDANSTIG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46320</v>
      </c>
      <c r="F137" t="inlineStr">
        <is>
          <t>GÄVLEBORGS LÄN</t>
        </is>
      </c>
      <c r="G137" t="inlineStr">
        <is>
          <t>NORDANSTIG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46320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46320</v>
      </c>
      <c r="F139" t="inlineStr">
        <is>
          <t>GÄVLEBORGS LÄN</t>
        </is>
      </c>
      <c r="G139" t="inlineStr">
        <is>
          <t>NORDANSTIG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46320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46320</v>
      </c>
      <c r="F141" t="inlineStr">
        <is>
          <t>GÄVLEBORGS LÄN</t>
        </is>
      </c>
      <c r="G141" t="inlineStr">
        <is>
          <t>NORDANSTIG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46320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46320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46320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46320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46320</v>
      </c>
      <c r="F146" t="inlineStr">
        <is>
          <t>GÄVLEBORGS LÄN</t>
        </is>
      </c>
      <c r="G146" t="inlineStr">
        <is>
          <t>NORDANSTIG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46320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46320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46320</v>
      </c>
      <c r="F149" t="inlineStr">
        <is>
          <t>GÄVLEBORGS LÄN</t>
        </is>
      </c>
      <c r="G149" t="inlineStr">
        <is>
          <t>NORDANSTIG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46320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46320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45712</v>
      </c>
      <c r="E152" s="1" t="n">
        <v>46320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45324</v>
      </c>
      <c r="E153" s="1" t="n">
        <v>46320</v>
      </c>
      <c r="F153" t="inlineStr">
        <is>
          <t>GÄVLEBORGS LÄN</t>
        </is>
      </c>
      <c r="G153" t="inlineStr">
        <is>
          <t>NORDANSTIG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33559-2022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44789</v>
      </c>
      <c r="E154" s="1" t="n">
        <v>46320</v>
      </c>
      <c r="F154" t="inlineStr">
        <is>
          <t>GÄVLEBORGS LÄN</t>
        </is>
      </c>
      <c r="G154" t="inlineStr">
        <is>
          <t>NORDANSTIG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44765</v>
      </c>
      <c r="E155" s="1" t="n">
        <v>46320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45043</v>
      </c>
      <c r="E156" s="1" t="n">
        <v>46320</v>
      </c>
      <c r="F156" t="inlineStr">
        <is>
          <t>GÄVLEBORGS LÄN</t>
        </is>
      </c>
      <c r="G156" t="inlineStr">
        <is>
          <t>NORDANSTIG</t>
        </is>
      </c>
      <c r="I156" t="n">
        <v>11.3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46320</v>
      </c>
      <c r="F157" t="inlineStr">
        <is>
          <t>GÄVLEBORGS LÄN</t>
        </is>
      </c>
      <c r="G157" t="inlineStr">
        <is>
          <t>NORDANSTIG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46320</v>
      </c>
      <c r="F158" t="inlineStr">
        <is>
          <t>GÄVLEBORGS LÄN</t>
        </is>
      </c>
      <c r="G158" t="inlineStr">
        <is>
          <t>NORDANSTIG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46320</v>
      </c>
      <c r="F159" t="inlineStr">
        <is>
          <t>GÄVLEBORGS LÄN</t>
        </is>
      </c>
      <c r="G159" t="inlineStr">
        <is>
          <t>NORDANSTIG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46320</v>
      </c>
      <c r="F160" t="inlineStr">
        <is>
          <t>GÄVLEBORGS LÄN</t>
        </is>
      </c>
      <c r="G160" t="inlineStr">
        <is>
          <t>NORDANSTIG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46320</v>
      </c>
      <c r="F161" t="inlineStr">
        <is>
          <t>GÄVLEBORGS LÄN</t>
        </is>
      </c>
      <c r="G161" t="inlineStr">
        <is>
          <t>NORDANSTIG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45861</v>
      </c>
      <c r="E162" s="1" t="n">
        <v>46320</v>
      </c>
      <c r="F162" t="inlineStr">
        <is>
          <t>GÄVLEBORGS LÄN</t>
        </is>
      </c>
      <c r="G162" t="inlineStr">
        <is>
          <t>NORDANSTIG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46320</v>
      </c>
      <c r="F163" t="inlineStr">
        <is>
          <t>GÄVLEBORGS LÄN</t>
        </is>
      </c>
      <c r="G163" t="inlineStr">
        <is>
          <t>NORDANSTIG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46320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46320</v>
      </c>
      <c r="F165" t="inlineStr">
        <is>
          <t>GÄVLEBORGS LÄN</t>
        </is>
      </c>
      <c r="G165" t="inlineStr">
        <is>
          <t>NORDANSTIG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46320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46320</v>
      </c>
      <c r="F167" t="inlineStr">
        <is>
          <t>GÄVLEBORGS LÄN</t>
        </is>
      </c>
      <c r="G167" t="inlineStr">
        <is>
          <t>NORDANSTIG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46320</v>
      </c>
      <c r="F168" t="inlineStr">
        <is>
          <t>GÄVLEBORGS LÄN</t>
        </is>
      </c>
      <c r="G168" t="inlineStr">
        <is>
          <t>NORDANSTIG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46320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37563-2025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45880</v>
      </c>
      <c r="E170" s="1" t="n">
        <v>46320</v>
      </c>
      <c r="F170" t="inlineStr">
        <is>
          <t>GÄVLEBORGS LÄN</t>
        </is>
      </c>
      <c r="G170" t="inlineStr">
        <is>
          <t>NORDANSTIG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46320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46320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46320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46320</v>
      </c>
      <c r="F174" t="inlineStr">
        <is>
          <t>GÄVLEBORGS LÄN</t>
        </is>
      </c>
      <c r="G174" t="inlineStr">
        <is>
          <t>NORDANSTIG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38610-2025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45884</v>
      </c>
      <c r="E175" s="1" t="n">
        <v>46320</v>
      </c>
      <c r="F175" t="inlineStr">
        <is>
          <t>GÄVLEBORGS LÄN</t>
        </is>
      </c>
      <c r="G175" t="inlineStr">
        <is>
          <t>NORDANSTIG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46320</v>
      </c>
      <c r="F176" t="inlineStr">
        <is>
          <t>GÄVLEBORGS LÄN</t>
        </is>
      </c>
      <c r="G176" t="inlineStr">
        <is>
          <t>NORDANSTIG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44690</v>
      </c>
      <c r="E177" s="1" t="n">
        <v>46320</v>
      </c>
      <c r="F177" t="inlineStr">
        <is>
          <t>GÄVLEBORGS LÄN</t>
        </is>
      </c>
      <c r="G177" t="inlineStr">
        <is>
          <t>NORDANSTIG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46320</v>
      </c>
      <c r="F178" t="inlineStr">
        <is>
          <t>GÄVLEBORGS LÄN</t>
        </is>
      </c>
      <c r="G178" t="inlineStr">
        <is>
          <t>NORDANSTIG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45382</v>
      </c>
      <c r="E179" s="1" t="n">
        <v>46320</v>
      </c>
      <c r="F179" t="inlineStr">
        <is>
          <t>GÄVLEBORGS LÄN</t>
        </is>
      </c>
      <c r="G179" t="inlineStr">
        <is>
          <t>NORDANSTIG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46320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45422</v>
      </c>
      <c r="E181" s="1" t="n">
        <v>46320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38295-2025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45883</v>
      </c>
      <c r="E182" s="1" t="n">
        <v>46320</v>
      </c>
      <c r="F182" t="inlineStr">
        <is>
          <t>GÄVLEBORGS LÄN</t>
        </is>
      </c>
      <c r="G182" t="inlineStr">
        <is>
          <t>NORDANSTIG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46320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46320</v>
      </c>
      <c r="F184" t="inlineStr">
        <is>
          <t>GÄVLEBORGS LÄN</t>
        </is>
      </c>
      <c r="G184" t="inlineStr">
        <is>
          <t>NORDANSTIG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46320</v>
      </c>
      <c r="F185" t="inlineStr">
        <is>
          <t>GÄVLEBORGS LÄN</t>
        </is>
      </c>
      <c r="G185" t="inlineStr">
        <is>
          <t>NORDANSTIG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46320</v>
      </c>
      <c r="F186" t="inlineStr">
        <is>
          <t>GÄVLEBORGS LÄN</t>
        </is>
      </c>
      <c r="G186" t="inlineStr">
        <is>
          <t>NORDANSTIG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46320</v>
      </c>
      <c r="F187" t="inlineStr">
        <is>
          <t>GÄVLEBORGS LÄN</t>
        </is>
      </c>
      <c r="G187" t="inlineStr">
        <is>
          <t>NORDANSTIG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46320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46320</v>
      </c>
      <c r="F189" t="inlineStr">
        <is>
          <t>GÄVLEBORGS LÄN</t>
        </is>
      </c>
      <c r="G189" t="inlineStr">
        <is>
          <t>NORDANSTIG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42930-2025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46320</v>
      </c>
      <c r="F190" t="inlineStr">
        <is>
          <t>GÄVLEBORGS LÄN</t>
        </is>
      </c>
      <c r="G190" t="inlineStr">
        <is>
          <t>NORDANSTIG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46320</v>
      </c>
      <c r="F191" t="inlineStr">
        <is>
          <t>GÄVLEBORGS LÄN</t>
        </is>
      </c>
      <c r="G191" t="inlineStr">
        <is>
          <t>NORDANSTIG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46320</v>
      </c>
      <c r="F192" t="inlineStr">
        <is>
          <t>GÄVLEBORGS LÄN</t>
        </is>
      </c>
      <c r="G192" t="inlineStr">
        <is>
          <t>NORDANSTIG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46320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46320</v>
      </c>
      <c r="F194" t="inlineStr">
        <is>
          <t>GÄVLEBORGS LÄN</t>
        </is>
      </c>
      <c r="G194" t="inlineStr">
        <is>
          <t>NORDANSTIG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46320</v>
      </c>
      <c r="F195" t="inlineStr">
        <is>
          <t>GÄVLEBORGS LÄN</t>
        </is>
      </c>
      <c r="G195" t="inlineStr">
        <is>
          <t>NORDANSTIG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46320</v>
      </c>
      <c r="F196" t="inlineStr">
        <is>
          <t>GÄVLEBORGS LÄN</t>
        </is>
      </c>
      <c r="G196" t="inlineStr">
        <is>
          <t>NORDANSTIG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46320</v>
      </c>
      <c r="F197" t="inlineStr">
        <is>
          <t>GÄVLEBORGS LÄN</t>
        </is>
      </c>
      <c r="G197" t="inlineStr">
        <is>
          <t>NORDANSTIG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46320</v>
      </c>
      <c r="F198" t="inlineStr">
        <is>
          <t>GÄVLEBORGS LÄN</t>
        </is>
      </c>
      <c r="G198" t="inlineStr">
        <is>
          <t>NORDANSTIG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46320</v>
      </c>
      <c r="F199" t="inlineStr">
        <is>
          <t>GÄVLEBORGS LÄN</t>
        </is>
      </c>
      <c r="G199" t="inlineStr">
        <is>
          <t>NORDANSTIG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46320</v>
      </c>
      <c r="F200" t="inlineStr">
        <is>
          <t>GÄVLEBORGS LÄN</t>
        </is>
      </c>
      <c r="G200" t="inlineStr">
        <is>
          <t>NORDANSTIG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46320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46320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46320</v>
      </c>
      <c r="F203" t="inlineStr">
        <is>
          <t>GÄVLEBORGS LÄN</t>
        </is>
      </c>
      <c r="G203" t="inlineStr">
        <is>
          <t>NORDANSTIG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46320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46320</v>
      </c>
      <c r="F205" t="inlineStr">
        <is>
          <t>GÄVLEBORGS LÄN</t>
        </is>
      </c>
      <c r="G205" t="inlineStr">
        <is>
          <t>NORDANSTIG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46320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46320</v>
      </c>
      <c r="F207" t="inlineStr">
        <is>
          <t>GÄVLEBORGS LÄN</t>
        </is>
      </c>
      <c r="G207" t="inlineStr">
        <is>
          <t>NORDANSTIG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46320</v>
      </c>
      <c r="F208" t="inlineStr">
        <is>
          <t>GÄVLEBORGS LÄN</t>
        </is>
      </c>
      <c r="G208" t="inlineStr">
        <is>
          <t>NORDANSTIG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46320</v>
      </c>
      <c r="F209" t="inlineStr">
        <is>
          <t>GÄVLEBORGS LÄN</t>
        </is>
      </c>
      <c r="G209" t="inlineStr">
        <is>
          <t>NORDANSTIG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46320</v>
      </c>
      <c r="F210" t="inlineStr">
        <is>
          <t>GÄVLEBORGS LÄN</t>
        </is>
      </c>
      <c r="G210" t="inlineStr">
        <is>
          <t>NORDANSTIG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46320</v>
      </c>
      <c r="F211" t="inlineStr">
        <is>
          <t>GÄVLEBORGS LÄN</t>
        </is>
      </c>
      <c r="G211" t="inlineStr">
        <is>
          <t>NORDANSTIG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24178-2026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46168</v>
      </c>
      <c r="E212" s="1" t="n">
        <v>46320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46320</v>
      </c>
      <c r="F213" t="inlineStr">
        <is>
          <t>GÄVLEBORGS LÄN</t>
        </is>
      </c>
      <c r="G213" t="inlineStr">
        <is>
          <t>NORDANSTIG</t>
        </is>
      </c>
      <c r="I213" t="n">
        <v>18.1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46320</v>
      </c>
      <c r="F214" t="inlineStr">
        <is>
          <t>GÄVLEBORGS LÄN</t>
        </is>
      </c>
      <c r="G214" t="inlineStr">
        <is>
          <t>NORDANSTIG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46320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45902-2025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45923</v>
      </c>
      <c r="E216" s="1" t="n">
        <v>46320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46167</v>
      </c>
      <c r="E217" s="1" t="n">
        <v>46320</v>
      </c>
      <c r="F217" t="inlineStr">
        <is>
          <t>GÄVLEBORGS LÄN</t>
        </is>
      </c>
      <c r="G217" t="inlineStr">
        <is>
          <t>NORDANSTIG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46320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46320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46320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46320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46320</v>
      </c>
      <c r="F222" t="inlineStr">
        <is>
          <t>GÄVLEBORGS LÄN</t>
        </is>
      </c>
      <c r="G222" t="inlineStr">
        <is>
          <t>NORDANSTIG</t>
        </is>
      </c>
      <c r="I222" t="n">
        <v>16.7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46320</v>
      </c>
      <c r="F223" t="inlineStr">
        <is>
          <t>GÄVLEBORGS LÄN</t>
        </is>
      </c>
      <c r="G223" t="inlineStr">
        <is>
          <t>NORDANSTIG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46320</v>
      </c>
      <c r="F224" t="inlineStr">
        <is>
          <t>GÄVLEBORGS LÄN</t>
        </is>
      </c>
      <c r="G224" t="inlineStr">
        <is>
          <t>NORDANSTIG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46320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46320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45912</v>
      </c>
      <c r="E227" s="1" t="n">
        <v>46320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46320</v>
      </c>
      <c r="F228" t="inlineStr">
        <is>
          <t>GÄVLEBORGS LÄN</t>
        </is>
      </c>
      <c r="G228" t="inlineStr">
        <is>
          <t>NORDANSTIG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46320</v>
      </c>
      <c r="F229" t="inlineStr">
        <is>
          <t>GÄVLEBORGS LÄN</t>
        </is>
      </c>
      <c r="G229" t="inlineStr">
        <is>
          <t>NORDANSTIG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45001</v>
      </c>
      <c r="E230" s="1" t="n">
        <v>46320</v>
      </c>
      <c r="F230" t="inlineStr">
        <is>
          <t>GÄVLEBORGS LÄN</t>
        </is>
      </c>
      <c r="G230" t="inlineStr">
        <is>
          <t>NORDANSTIG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46320</v>
      </c>
      <c r="F231" t="inlineStr">
        <is>
          <t>GÄVLEBORGS LÄN</t>
        </is>
      </c>
      <c r="G231" t="inlineStr">
        <is>
          <t>NORDANSTIG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46320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46320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46320</v>
      </c>
      <c r="F234" t="inlineStr">
        <is>
          <t>GÄVLEBORGS LÄN</t>
        </is>
      </c>
      <c r="G234" t="inlineStr">
        <is>
          <t>NORDANSTIG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46320</v>
      </c>
      <c r="F235" t="inlineStr">
        <is>
          <t>GÄVLEBORGS LÄN</t>
        </is>
      </c>
      <c r="G235" t="inlineStr">
        <is>
          <t>NORDANSTIG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46320</v>
      </c>
      <c r="F236" t="inlineStr">
        <is>
          <t>GÄVLEBORGS LÄN</t>
        </is>
      </c>
      <c r="G236" t="inlineStr">
        <is>
          <t>NORDANSTIG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46320</v>
      </c>
      <c r="F237" t="inlineStr">
        <is>
          <t>GÄVLEBORGS LÄN</t>
        </is>
      </c>
      <c r="G237" t="inlineStr">
        <is>
          <t>NORDANSTIG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46320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46320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46320</v>
      </c>
      <c r="F240" t="inlineStr">
        <is>
          <t>GÄVLEBORGS LÄN</t>
        </is>
      </c>
      <c r="G240" t="inlineStr">
        <is>
          <t>NORDANSTIG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46320</v>
      </c>
      <c r="F241" t="inlineStr">
        <is>
          <t>GÄVLEBORGS LÄN</t>
        </is>
      </c>
      <c r="G241" t="inlineStr">
        <is>
          <t>NORDANSTIG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46320</v>
      </c>
      <c r="F242" t="inlineStr">
        <is>
          <t>GÄVLEBORGS LÄN</t>
        </is>
      </c>
      <c r="G242" t="inlineStr">
        <is>
          <t>NORDANSTIG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45434</v>
      </c>
      <c r="E243" s="1" t="n">
        <v>46320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46320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46320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46320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46320</v>
      </c>
      <c r="F247" t="inlineStr">
        <is>
          <t>GÄVLEBORGS LÄN</t>
        </is>
      </c>
      <c r="G247" t="inlineStr">
        <is>
          <t>NORDANSTIG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46320</v>
      </c>
      <c r="F248" t="inlineStr">
        <is>
          <t>GÄVLEBORGS LÄN</t>
        </is>
      </c>
      <c r="G248" t="inlineStr">
        <is>
          <t>NORDANSTIG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46320</v>
      </c>
      <c r="F249" t="inlineStr">
        <is>
          <t>GÄVLEBORGS LÄN</t>
        </is>
      </c>
      <c r="G249" t="inlineStr">
        <is>
          <t>NORDANSTIG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46320</v>
      </c>
      <c r="F250" t="inlineStr">
        <is>
          <t>GÄVLEBORGS LÄN</t>
        </is>
      </c>
      <c r="G250" t="inlineStr">
        <is>
          <t>NORDANSTIG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46320</v>
      </c>
      <c r="F251" t="inlineStr">
        <is>
          <t>GÄVLEBORGS LÄN</t>
        </is>
      </c>
      <c r="G251" t="inlineStr">
        <is>
          <t>NORDANSTIG</t>
        </is>
      </c>
      <c r="H251" t="inlineStr">
        <is>
          <t>SCA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46320</v>
      </c>
      <c r="F252" t="inlineStr">
        <is>
          <t>GÄVLEBORGS LÄN</t>
        </is>
      </c>
      <c r="G252" t="inlineStr">
        <is>
          <t>NORDANSTIG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46320</v>
      </c>
      <c r="F253" t="inlineStr">
        <is>
          <t>GÄVLEBORGS LÄN</t>
        </is>
      </c>
      <c r="G253" t="inlineStr">
        <is>
          <t>NORDANSTIG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45497</v>
      </c>
      <c r="E254" s="1" t="n">
        <v>46320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46320</v>
      </c>
      <c r="F255" t="inlineStr">
        <is>
          <t>GÄVLEBORGS LÄN</t>
        </is>
      </c>
      <c r="G255" t="inlineStr">
        <is>
          <t>NORDANSTIG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46320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46320</v>
      </c>
      <c r="F257" t="inlineStr">
        <is>
          <t>GÄVLEBORGS LÄN</t>
        </is>
      </c>
      <c r="G257" t="inlineStr">
        <is>
          <t>NORDANSTIG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46320</v>
      </c>
      <c r="F258" t="inlineStr">
        <is>
          <t>GÄVLEBORGS LÄN</t>
        </is>
      </c>
      <c r="G258" t="inlineStr">
        <is>
          <t>NORDANSTIG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46320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46320</v>
      </c>
      <c r="F260" t="inlineStr">
        <is>
          <t>GÄVLEBORGS LÄN</t>
        </is>
      </c>
      <c r="G260" t="inlineStr">
        <is>
          <t>NORDANSTIG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46320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46320</v>
      </c>
      <c r="F262" t="inlineStr">
        <is>
          <t>GÄVLEBORGS LÄN</t>
        </is>
      </c>
      <c r="G262" t="inlineStr">
        <is>
          <t>NORDANSTIG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46320</v>
      </c>
      <c r="F263" t="inlineStr">
        <is>
          <t>GÄVLEBORGS LÄN</t>
        </is>
      </c>
      <c r="G263" t="inlineStr">
        <is>
          <t>NORDANSTIG</t>
        </is>
      </c>
      <c r="H263" t="inlineStr">
        <is>
          <t>SCA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46320</v>
      </c>
      <c r="F264" t="inlineStr">
        <is>
          <t>GÄVLEBORGS LÄN</t>
        </is>
      </c>
      <c r="G264" t="inlineStr">
        <is>
          <t>NORDANSTIG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46320</v>
      </c>
      <c r="F265" t="inlineStr">
        <is>
          <t>GÄVLEBORGS LÄN</t>
        </is>
      </c>
      <c r="G265" t="inlineStr">
        <is>
          <t>NORDANSTIG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46320</v>
      </c>
      <c r="F266" t="inlineStr">
        <is>
          <t>GÄVLEBORGS LÄN</t>
        </is>
      </c>
      <c r="G266" t="inlineStr">
        <is>
          <t>NORDANSTIG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44844</v>
      </c>
      <c r="E267" s="1" t="n">
        <v>46320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46320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19231-2024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45428</v>
      </c>
      <c r="E269" s="1" t="n">
        <v>46320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45426</v>
      </c>
      <c r="E270" s="1" t="n">
        <v>46320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46320</v>
      </c>
      <c r="F271" t="inlineStr">
        <is>
          <t>GÄVLEBORGS LÄN</t>
        </is>
      </c>
      <c r="G271" t="inlineStr">
        <is>
          <t>NORDANSTIG</t>
        </is>
      </c>
      <c r="H271" t="inlineStr">
        <is>
          <t>SCA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46320</v>
      </c>
      <c r="F272" t="inlineStr">
        <is>
          <t>GÄVLEBORGS LÄN</t>
        </is>
      </c>
      <c r="G272" t="inlineStr">
        <is>
          <t>NORDANSTIG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46320</v>
      </c>
      <c r="F273" t="inlineStr">
        <is>
          <t>GÄVLEBORGS LÄN</t>
        </is>
      </c>
      <c r="G273" t="inlineStr">
        <is>
          <t>NORDANSTIG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46320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46320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46320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46320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45566</v>
      </c>
      <c r="E278" s="1" t="n">
        <v>46320</v>
      </c>
      <c r="F278" t="inlineStr">
        <is>
          <t>GÄVLEBORGS LÄN</t>
        </is>
      </c>
      <c r="G278" t="inlineStr">
        <is>
          <t>NORDANSTIG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46320</v>
      </c>
      <c r="F279" t="inlineStr">
        <is>
          <t>GÄVLEBORGS LÄN</t>
        </is>
      </c>
      <c r="G279" t="inlineStr">
        <is>
          <t>NORDANSTIG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46320</v>
      </c>
      <c r="F280" t="inlineStr">
        <is>
          <t>GÄVLEBORGS LÄN</t>
        </is>
      </c>
      <c r="G280" t="inlineStr">
        <is>
          <t>NORDANSTIG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46320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46320</v>
      </c>
      <c r="F282" t="inlineStr">
        <is>
          <t>GÄVLEBORGS LÄN</t>
        </is>
      </c>
      <c r="G282" t="inlineStr">
        <is>
          <t>NORDANSTIG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46320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46320</v>
      </c>
      <c r="F284" t="inlineStr">
        <is>
          <t>GÄVLEBORGS LÄN</t>
        </is>
      </c>
      <c r="G284" t="inlineStr">
        <is>
          <t>NORDANSTIG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45763</v>
      </c>
      <c r="E285" s="1" t="n">
        <v>46320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46320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46320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46320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46320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46320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46320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46320</v>
      </c>
      <c r="F292" t="inlineStr">
        <is>
          <t>GÄVLEBORGS LÄN</t>
        </is>
      </c>
      <c r="G292" t="inlineStr">
        <is>
          <t>NORDANSTIG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45950</v>
      </c>
      <c r="E293" s="1" t="n">
        <v>46320</v>
      </c>
      <c r="F293" t="inlineStr">
        <is>
          <t>GÄVLEBORGS LÄN</t>
        </is>
      </c>
      <c r="G293" t="inlineStr">
        <is>
          <t>NORDANSTIG</t>
        </is>
      </c>
      <c r="I293" t="n">
        <v>30.9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51464-2025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45950</v>
      </c>
      <c r="E294" s="1" t="n">
        <v>46320</v>
      </c>
      <c r="F294" t="inlineStr">
        <is>
          <t>GÄVLEBORGS LÄN</t>
        </is>
      </c>
      <c r="G294" t="inlineStr">
        <is>
          <t>NORDANSTIG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46320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46320</v>
      </c>
      <c r="F296" t="inlineStr">
        <is>
          <t>GÄVLEBORGS LÄN</t>
        </is>
      </c>
      <c r="G296" t="inlineStr">
        <is>
          <t>NORDANSTIG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46320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46320</v>
      </c>
      <c r="F298" t="inlineStr">
        <is>
          <t>GÄVLEBORGS LÄN</t>
        </is>
      </c>
      <c r="G298" t="inlineStr">
        <is>
          <t>NORDANSTIG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46320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45303</v>
      </c>
      <c r="E300" s="1" t="n">
        <v>46320</v>
      </c>
      <c r="F300" t="inlineStr">
        <is>
          <t>GÄVLEBORGS LÄN</t>
        </is>
      </c>
      <c r="G300" t="inlineStr">
        <is>
          <t>NORDANSTIG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46179</v>
      </c>
      <c r="E301" s="1" t="n">
        <v>46320</v>
      </c>
      <c r="F301" t="inlineStr">
        <is>
          <t>GÄVLEBORGS LÄN</t>
        </is>
      </c>
      <c r="G301" t="inlineStr">
        <is>
          <t>NORDANSTIG</t>
        </is>
      </c>
      <c r="I301" t="n">
        <v>8.4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46320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46320</v>
      </c>
      <c r="F303" t="inlineStr">
        <is>
          <t>GÄVLEBORGS LÄN</t>
        </is>
      </c>
      <c r="G303" t="inlineStr">
        <is>
          <t>NORDANSTIG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45667</v>
      </c>
      <c r="E304" s="1" t="n">
        <v>46320</v>
      </c>
      <c r="F304" t="inlineStr">
        <is>
          <t>GÄVLEBORGS LÄN</t>
        </is>
      </c>
      <c r="G304" t="inlineStr">
        <is>
          <t>NORDANSTIG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46320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45670</v>
      </c>
      <c r="E306" s="1" t="n">
        <v>46320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46320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45621</v>
      </c>
      <c r="E308" s="1" t="n">
        <v>46320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46320</v>
      </c>
      <c r="F309" t="inlineStr">
        <is>
          <t>GÄVLEBORGS LÄN</t>
        </is>
      </c>
      <c r="G309" t="inlineStr">
        <is>
          <t>NORDANSTIG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46320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26238-2026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46320</v>
      </c>
      <c r="F311" t="inlineStr">
        <is>
          <t>GÄVLEBORGS LÄN</t>
        </is>
      </c>
      <c r="G311" t="inlineStr">
        <is>
          <t>NORDANSTIG</t>
        </is>
      </c>
      <c r="H311" t="inlineStr">
        <is>
          <t>SCA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46185</v>
      </c>
      <c r="E312" s="1" t="n">
        <v>46320</v>
      </c>
      <c r="F312" t="inlineStr">
        <is>
          <t>GÄVLEBORGS LÄN</t>
        </is>
      </c>
      <c r="G312" t="inlineStr">
        <is>
          <t>NORDANSTIG</t>
        </is>
      </c>
      <c r="H312" t="inlineStr">
        <is>
          <t>SCA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42780-2022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44832</v>
      </c>
      <c r="E313" s="1" t="n">
        <v>46320</v>
      </c>
      <c r="F313" t="inlineStr">
        <is>
          <t>GÄVLEBORGS LÄN</t>
        </is>
      </c>
      <c r="G313" t="inlineStr">
        <is>
          <t>NORDANSTIG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46320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46320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46320</v>
      </c>
      <c r="F316" t="inlineStr">
        <is>
          <t>GÄVLEBORGS LÄN</t>
        </is>
      </c>
      <c r="G316" t="inlineStr">
        <is>
          <t>NORDANSTIG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46320</v>
      </c>
      <c r="F317" t="inlineStr">
        <is>
          <t>GÄVLEBORGS LÄN</t>
        </is>
      </c>
      <c r="G317" t="inlineStr">
        <is>
          <t>NORDANSTIG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46320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46320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46320</v>
      </c>
      <c r="F320" t="inlineStr">
        <is>
          <t>GÄVLEBORGS LÄN</t>
        </is>
      </c>
      <c r="G320" t="inlineStr">
        <is>
          <t>NORDANSTIG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46320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46320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46320</v>
      </c>
      <c r="F323" t="inlineStr">
        <is>
          <t>GÄVLEBORGS LÄN</t>
        </is>
      </c>
      <c r="G323" t="inlineStr">
        <is>
          <t>NORDANSTIG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46320</v>
      </c>
      <c r="F324" t="inlineStr">
        <is>
          <t>GÄVLEBORGS LÄN</t>
        </is>
      </c>
      <c r="G324" t="inlineStr">
        <is>
          <t>NORDANSTIG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46320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46320</v>
      </c>
      <c r="F326" t="inlineStr">
        <is>
          <t>GÄVLEBORGS LÄN</t>
        </is>
      </c>
      <c r="G326" t="inlineStr">
        <is>
          <t>NORDANSTIG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46320</v>
      </c>
      <c r="F327" t="inlineStr">
        <is>
          <t>GÄVLEBORGS LÄN</t>
        </is>
      </c>
      <c r="G327" t="inlineStr">
        <is>
          <t>NORDANSTIG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46320</v>
      </c>
      <c r="F328" t="inlineStr">
        <is>
          <t>GÄVLEBORGS LÄN</t>
        </is>
      </c>
      <c r="G328" t="inlineStr">
        <is>
          <t>NORDANSTIG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44833</v>
      </c>
      <c r="E329" s="1" t="n">
        <v>46320</v>
      </c>
      <c r="F329" t="inlineStr">
        <is>
          <t>GÄVLEBORGS LÄN</t>
        </is>
      </c>
      <c r="G329" t="inlineStr">
        <is>
          <t>NORDANSTIG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46320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46320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46320</v>
      </c>
      <c r="F332" t="inlineStr">
        <is>
          <t>GÄVLEBORGS LÄN</t>
        </is>
      </c>
      <c r="G332" t="inlineStr">
        <is>
          <t>NORDANSTIG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46320</v>
      </c>
      <c r="F333" t="inlineStr">
        <is>
          <t>GÄVLEBORGS LÄN</t>
        </is>
      </c>
      <c r="G333" t="inlineStr">
        <is>
          <t>NORDANSTIG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46195</v>
      </c>
      <c r="E334" s="1" t="n">
        <v>46320</v>
      </c>
      <c r="F334" t="inlineStr">
        <is>
          <t>GÄVLEBORGS LÄN</t>
        </is>
      </c>
      <c r="G334" t="inlineStr">
        <is>
          <t>NORDANSTIG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46320</v>
      </c>
      <c r="F335" t="inlineStr">
        <is>
          <t>GÄVLEBORGS LÄN</t>
        </is>
      </c>
      <c r="G335" t="inlineStr">
        <is>
          <t>NORDANSTIG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46320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46320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46320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46320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46320</v>
      </c>
      <c r="F340" t="inlineStr">
        <is>
          <t>GÄVLEBORGS LÄN</t>
        </is>
      </c>
      <c r="G340" t="inlineStr">
        <is>
          <t>NORDANSTIG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46320</v>
      </c>
      <c r="F341" t="inlineStr">
        <is>
          <t>GÄVLEBORGS LÄN</t>
        </is>
      </c>
      <c r="G341" t="inlineStr">
        <is>
          <t>NORDANSTIG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46320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46320</v>
      </c>
      <c r="F343" t="inlineStr">
        <is>
          <t>GÄVLEBORGS LÄN</t>
        </is>
      </c>
      <c r="G343" t="inlineStr">
        <is>
          <t>NORDANSTIG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46320</v>
      </c>
      <c r="F344" t="inlineStr">
        <is>
          <t>GÄVLEBORGS LÄN</t>
        </is>
      </c>
      <c r="G344" t="inlineStr">
        <is>
          <t>NORDANSTIG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40241-2023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45169</v>
      </c>
      <c r="E345" s="1" t="n">
        <v>46320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46320</v>
      </c>
      <c r="F346" t="inlineStr">
        <is>
          <t>GÄVLEBORGS LÄN</t>
        </is>
      </c>
      <c r="G346" t="inlineStr">
        <is>
          <t>NORDANSTIG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46320</v>
      </c>
      <c r="F347" t="inlineStr">
        <is>
          <t>GÄVLEBORGS LÄN</t>
        </is>
      </c>
      <c r="G347" t="inlineStr">
        <is>
          <t>NORDANSTIG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46320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46320</v>
      </c>
      <c r="F349" t="inlineStr">
        <is>
          <t>GÄVLEBORGS LÄN</t>
        </is>
      </c>
      <c r="G349" t="inlineStr">
        <is>
          <t>NORDANSTIG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46320</v>
      </c>
      <c r="F350" t="inlineStr">
        <is>
          <t>GÄVLEBORGS LÄN</t>
        </is>
      </c>
      <c r="G350" t="inlineStr">
        <is>
          <t>NORDANSTIG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46320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45726</v>
      </c>
      <c r="E352" s="1" t="n">
        <v>46320</v>
      </c>
      <c r="F352" t="inlineStr">
        <is>
          <t>GÄVLEBORGS LÄN</t>
        </is>
      </c>
      <c r="G352" t="inlineStr">
        <is>
          <t>NORDANSTIG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46320</v>
      </c>
      <c r="F353" t="inlineStr">
        <is>
          <t>GÄVLEBORGS LÄN</t>
        </is>
      </c>
      <c r="G353" t="inlineStr">
        <is>
          <t>NORDANSTIG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46320</v>
      </c>
      <c r="F354" t="inlineStr">
        <is>
          <t>GÄVLEBORGS LÄN</t>
        </is>
      </c>
      <c r="G354" t="inlineStr">
        <is>
          <t>NORDANSTIG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46320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46320</v>
      </c>
      <c r="F356" t="inlineStr">
        <is>
          <t>GÄVLEBORGS LÄN</t>
        </is>
      </c>
      <c r="G356" t="inlineStr">
        <is>
          <t>NORDANSTIG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46320</v>
      </c>
      <c r="F357" t="inlineStr">
        <is>
          <t>GÄVLEBORGS LÄN</t>
        </is>
      </c>
      <c r="G357" t="inlineStr">
        <is>
          <t>NORDANSTIG</t>
        </is>
      </c>
      <c r="I357" t="n">
        <v>11.2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44781</v>
      </c>
      <c r="E358" s="1" t="n">
        <v>46320</v>
      </c>
      <c r="F358" t="inlineStr">
        <is>
          <t>GÄVLEBORGS LÄN</t>
        </is>
      </c>
      <c r="G358" t="inlineStr">
        <is>
          <t>NORDANSTIG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28739-2026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46198</v>
      </c>
      <c r="E359" s="1" t="n">
        <v>46320</v>
      </c>
      <c r="F359" t="inlineStr">
        <is>
          <t>GÄVLEBORGS LÄN</t>
        </is>
      </c>
      <c r="G359" t="inlineStr">
        <is>
          <t>NORDANSTIG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46320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55948-2024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45623</v>
      </c>
      <c r="E361" s="1" t="n">
        <v>46320</v>
      </c>
      <c r="F361" t="inlineStr">
        <is>
          <t>GÄVLEBORGS LÄN</t>
        </is>
      </c>
      <c r="G361" t="inlineStr">
        <is>
          <t>NORDANSTIG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46320</v>
      </c>
      <c r="F362" t="inlineStr">
        <is>
          <t>GÄVLEBORGS LÄN</t>
        </is>
      </c>
      <c r="G362" t="inlineStr">
        <is>
          <t>NORDANSTIG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45124</v>
      </c>
      <c r="E363" s="1" t="n">
        <v>46320</v>
      </c>
      <c r="F363" t="inlineStr">
        <is>
          <t>GÄVLEBORGS LÄN</t>
        </is>
      </c>
      <c r="G363" t="inlineStr">
        <is>
          <t>NORDANSTIG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46320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57559-2025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45980</v>
      </c>
      <c r="E365" s="1" t="n">
        <v>46320</v>
      </c>
      <c r="F365" t="inlineStr">
        <is>
          <t>GÄVLEBORGS LÄN</t>
        </is>
      </c>
      <c r="G365" t="inlineStr">
        <is>
          <t>NORDANSTIG</t>
        </is>
      </c>
      <c r="H365" t="inlineStr">
        <is>
          <t>SCA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57558-2025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45980</v>
      </c>
      <c r="E366" s="1" t="n">
        <v>46320</v>
      </c>
      <c r="F366" t="inlineStr">
        <is>
          <t>GÄVLEBORGS LÄN</t>
        </is>
      </c>
      <c r="G366" t="inlineStr">
        <is>
          <t>NORDANSTIG</t>
        </is>
      </c>
      <c r="H366" t="inlineStr">
        <is>
          <t>SCA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46320</v>
      </c>
      <c r="F367" t="inlineStr">
        <is>
          <t>GÄVLEBORGS LÄN</t>
        </is>
      </c>
      <c r="G367" t="inlineStr">
        <is>
          <t>NORDANSTIG</t>
        </is>
      </c>
      <c r="H367" t="inlineStr">
        <is>
          <t>SCA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44938</v>
      </c>
      <c r="E368" s="1" t="n">
        <v>46320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46320</v>
      </c>
      <c r="F369" t="inlineStr">
        <is>
          <t>GÄVLEBORGS LÄN</t>
        </is>
      </c>
      <c r="G369" t="inlineStr">
        <is>
          <t>NORDANSTIG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44812</v>
      </c>
      <c r="E370" s="1" t="n">
        <v>46320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46320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44908</v>
      </c>
      <c r="E372" s="1" t="n">
        <v>46320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58531-2025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46320</v>
      </c>
      <c r="F373" t="inlineStr">
        <is>
          <t>GÄVLEBORGS LÄN</t>
        </is>
      </c>
      <c r="G373" t="inlineStr">
        <is>
          <t>NORDANSTIG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58522-2025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46320</v>
      </c>
      <c r="F374" t="inlineStr">
        <is>
          <t>GÄVLEBORGS LÄN</t>
        </is>
      </c>
      <c r="G374" t="inlineStr">
        <is>
          <t>NORDANSTIG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46320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45985</v>
      </c>
      <c r="E376" s="1" t="n">
        <v>46320</v>
      </c>
      <c r="F376" t="inlineStr">
        <is>
          <t>GÄVLEBORGS LÄN</t>
        </is>
      </c>
      <c r="G376" t="inlineStr">
        <is>
          <t>NORDANSTIG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46320</v>
      </c>
      <c r="F377" t="inlineStr">
        <is>
          <t>GÄVLEBORGS LÄN</t>
        </is>
      </c>
      <c r="G377" t="inlineStr">
        <is>
          <t>NORDANSTIG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46320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44907</v>
      </c>
      <c r="E379" s="1" t="n">
        <v>46320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46320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46320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45489</v>
      </c>
      <c r="E382" s="1" t="n">
        <v>46320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46320</v>
      </c>
      <c r="F383" t="inlineStr">
        <is>
          <t>GÄVLEBORGS LÄN</t>
        </is>
      </c>
      <c r="G383" t="inlineStr">
        <is>
          <t>NORDANSTIG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30259-2026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46320</v>
      </c>
      <c r="F384" t="inlineStr">
        <is>
          <t>GÄVLEBORGS LÄN</t>
        </is>
      </c>
      <c r="G384" t="inlineStr">
        <is>
          <t>NORDANSTIG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46320</v>
      </c>
      <c r="F385" t="inlineStr">
        <is>
          <t>GÄVLEBORGS LÄN</t>
        </is>
      </c>
      <c r="G385" t="inlineStr">
        <is>
          <t>NORDANSTIG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59008-2025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45987</v>
      </c>
      <c r="E386" s="1" t="n">
        <v>46320</v>
      </c>
      <c r="F386" t="inlineStr">
        <is>
          <t>GÄVLEBORGS LÄN</t>
        </is>
      </c>
      <c r="G386" t="inlineStr">
        <is>
          <t>NORDANSTIG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46320</v>
      </c>
      <c r="F387" t="inlineStr">
        <is>
          <t>GÄVLEBORGS LÄN</t>
        </is>
      </c>
      <c r="G387" t="inlineStr">
        <is>
          <t>NORDANSTIG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44713</v>
      </c>
      <c r="E388" s="1" t="n">
        <v>46320</v>
      </c>
      <c r="F388" t="inlineStr">
        <is>
          <t>GÄVLEBORGS LÄN</t>
        </is>
      </c>
      <c r="G388" t="inlineStr">
        <is>
          <t>NORDANSTIG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46320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46320</v>
      </c>
      <c r="F390" t="inlineStr">
        <is>
          <t>GÄVLEBORGS LÄN</t>
        </is>
      </c>
      <c r="G390" t="inlineStr">
        <is>
          <t>NORDANSTIG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46320</v>
      </c>
      <c r="F391" t="inlineStr">
        <is>
          <t>GÄVLEBORGS LÄN</t>
        </is>
      </c>
      <c r="G391" t="inlineStr">
        <is>
          <t>NORDANSTIG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46320</v>
      </c>
      <c r="F392" t="inlineStr">
        <is>
          <t>GÄVLEBORGS LÄN</t>
        </is>
      </c>
      <c r="G392" t="inlineStr">
        <is>
          <t>NORDANSTIG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30431-2026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46209</v>
      </c>
      <c r="E393" s="1" t="n">
        <v>46320</v>
      </c>
      <c r="F393" t="inlineStr">
        <is>
          <t>GÄVLEBORGS LÄN</t>
        </is>
      </c>
      <c r="G393" t="inlineStr">
        <is>
          <t>NORDANSTIG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58162-2024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45632</v>
      </c>
      <c r="E394" s="1" t="n">
        <v>46320</v>
      </c>
      <c r="F394" t="inlineStr">
        <is>
          <t>GÄVLEBORGS LÄN</t>
        </is>
      </c>
      <c r="G394" t="inlineStr">
        <is>
          <t>NORDANSTIG</t>
        </is>
      </c>
      <c r="H394" t="inlineStr">
        <is>
          <t>Kyrkan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46320</v>
      </c>
      <c r="F395" t="inlineStr">
        <is>
          <t>GÄVLEBORGS LÄN</t>
        </is>
      </c>
      <c r="G395" t="inlineStr">
        <is>
          <t>NORDANSTIG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73748-2021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44552</v>
      </c>
      <c r="E396" s="1" t="n">
        <v>46320</v>
      </c>
      <c r="F396" t="inlineStr">
        <is>
          <t>GÄVLEBORGS LÄN</t>
        </is>
      </c>
      <c r="G396" t="inlineStr">
        <is>
          <t>NORDANSTIG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46213</v>
      </c>
      <c r="E397" s="1" t="n">
        <v>46320</v>
      </c>
      <c r="F397" t="inlineStr">
        <is>
          <t>GÄVLEBORGS LÄN</t>
        </is>
      </c>
      <c r="G397" t="inlineStr">
        <is>
          <t>NORDANSTIG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30899-2026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46213</v>
      </c>
      <c r="E398" s="1" t="n">
        <v>46320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45139</v>
      </c>
      <c r="E399" s="1" t="n">
        <v>46320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46320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46320</v>
      </c>
      <c r="F401" t="inlineStr">
        <is>
          <t>GÄVLEBORGS LÄN</t>
        </is>
      </c>
      <c r="G401" t="inlineStr">
        <is>
          <t>NORDANSTIG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46320</v>
      </c>
      <c r="F402" t="inlineStr">
        <is>
          <t>GÄVLEBORGS LÄN</t>
        </is>
      </c>
      <c r="G402" t="inlineStr">
        <is>
          <t>NORDANSTIG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46320</v>
      </c>
      <c r="F403" t="inlineStr">
        <is>
          <t>GÄVLEBORGS LÄN</t>
        </is>
      </c>
      <c r="G403" t="inlineStr">
        <is>
          <t>NORDANSTIG</t>
        </is>
      </c>
      <c r="I403" t="n">
        <v>9.6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46320</v>
      </c>
      <c r="F404" t="inlineStr">
        <is>
          <t>GÄVLEBORGS LÄN</t>
        </is>
      </c>
      <c r="G404" t="inlineStr">
        <is>
          <t>NORDANSTIG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46320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46320</v>
      </c>
      <c r="F406" t="inlineStr">
        <is>
          <t>GÄVLEBORGS LÄN</t>
        </is>
      </c>
      <c r="G406" t="inlineStr">
        <is>
          <t>NORDANSTIG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46320</v>
      </c>
      <c r="F407" t="inlineStr">
        <is>
          <t>GÄVLEBORGS LÄN</t>
        </is>
      </c>
      <c r="G407" t="inlineStr">
        <is>
          <t>NORDANSTIG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46320</v>
      </c>
      <c r="F408" t="inlineStr">
        <is>
          <t>GÄVLEBORGS LÄN</t>
        </is>
      </c>
      <c r="G408" t="inlineStr">
        <is>
          <t>NORDANSTIG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46320</v>
      </c>
      <c r="F409" t="inlineStr">
        <is>
          <t>GÄVLEBORGS LÄN</t>
        </is>
      </c>
      <c r="G409" t="inlineStr">
        <is>
          <t>NORDANSTIG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46220</v>
      </c>
      <c r="E410" s="1" t="n">
        <v>46320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46223</v>
      </c>
      <c r="E411" s="1" t="n">
        <v>46320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46320</v>
      </c>
      <c r="F412" t="inlineStr">
        <is>
          <t>GÄVLEBORGS LÄN</t>
        </is>
      </c>
      <c r="G412" t="inlineStr">
        <is>
          <t>NORDANSTIG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46320</v>
      </c>
      <c r="F413" t="inlineStr">
        <is>
          <t>GÄVLEBORGS LÄN</t>
        </is>
      </c>
      <c r="G413" t="inlineStr">
        <is>
          <t>NORDANSTIG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46220</v>
      </c>
      <c r="E414" s="1" t="n">
        <v>46320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46220</v>
      </c>
      <c r="E415" s="1" t="n">
        <v>46320</v>
      </c>
      <c r="F415" t="inlineStr">
        <is>
          <t>GÄVLEBORGS LÄN</t>
        </is>
      </c>
      <c r="G415" t="inlineStr">
        <is>
          <t>NORDANSTIG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45777</v>
      </c>
      <c r="E416" s="1" t="n">
        <v>46320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46226</v>
      </c>
      <c r="E417" s="1" t="n">
        <v>46320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46320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46320</v>
      </c>
      <c r="F419" t="inlineStr">
        <is>
          <t>GÄVLEBORGS LÄN</t>
        </is>
      </c>
      <c r="G419" t="inlineStr">
        <is>
          <t>NORDANSTIG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21725-2025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45783</v>
      </c>
      <c r="E420" s="1" t="n">
        <v>46320</v>
      </c>
      <c r="F420" t="inlineStr">
        <is>
          <t>GÄVLEBORGS LÄN</t>
        </is>
      </c>
      <c r="G420" t="inlineStr">
        <is>
          <t>NORDANSTIG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46320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46320</v>
      </c>
      <c r="F422" t="inlineStr">
        <is>
          <t>GÄVLEBORGS LÄN</t>
        </is>
      </c>
      <c r="G422" t="inlineStr">
        <is>
          <t>NORDANSTIG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46226</v>
      </c>
      <c r="E423" s="1" t="n">
        <v>46320</v>
      </c>
      <c r="F423" t="inlineStr">
        <is>
          <t>GÄVLEBORGS LÄN</t>
        </is>
      </c>
      <c r="G423" t="inlineStr">
        <is>
          <t>NORDANSTIG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45763</v>
      </c>
      <c r="E424" s="1" t="n">
        <v>46320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44999</v>
      </c>
      <c r="E425" s="1" t="n">
        <v>46320</v>
      </c>
      <c r="F425" t="inlineStr">
        <is>
          <t>GÄVLEBORGS LÄN</t>
        </is>
      </c>
      <c r="G425" t="inlineStr">
        <is>
          <t>NORDANSTIG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45784</v>
      </c>
      <c r="E426" s="1" t="n">
        <v>46320</v>
      </c>
      <c r="F426" t="inlineStr">
        <is>
          <t>GÄVLEBORGS LÄN</t>
        </is>
      </c>
      <c r="G426" t="inlineStr">
        <is>
          <t>NORDANSTIG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46320</v>
      </c>
      <c r="F427" t="inlineStr">
        <is>
          <t>GÄVLEBORGS LÄN</t>
        </is>
      </c>
      <c r="G427" t="inlineStr">
        <is>
          <t>NORDANSTIG</t>
        </is>
      </c>
      <c r="H427" t="inlineStr">
        <is>
          <t>SCA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45498</v>
      </c>
      <c r="E428" s="1" t="n">
        <v>46320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46280</v>
      </c>
      <c r="E429" s="1" t="n">
        <v>46320</v>
      </c>
      <c r="F429" t="inlineStr">
        <is>
          <t>GÄVLEBORGS LÄN</t>
        </is>
      </c>
      <c r="G429" t="inlineStr">
        <is>
          <t>NORDANSTIG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46320</v>
      </c>
      <c r="F430" t="inlineStr">
        <is>
          <t>GÄVLEBORGS LÄN</t>
        </is>
      </c>
      <c r="G430" t="inlineStr">
        <is>
          <t>NORDANSTIG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46280</v>
      </c>
      <c r="E431" s="1" t="n">
        <v>46320</v>
      </c>
      <c r="F431" t="inlineStr">
        <is>
          <t>GÄVLEBORGS LÄN</t>
        </is>
      </c>
      <c r="G431" t="inlineStr">
        <is>
          <t>NORDANSTIG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46234</v>
      </c>
      <c r="E432" s="1" t="n">
        <v>46320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51541-2025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46320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45786</v>
      </c>
      <c r="E434" s="1" t="n">
        <v>46320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27.9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67879-2021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46320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46282</v>
      </c>
      <c r="E436" s="1" t="n">
        <v>46320</v>
      </c>
      <c r="F436" t="inlineStr">
        <is>
          <t>GÄVLEBORGS LÄN</t>
        </is>
      </c>
      <c r="G436" t="inlineStr">
        <is>
          <t>NORDANSTIG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46320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46320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46320</v>
      </c>
      <c r="F439" t="inlineStr">
        <is>
          <t>GÄVLEBORGS LÄN</t>
        </is>
      </c>
      <c r="G439" t="inlineStr">
        <is>
          <t>NORDANSTIG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46026</v>
      </c>
      <c r="E440" s="1" t="n">
        <v>46320</v>
      </c>
      <c r="F440" t="inlineStr">
        <is>
          <t>GÄVLEBORGS LÄN</t>
        </is>
      </c>
      <c r="G440" t="inlineStr">
        <is>
          <t>NORDANSTIG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45786</v>
      </c>
      <c r="E441" s="1" t="n">
        <v>46320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46320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46320</v>
      </c>
      <c r="F443" t="inlineStr">
        <is>
          <t>GÄVLEBORGS LÄN</t>
        </is>
      </c>
      <c r="G443" t="inlineStr">
        <is>
          <t>NORDANSTIG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46320</v>
      </c>
      <c r="F444" t="inlineStr">
        <is>
          <t>GÄVLEBORGS LÄN</t>
        </is>
      </c>
      <c r="G444" t="inlineStr">
        <is>
          <t>NORDANSTIG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46320</v>
      </c>
      <c r="F445" t="inlineStr">
        <is>
          <t>GÄVLEBORGS LÄN</t>
        </is>
      </c>
      <c r="G445" t="inlineStr">
        <is>
          <t>NORDANSTIG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46320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46320</v>
      </c>
      <c r="F447" t="inlineStr">
        <is>
          <t>GÄVLEBORGS LÄN</t>
        </is>
      </c>
      <c r="G447" t="inlineStr">
        <is>
          <t>NORDANSTIG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46030</v>
      </c>
      <c r="E448" s="1" t="n">
        <v>46320</v>
      </c>
      <c r="F448" t="inlineStr">
        <is>
          <t>GÄVLEBORGS LÄN</t>
        </is>
      </c>
      <c r="G448" t="inlineStr">
        <is>
          <t>NORDANSTIG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45792</v>
      </c>
      <c r="E449" s="1" t="n">
        <v>46320</v>
      </c>
      <c r="F449" t="inlineStr">
        <is>
          <t>GÄVLEBORGS LÄN</t>
        </is>
      </c>
      <c r="G449" t="inlineStr">
        <is>
          <t>NORDANSTIG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46320</v>
      </c>
      <c r="F450" t="inlineStr">
        <is>
          <t>GÄVLEBORGS LÄN</t>
        </is>
      </c>
      <c r="G450" t="inlineStr">
        <is>
          <t>NORDANSTIG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20137-2023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45055</v>
      </c>
      <c r="E451" s="1" t="n">
        <v>46320</v>
      </c>
      <c r="F451" t="inlineStr">
        <is>
          <t>GÄVLEBORGS LÄN</t>
        </is>
      </c>
      <c r="G451" t="inlineStr">
        <is>
          <t>NORDANSTIG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45236</v>
      </c>
      <c r="E452" s="1" t="n">
        <v>46320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46320</v>
      </c>
      <c r="F453" t="inlineStr">
        <is>
          <t>GÄVLEBORGS LÄN</t>
        </is>
      </c>
      <c r="G453" t="inlineStr">
        <is>
          <t>NORDANSTIG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46034</v>
      </c>
      <c r="E454" s="1" t="n">
        <v>46320</v>
      </c>
      <c r="F454" t="inlineStr">
        <is>
          <t>GÄVLEBORGS LÄN</t>
        </is>
      </c>
      <c r="G454" t="inlineStr">
        <is>
          <t>NORDANSTIG</t>
        </is>
      </c>
      <c r="I454" t="n">
        <v>12.7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44788</v>
      </c>
      <c r="E455" s="1" t="n">
        <v>46320</v>
      </c>
      <c r="F455" t="inlineStr">
        <is>
          <t>GÄVLEBORGS LÄN</t>
        </is>
      </c>
      <c r="G455" t="inlineStr">
        <is>
          <t>NORDANSTIG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46320</v>
      </c>
      <c r="F456" t="inlineStr">
        <is>
          <t>GÄVLEBORGS LÄN</t>
        </is>
      </c>
      <c r="G456" t="inlineStr">
        <is>
          <t>NORDANSTIG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46320</v>
      </c>
      <c r="F457" t="inlineStr">
        <is>
          <t>GÄVLEBORGS LÄN</t>
        </is>
      </c>
      <c r="G457" t="inlineStr">
        <is>
          <t>NORDANSTIG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46320</v>
      </c>
      <c r="F458" t="inlineStr">
        <is>
          <t>GÄVLEBORGS LÄN</t>
        </is>
      </c>
      <c r="G458" t="inlineStr">
        <is>
          <t>NORDANSTIG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45790</v>
      </c>
      <c r="E459" s="1" t="n">
        <v>46320</v>
      </c>
      <c r="F459" t="inlineStr">
        <is>
          <t>GÄVLEBORGS LÄN</t>
        </is>
      </c>
      <c r="G459" t="inlineStr">
        <is>
          <t>NORDANSTIG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46320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46320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50.7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46320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46320</v>
      </c>
      <c r="F463" t="inlineStr">
        <is>
          <t>GÄVLEBORGS LÄN</t>
        </is>
      </c>
      <c r="G463" t="inlineStr">
        <is>
          <t>NORDANSTIG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46320</v>
      </c>
      <c r="F464" t="inlineStr">
        <is>
          <t>GÄVLEBORGS LÄN</t>
        </is>
      </c>
      <c r="G464" t="inlineStr">
        <is>
          <t>NORDANSTIG</t>
        </is>
      </c>
      <c r="I464" t="n">
        <v>21.1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46037</v>
      </c>
      <c r="E465" s="1" t="n">
        <v>46320</v>
      </c>
      <c r="F465" t="inlineStr">
        <is>
          <t>GÄVLEBORGS LÄN</t>
        </is>
      </c>
      <c r="G465" t="inlineStr">
        <is>
          <t>NORDANSTIG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46320</v>
      </c>
      <c r="F466" t="inlineStr">
        <is>
          <t>GÄVLEBORGS LÄN</t>
        </is>
      </c>
      <c r="G466" t="inlineStr">
        <is>
          <t>NORDANSTIG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46320</v>
      </c>
      <c r="F467" t="inlineStr">
        <is>
          <t>GÄVLEBORGS LÄN</t>
        </is>
      </c>
      <c r="G467" t="inlineStr">
        <is>
          <t>NORDANSTIG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46320</v>
      </c>
      <c r="F468" t="inlineStr">
        <is>
          <t>GÄVLEBORGS LÄN</t>
        </is>
      </c>
      <c r="G468" t="inlineStr">
        <is>
          <t>NORDANSTIG</t>
        </is>
      </c>
      <c r="I468" t="n">
        <v>9.300000000000001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46320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46320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46320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46241</v>
      </c>
      <c r="E472" s="1" t="n">
        <v>46320</v>
      </c>
      <c r="F472" t="inlineStr">
        <is>
          <t>GÄVLEBORGS LÄN</t>
        </is>
      </c>
      <c r="G472" t="inlineStr">
        <is>
          <t>NORDANSTIG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43523-2024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45569</v>
      </c>
      <c r="E473" s="1" t="n">
        <v>46320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46320</v>
      </c>
      <c r="F474" t="inlineStr">
        <is>
          <t>GÄVLEBORGS LÄN</t>
        </is>
      </c>
      <c r="G474" t="inlineStr">
        <is>
          <t>NORDANSTIG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46320</v>
      </c>
      <c r="F475" t="inlineStr">
        <is>
          <t>GÄVLEBORGS LÄN</t>
        </is>
      </c>
      <c r="G475" t="inlineStr">
        <is>
          <t>NORDANSTIG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46320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46039</v>
      </c>
      <c r="E477" s="1" t="n">
        <v>46320</v>
      </c>
      <c r="F477" t="inlineStr">
        <is>
          <t>GÄVLEBORGS LÄN</t>
        </is>
      </c>
      <c r="G477" t="inlineStr">
        <is>
          <t>NORDANSTIG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46320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46320</v>
      </c>
      <c r="F479" t="inlineStr">
        <is>
          <t>GÄVLEBORGS LÄN</t>
        </is>
      </c>
      <c r="G479" t="inlineStr">
        <is>
          <t>NORDANSTIG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46320</v>
      </c>
      <c r="F480" t="inlineStr">
        <is>
          <t>GÄVLEBORGS LÄN</t>
        </is>
      </c>
      <c r="G480" t="inlineStr">
        <is>
          <t>NORDANSTIG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46320</v>
      </c>
      <c r="F481" t="inlineStr">
        <is>
          <t>GÄVLEBORGS LÄN</t>
        </is>
      </c>
      <c r="G481" t="inlineStr">
        <is>
          <t>NORDANSTIG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46288</v>
      </c>
      <c r="E482" s="1" t="n">
        <v>46320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46320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46320</v>
      </c>
      <c r="F484" t="inlineStr">
        <is>
          <t>GÄVLEBORGS LÄN</t>
        </is>
      </c>
      <c r="G484" t="inlineStr">
        <is>
          <t>NORDANSTIG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46320</v>
      </c>
      <c r="F485" t="inlineStr">
        <is>
          <t>GÄVLEBORGS LÄN</t>
        </is>
      </c>
      <c r="G485" t="inlineStr">
        <is>
          <t>NORDANSTIG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46320</v>
      </c>
      <c r="F486" t="inlineStr">
        <is>
          <t>GÄVLEBORGS LÄN</t>
        </is>
      </c>
      <c r="G486" t="inlineStr">
        <is>
          <t>NORDANSTIG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46320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46320</v>
      </c>
      <c r="F488" t="inlineStr">
        <is>
          <t>GÄVLEBORGS LÄN</t>
        </is>
      </c>
      <c r="G488" t="inlineStr">
        <is>
          <t>NORDANSTIG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46320</v>
      </c>
      <c r="F489" t="inlineStr">
        <is>
          <t>GÄVLEBORGS LÄN</t>
        </is>
      </c>
      <c r="G489" t="inlineStr">
        <is>
          <t>NORDANSTIG</t>
        </is>
      </c>
      <c r="I489" t="n">
        <v>24.7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46320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46320</v>
      </c>
      <c r="F491" t="inlineStr">
        <is>
          <t>GÄVLEBORGS LÄN</t>
        </is>
      </c>
      <c r="G491" t="inlineStr">
        <is>
          <t>NORDANSTIG</t>
        </is>
      </c>
      <c r="I491" t="n">
        <v>11.3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46320</v>
      </c>
      <c r="F492" t="inlineStr">
        <is>
          <t>GÄVLEBORGS LÄN</t>
        </is>
      </c>
      <c r="G492" t="inlineStr">
        <is>
          <t>NORDANSTIG</t>
        </is>
      </c>
      <c r="I492" t="n">
        <v>15.3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46320</v>
      </c>
      <c r="F493" t="inlineStr">
        <is>
          <t>GÄVLEBORGS LÄN</t>
        </is>
      </c>
      <c r="G493" t="inlineStr">
        <is>
          <t>NORDANSTIG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45540</v>
      </c>
      <c r="E494" s="1" t="n">
        <v>46320</v>
      </c>
      <c r="F494" t="inlineStr">
        <is>
          <t>GÄVLEBORGS LÄN</t>
        </is>
      </c>
      <c r="G494" t="inlineStr">
        <is>
          <t>NORDANSTIG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46320</v>
      </c>
      <c r="F495" t="inlineStr">
        <is>
          <t>GÄVLEBORGS LÄN</t>
        </is>
      </c>
      <c r="G495" t="inlineStr">
        <is>
          <t>NORDANSTIG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46320</v>
      </c>
      <c r="F496" t="inlineStr">
        <is>
          <t>GÄVLEBORGS LÄN</t>
        </is>
      </c>
      <c r="G496" t="inlineStr">
        <is>
          <t>NORDANSTIG</t>
        </is>
      </c>
      <c r="I496" t="n">
        <v>10.1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46044</v>
      </c>
      <c r="E497" s="1" t="n">
        <v>46320</v>
      </c>
      <c r="F497" t="inlineStr">
        <is>
          <t>GÄVLEBORGS LÄN</t>
        </is>
      </c>
      <c r="G497" t="inlineStr">
        <is>
          <t>NORDANSTIG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46320</v>
      </c>
      <c r="F498" t="inlineStr">
        <is>
          <t>GÄVLEBORGS LÄN</t>
        </is>
      </c>
      <c r="G498" t="inlineStr">
        <is>
          <t>NORDANSTIG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46320</v>
      </c>
      <c r="F499" t="inlineStr">
        <is>
          <t>GÄVLEBORGS LÄN</t>
        </is>
      </c>
      <c r="G499" t="inlineStr">
        <is>
          <t>NORDANSTIG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46320</v>
      </c>
      <c r="F500" t="inlineStr">
        <is>
          <t>GÄVLEBORGS LÄN</t>
        </is>
      </c>
      <c r="G500" t="inlineStr">
        <is>
          <t>NORDANSTIG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46320</v>
      </c>
      <c r="F501" t="inlineStr">
        <is>
          <t>GÄVLEBORGS LÄN</t>
        </is>
      </c>
      <c r="G501" t="inlineStr">
        <is>
          <t>NORDANSTIG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46320</v>
      </c>
      <c r="F502" t="inlineStr">
        <is>
          <t>GÄVLEBORGS LÄN</t>
        </is>
      </c>
      <c r="G502" t="inlineStr">
        <is>
          <t>NORDANSTIG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46320</v>
      </c>
      <c r="F503" t="inlineStr">
        <is>
          <t>GÄVLEBORGS LÄN</t>
        </is>
      </c>
      <c r="G503" t="inlineStr">
        <is>
          <t>NORDANSTIG</t>
        </is>
      </c>
      <c r="I503" t="n">
        <v>15.3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46320</v>
      </c>
      <c r="F504" t="inlineStr">
        <is>
          <t>GÄVLEBORGS LÄN</t>
        </is>
      </c>
      <c r="G504" t="inlineStr">
        <is>
          <t>NORDANSTIG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45586</v>
      </c>
      <c r="E505" s="1" t="n">
        <v>46320</v>
      </c>
      <c r="F505" t="inlineStr">
        <is>
          <t>GÄVLEBORGS LÄN</t>
        </is>
      </c>
      <c r="G505" t="inlineStr">
        <is>
          <t>NORDANSTIG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46320</v>
      </c>
      <c r="F506" t="inlineStr">
        <is>
          <t>GÄVLEBORGS LÄN</t>
        </is>
      </c>
      <c r="G506" t="inlineStr">
        <is>
          <t>NORDANSTIG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46320</v>
      </c>
      <c r="F507" t="inlineStr">
        <is>
          <t>GÄVLEBORGS LÄN</t>
        </is>
      </c>
      <c r="G507" t="inlineStr">
        <is>
          <t>NORDANSTIG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46320</v>
      </c>
      <c r="F508" t="inlineStr">
        <is>
          <t>GÄVLEBORGS LÄN</t>
        </is>
      </c>
      <c r="G508" t="inlineStr">
        <is>
          <t>NORDANSTIG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46320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46320</v>
      </c>
      <c r="F510" t="inlineStr">
        <is>
          <t>GÄVLEBORGS LÄN</t>
        </is>
      </c>
      <c r="G510" t="inlineStr">
        <is>
          <t>NORDANSTIG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46320</v>
      </c>
      <c r="F511" t="inlineStr">
        <is>
          <t>GÄVLEBORGS LÄN</t>
        </is>
      </c>
      <c r="G511" t="inlineStr">
        <is>
          <t>NORDANSTIG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46320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46320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46320</v>
      </c>
      <c r="F514" t="inlineStr">
        <is>
          <t>GÄVLEBORGS LÄN</t>
        </is>
      </c>
      <c r="G514" t="inlineStr">
        <is>
          <t>NORDANSTIG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46320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46320</v>
      </c>
      <c r="F516" t="inlineStr">
        <is>
          <t>GÄVLEBORGS LÄN</t>
        </is>
      </c>
      <c r="G516" t="inlineStr">
        <is>
          <t>NORDANSTIG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46320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45802</v>
      </c>
      <c r="E518" s="1" t="n">
        <v>46320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46320</v>
      </c>
      <c r="F519" t="inlineStr">
        <is>
          <t>GÄVLEBORGS LÄN</t>
        </is>
      </c>
      <c r="G519" t="inlineStr">
        <is>
          <t>NORDANSTIG</t>
        </is>
      </c>
      <c r="I519" t="n">
        <v>10.2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46320</v>
      </c>
      <c r="F520" t="inlineStr">
        <is>
          <t>GÄVLEBORGS LÄN</t>
        </is>
      </c>
      <c r="G520" t="inlineStr">
        <is>
          <t>NORDANSTIG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46320</v>
      </c>
      <c r="F521" t="inlineStr">
        <is>
          <t>GÄVLEBORGS LÄN</t>
        </is>
      </c>
      <c r="G521" t="inlineStr">
        <is>
          <t>NORDANSTIG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46051</v>
      </c>
      <c r="E522" s="1" t="n">
        <v>46320</v>
      </c>
      <c r="F522" t="inlineStr">
        <is>
          <t>GÄVLEBORGS LÄN</t>
        </is>
      </c>
      <c r="G522" t="inlineStr">
        <is>
          <t>NORDANSTIG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46320</v>
      </c>
      <c r="F523" t="inlineStr">
        <is>
          <t>GÄVLEBORGS LÄN</t>
        </is>
      </c>
      <c r="G523" t="inlineStr">
        <is>
          <t>NORDANSTIG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25467-2025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45802</v>
      </c>
      <c r="E524" s="1" t="n">
        <v>46320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39675-2026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46320</v>
      </c>
      <c r="F525" t="inlineStr">
        <is>
          <t>GÄVLEBORGS LÄN</t>
        </is>
      </c>
      <c r="G525" t="inlineStr">
        <is>
          <t>NORDANSTIG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45802</v>
      </c>
      <c r="E526" s="1" t="n">
        <v>46320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44953</v>
      </c>
      <c r="E527" s="1" t="n">
        <v>46320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46320</v>
      </c>
      <c r="F528" t="inlineStr">
        <is>
          <t>GÄVLEBORGS LÄN</t>
        </is>
      </c>
      <c r="G528" t="inlineStr">
        <is>
          <t>NORDANSTIG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46053</v>
      </c>
      <c r="E529" s="1" t="n">
        <v>46320</v>
      </c>
      <c r="F529" t="inlineStr">
        <is>
          <t>GÄVLEBORGS LÄN</t>
        </is>
      </c>
      <c r="G529" t="inlineStr">
        <is>
          <t>NORDANSTIG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46053</v>
      </c>
      <c r="E530" s="1" t="n">
        <v>46320</v>
      </c>
      <c r="F530" t="inlineStr">
        <is>
          <t>GÄVLEBORGS LÄN</t>
        </is>
      </c>
      <c r="G530" t="inlineStr">
        <is>
          <t>NORDANSTIG</t>
        </is>
      </c>
      <c r="I530" t="n">
        <v>45.3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46320</v>
      </c>
      <c r="F531" t="inlineStr">
        <is>
          <t>GÄVLEBORGS LÄN</t>
        </is>
      </c>
      <c r="G531" t="inlineStr">
        <is>
          <t>NORDANSTIG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46320</v>
      </c>
      <c r="F532" t="inlineStr">
        <is>
          <t>GÄVLEBORGS LÄN</t>
        </is>
      </c>
      <c r="G532" t="inlineStr">
        <is>
          <t>NORDANSTIG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45306</v>
      </c>
      <c r="E533" s="1" t="n">
        <v>46320</v>
      </c>
      <c r="F533" t="inlineStr">
        <is>
          <t>GÄVLEBORGS LÄN</t>
        </is>
      </c>
      <c r="G533" t="inlineStr">
        <is>
          <t>NORDANSTIG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46320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46320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52120-2022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44873</v>
      </c>
      <c r="E536" s="1" t="n">
        <v>46320</v>
      </c>
      <c r="F536" t="inlineStr">
        <is>
          <t>GÄVLEBORGS LÄN</t>
        </is>
      </c>
      <c r="G536" t="inlineStr">
        <is>
          <t>NORDANSTIG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46320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46320</v>
      </c>
      <c r="F538" t="inlineStr">
        <is>
          <t>GÄVLEBORGS LÄN</t>
        </is>
      </c>
      <c r="G538" t="inlineStr">
        <is>
          <t>NORDANSTIG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46320</v>
      </c>
      <c r="F539" t="inlineStr">
        <is>
          <t>GÄVLEBORGS LÄN</t>
        </is>
      </c>
      <c r="G539" t="inlineStr">
        <is>
          <t>NORDANSTIG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46320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46320</v>
      </c>
      <c r="F541" t="inlineStr">
        <is>
          <t>GÄVLEBORGS LÄN</t>
        </is>
      </c>
      <c r="G541" t="inlineStr">
        <is>
          <t>NORDANSTIG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45259</v>
      </c>
      <c r="E542" s="1" t="n">
        <v>46320</v>
      </c>
      <c r="F542" t="inlineStr">
        <is>
          <t>GÄVLEBORGS LÄN</t>
        </is>
      </c>
      <c r="G542" t="inlineStr">
        <is>
          <t>NORDANSTIG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45309</v>
      </c>
      <c r="E543" s="1" t="n">
        <v>46320</v>
      </c>
      <c r="F543" t="inlineStr">
        <is>
          <t>GÄVLEBORGS LÄN</t>
        </is>
      </c>
      <c r="G543" t="inlineStr">
        <is>
          <t>NORDANSTIG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46320</v>
      </c>
      <c r="F544" t="inlineStr">
        <is>
          <t>GÄVLEBORGS LÄN</t>
        </is>
      </c>
      <c r="G544" t="inlineStr">
        <is>
          <t>NORDANSTIG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46320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45297</v>
      </c>
      <c r="E546" s="1" t="n">
        <v>46320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46320</v>
      </c>
      <c r="F547" t="inlineStr">
        <is>
          <t>GÄVLEBORGS LÄN</t>
        </is>
      </c>
      <c r="G547" t="inlineStr">
        <is>
          <t>NORDANSTIG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7640-2026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46320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46320</v>
      </c>
      <c r="F549" t="inlineStr">
        <is>
          <t>GÄVLEBORGS LÄN</t>
        </is>
      </c>
      <c r="G549" t="inlineStr">
        <is>
          <t>NORDANSTIG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46320</v>
      </c>
      <c r="F550" t="inlineStr">
        <is>
          <t>GÄVLEBORGS LÄN</t>
        </is>
      </c>
      <c r="G550" t="inlineStr">
        <is>
          <t>NORDANSTIG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46320</v>
      </c>
      <c r="F551" t="inlineStr">
        <is>
          <t>GÄVLEBORGS LÄN</t>
        </is>
      </c>
      <c r="G551" t="inlineStr">
        <is>
          <t>NORDANSTIG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46320</v>
      </c>
      <c r="F552" t="inlineStr">
        <is>
          <t>GÄVLEBORGS LÄN</t>
        </is>
      </c>
      <c r="G552" t="inlineStr">
        <is>
          <t>NORDANSTIG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46320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46320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46320</v>
      </c>
      <c r="F555" t="inlineStr">
        <is>
          <t>GÄVLEBORGS LÄN</t>
        </is>
      </c>
      <c r="G555" t="inlineStr">
        <is>
          <t>NORDANSTIG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7944-2026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46063</v>
      </c>
      <c r="E556" s="1" t="n">
        <v>46320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46320</v>
      </c>
      <c r="F557" t="inlineStr">
        <is>
          <t>GÄVLEBORGS LÄN</t>
        </is>
      </c>
      <c r="G557" t="inlineStr">
        <is>
          <t>NORDANSTIG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46320</v>
      </c>
      <c r="F558" t="inlineStr">
        <is>
          <t>GÄVLEBORGS LÄN</t>
        </is>
      </c>
      <c r="G558" t="inlineStr">
        <is>
          <t>NORDANSTIG</t>
        </is>
      </c>
      <c r="I558" t="n">
        <v>10.5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45812</v>
      </c>
      <c r="E559" s="1" t="n">
        <v>46320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61418-2024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45646</v>
      </c>
      <c r="E560" s="1" t="n">
        <v>46320</v>
      </c>
      <c r="F560" t="inlineStr">
        <is>
          <t>GÄVLEBORGS LÄN</t>
        </is>
      </c>
      <c r="G560" t="inlineStr">
        <is>
          <t>NORDANSTIG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8281-2026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46320</v>
      </c>
      <c r="F561" t="inlineStr">
        <is>
          <t>GÄVLEBORGS LÄN</t>
        </is>
      </c>
      <c r="G561" t="inlineStr">
        <is>
          <t>NORDANSTIG</t>
        </is>
      </c>
      <c r="I561" t="n">
        <v>38.1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46064</v>
      </c>
      <c r="E562" s="1" t="n">
        <v>46320</v>
      </c>
      <c r="F562" t="inlineStr">
        <is>
          <t>GÄVLEBORGS LÄN</t>
        </is>
      </c>
      <c r="G562" t="inlineStr">
        <is>
          <t>NORDANSTIG</t>
        </is>
      </c>
      <c r="I562" t="n">
        <v>19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71442-2021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44540</v>
      </c>
      <c r="E563" s="1" t="n">
        <v>46320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31894-2026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46231</v>
      </c>
      <c r="E564" s="1" t="n">
        <v>46320</v>
      </c>
      <c r="F564" t="inlineStr">
        <is>
          <t>GÄVLEBORGS LÄN</t>
        </is>
      </c>
      <c r="G564" t="inlineStr">
        <is>
          <t>NORDANSTIG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46320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46320</v>
      </c>
      <c r="F566" t="inlineStr">
        <is>
          <t>GÄVLEBORGS LÄN</t>
        </is>
      </c>
      <c r="G566" t="inlineStr">
        <is>
          <t>NORDANSTIG</t>
        </is>
      </c>
      <c r="I566" t="n">
        <v>13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45813</v>
      </c>
      <c r="E567" s="1" t="n">
        <v>46320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46320</v>
      </c>
      <c r="F568" t="inlineStr">
        <is>
          <t>GÄVLEBORGS LÄN</t>
        </is>
      </c>
      <c r="G568" t="inlineStr">
        <is>
          <t>NORDANSTIG</t>
        </is>
      </c>
      <c r="H568" t="inlineStr">
        <is>
          <t>Naturvårdsverket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46320</v>
      </c>
      <c r="F569" t="inlineStr">
        <is>
          <t>GÄVLEBORGS LÄN</t>
        </is>
      </c>
      <c r="G569" t="inlineStr">
        <is>
          <t>NORDANSTIG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46320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13.5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8407-2026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46320</v>
      </c>
      <c r="F571" t="inlineStr">
        <is>
          <t>GÄVLEBORGS LÄN</t>
        </is>
      </c>
      <c r="G571" t="inlineStr">
        <is>
          <t>NORDANSTIG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46100</v>
      </c>
      <c r="E572" s="1" t="n">
        <v>46320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45663</v>
      </c>
      <c r="E573" s="1" t="n">
        <v>46320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46320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40172-2026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46293</v>
      </c>
      <c r="E575" s="1" t="n">
        <v>46320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46320</v>
      </c>
      <c r="F576" t="inlineStr">
        <is>
          <t>GÄVLEBORGS LÄN</t>
        </is>
      </c>
      <c r="G576" t="inlineStr">
        <is>
          <t>NORDANSTIG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46320</v>
      </c>
      <c r="F577" t="inlineStr">
        <is>
          <t>GÄVLEBORGS LÄN</t>
        </is>
      </c>
      <c r="G577" t="inlineStr">
        <is>
          <t>NORDANSTIG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46320</v>
      </c>
      <c r="F578" t="inlineStr">
        <is>
          <t>GÄVLEBORGS LÄN</t>
        </is>
      </c>
      <c r="G578" t="inlineStr">
        <is>
          <t>NORDANSTIG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46320</v>
      </c>
      <c r="F579" t="inlineStr">
        <is>
          <t>GÄVLEBORGS LÄN</t>
        </is>
      </c>
      <c r="G579" t="inlineStr">
        <is>
          <t>NORDANSTIG</t>
        </is>
      </c>
      <c r="I579" t="n">
        <v>15.6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27894-2025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46320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8.6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46320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46070</v>
      </c>
      <c r="E582" s="1" t="n">
        <v>46320</v>
      </c>
      <c r="F582" t="inlineStr">
        <is>
          <t>GÄVLEBORGS LÄN</t>
        </is>
      </c>
      <c r="G582" t="inlineStr">
        <is>
          <t>NORDANSTIG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46320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46320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9516-2026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46320</v>
      </c>
      <c r="F585" t="inlineStr">
        <is>
          <t>GÄVLEBORGS LÄN</t>
        </is>
      </c>
      <c r="G585" t="inlineStr">
        <is>
          <t>NORDANSTIG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46320</v>
      </c>
      <c r="F586" t="inlineStr">
        <is>
          <t>GÄVLEBORGS LÄN</t>
        </is>
      </c>
      <c r="G586" t="inlineStr">
        <is>
          <t>NORDANSTIG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9496-2026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46320</v>
      </c>
      <c r="F587" t="inlineStr">
        <is>
          <t>GÄVLEBORGS LÄN</t>
        </is>
      </c>
      <c r="G587" t="inlineStr">
        <is>
          <t>NORDANSTIG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46320</v>
      </c>
      <c r="F588" t="inlineStr">
        <is>
          <t>GÄVLEBORGS LÄN</t>
        </is>
      </c>
      <c r="G588" t="inlineStr">
        <is>
          <t>NORDANSTIG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46320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46320</v>
      </c>
      <c r="F590" t="inlineStr">
        <is>
          <t>GÄVLEBORGS LÄN</t>
        </is>
      </c>
      <c r="G590" t="inlineStr">
        <is>
          <t>NORDANSTIG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46320</v>
      </c>
      <c r="F591" t="inlineStr">
        <is>
          <t>GÄVLEBORGS LÄN</t>
        </is>
      </c>
      <c r="G591" t="inlineStr">
        <is>
          <t>NORDANSTIG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46320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46320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46320</v>
      </c>
      <c r="F594" t="inlineStr">
        <is>
          <t>GÄVLEBORGS LÄN</t>
        </is>
      </c>
      <c r="G594" t="inlineStr">
        <is>
          <t>NORDANSTIG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10193-2026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46076</v>
      </c>
      <c r="E595" s="1" t="n">
        <v>46320</v>
      </c>
      <c r="F595" t="inlineStr">
        <is>
          <t>GÄVLEBORGS LÄN</t>
        </is>
      </c>
      <c r="G595" t="inlineStr">
        <is>
          <t>NORDANSTIG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46320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34235-2026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46320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46320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46320</v>
      </c>
      <c r="F599" t="inlineStr">
        <is>
          <t>GÄVLEBORGS LÄN</t>
        </is>
      </c>
      <c r="G599" t="inlineStr">
        <is>
          <t>NORDANSTIG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46320</v>
      </c>
      <c r="F600" t="inlineStr">
        <is>
          <t>GÄVLEBORGS LÄN</t>
        </is>
      </c>
      <c r="G600" t="inlineStr">
        <is>
          <t>NORDANSTIG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46320</v>
      </c>
      <c r="F601" t="inlineStr">
        <is>
          <t>GÄVLEBORGS LÄN</t>
        </is>
      </c>
      <c r="G601" t="inlineStr">
        <is>
          <t>NORDANSTIG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46320</v>
      </c>
      <c r="F602" t="inlineStr">
        <is>
          <t>GÄVLEBORGS LÄN</t>
        </is>
      </c>
      <c r="G602" t="inlineStr">
        <is>
          <t>NORDANSTIG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46253</v>
      </c>
      <c r="E603" s="1" t="n">
        <v>46320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45826</v>
      </c>
      <c r="E604" s="1" t="n">
        <v>46320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46320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46320</v>
      </c>
      <c r="F606" t="inlineStr">
        <is>
          <t>GÄVLEBORGS LÄN</t>
        </is>
      </c>
      <c r="G606" t="inlineStr">
        <is>
          <t>NORDANSTIG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46320</v>
      </c>
      <c r="F607" t="inlineStr">
        <is>
          <t>GÄVLEBORGS LÄN</t>
        </is>
      </c>
      <c r="G607" t="inlineStr">
        <is>
          <t>NORDANSTIG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10993-2026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46320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46320</v>
      </c>
      <c r="F609" t="inlineStr">
        <is>
          <t>GÄVLEBORGS LÄN</t>
        </is>
      </c>
      <c r="G609" t="inlineStr">
        <is>
          <t>NORDANSTIG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46296</v>
      </c>
      <c r="E610" s="1" t="n">
        <v>46320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46320</v>
      </c>
      <c r="F611" t="inlineStr">
        <is>
          <t>GÄVLEBORGS LÄN</t>
        </is>
      </c>
      <c r="G611" t="inlineStr">
        <is>
          <t>NORDANSTIG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46320</v>
      </c>
      <c r="F612" t="inlineStr">
        <is>
          <t>GÄVLEBORGS LÄN</t>
        </is>
      </c>
      <c r="G612" t="inlineStr">
        <is>
          <t>NORDANSTIG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11307-2026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46320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30291-2025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45827</v>
      </c>
      <c r="E614" s="1" t="n">
        <v>46320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46320</v>
      </c>
      <c r="F615" t="inlineStr">
        <is>
          <t>GÄVLEBORGS LÄN</t>
        </is>
      </c>
      <c r="G615" t="inlineStr">
        <is>
          <t>NORDANSTIG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46320</v>
      </c>
      <c r="F616" t="inlineStr">
        <is>
          <t>GÄVLEBORGS LÄN</t>
        </is>
      </c>
      <c r="G616" t="inlineStr">
        <is>
          <t>NORDANSTIG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30870-2025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45832</v>
      </c>
      <c r="E617" s="1" t="n">
        <v>46320</v>
      </c>
      <c r="F617" t="inlineStr">
        <is>
          <t>GÄVLEBORGS LÄN</t>
        </is>
      </c>
      <c r="G617" t="inlineStr">
        <is>
          <t>NORDANSTIG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11592-2026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46320</v>
      </c>
      <c r="F618" t="inlineStr">
        <is>
          <t>GÄVLEBORGS LÄN</t>
        </is>
      </c>
      <c r="G618" t="inlineStr">
        <is>
          <t>NORDANSTIG</t>
        </is>
      </c>
      <c r="I618" t="n">
        <v>8.6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46320</v>
      </c>
      <c r="F619" t="inlineStr">
        <is>
          <t>GÄVLEBORGS LÄN</t>
        </is>
      </c>
      <c r="G619" t="inlineStr">
        <is>
          <t>NORDANSTIG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31031-2025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45832</v>
      </c>
      <c r="E620" s="1" t="n">
        <v>46320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45832</v>
      </c>
      <c r="E621" s="1" t="n">
        <v>46320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11581-2026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46320</v>
      </c>
      <c r="F622" t="inlineStr">
        <is>
          <t>GÄVLEBORGS LÄN</t>
        </is>
      </c>
      <c r="G622" t="inlineStr">
        <is>
          <t>NORDANSTIG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46320</v>
      </c>
      <c r="F623" t="inlineStr">
        <is>
          <t>GÄVLEBORGS LÄN</t>
        </is>
      </c>
      <c r="G623" t="inlineStr">
        <is>
          <t>NORDANSTIG</t>
        </is>
      </c>
      <c r="I623" t="n">
        <v>10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12334-2026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46087</v>
      </c>
      <c r="E624" s="1" t="n">
        <v>46320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46320</v>
      </c>
      <c r="F625" t="inlineStr">
        <is>
          <t>GÄVLEBORGS LÄN</t>
        </is>
      </c>
      <c r="G625" t="inlineStr">
        <is>
          <t>NORDANSTIG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46320</v>
      </c>
      <c r="F626" t="inlineStr">
        <is>
          <t>GÄVLEBORGS LÄN</t>
        </is>
      </c>
      <c r="G626" t="inlineStr">
        <is>
          <t>NORDANSTIG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46320</v>
      </c>
      <c r="F627" t="inlineStr">
        <is>
          <t>GÄVLEBORGS LÄN</t>
        </is>
      </c>
      <c r="G627" t="inlineStr">
        <is>
          <t>NORDANSTIG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45513</v>
      </c>
      <c r="E628" s="1" t="n">
        <v>46320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45504</v>
      </c>
      <c r="E629" s="1" t="n">
        <v>46320</v>
      </c>
      <c r="F629" t="inlineStr">
        <is>
          <t>GÄVLEBORGS LÄN</t>
        </is>
      </c>
      <c r="G629" t="inlineStr">
        <is>
          <t>NORDANSTIG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34229-2026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46320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46320</v>
      </c>
      <c r="F631" t="inlineStr">
        <is>
          <t>GÄVLEBORGS LÄN</t>
        </is>
      </c>
      <c r="G631" t="inlineStr">
        <is>
          <t>NORDANSTIG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38241-2024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45545</v>
      </c>
      <c r="E632" s="1" t="n">
        <v>46320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46272</v>
      </c>
      <c r="E633" s="1" t="n">
        <v>46320</v>
      </c>
      <c r="F633" t="inlineStr">
        <is>
          <t>GÄVLEBORGS LÄN</t>
        </is>
      </c>
      <c r="G633" t="inlineStr">
        <is>
          <t>NORDANSTIG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46202</v>
      </c>
      <c r="E634" s="1" t="n">
        <v>46320</v>
      </c>
      <c r="F634" t="inlineStr">
        <is>
          <t>GÄVLEBORGS LÄN</t>
        </is>
      </c>
      <c r="G634" t="inlineStr">
        <is>
          <t>NORDANSTIG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12458-2026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46090</v>
      </c>
      <c r="E635" s="1" t="n">
        <v>46320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46320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45835</v>
      </c>
      <c r="E637" s="1" t="n">
        <v>46320</v>
      </c>
      <c r="F637" t="inlineStr">
        <is>
          <t>GÄVLEBORGS LÄN</t>
        </is>
      </c>
      <c r="G637" t="inlineStr">
        <is>
          <t>NORDANSTIG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32082-2025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45835</v>
      </c>
      <c r="E638" s="1" t="n">
        <v>46320</v>
      </c>
      <c r="F638" t="inlineStr">
        <is>
          <t>GÄVLEBORGS LÄN</t>
        </is>
      </c>
      <c r="G638" t="inlineStr">
        <is>
          <t>NORDANSTIG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46320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46320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46320</v>
      </c>
      <c r="F641" t="inlineStr">
        <is>
          <t>GÄVLEBORGS LÄN</t>
        </is>
      </c>
      <c r="G641" t="inlineStr">
        <is>
          <t>NORDANSTIG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20133-2026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46136</v>
      </c>
      <c r="E642" s="1" t="n">
        <v>46320</v>
      </c>
      <c r="F642" t="inlineStr">
        <is>
          <t>GÄVLEBORGS LÄN</t>
        </is>
      </c>
      <c r="G642" t="inlineStr">
        <is>
          <t>NORDANSTIG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46320</v>
      </c>
      <c r="F643" t="inlineStr">
        <is>
          <t>GÄVLEBORGS LÄN</t>
        </is>
      </c>
      <c r="G643" t="inlineStr">
        <is>
          <t>NORDANSTIG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34475-2026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46254</v>
      </c>
      <c r="E644" s="1" t="n">
        <v>46320</v>
      </c>
      <c r="F644" t="inlineStr">
        <is>
          <t>GÄVLEBORGS LÄN</t>
        </is>
      </c>
      <c r="G644" t="inlineStr">
        <is>
          <t>NORDANSTIG</t>
        </is>
      </c>
      <c r="H644" t="inlineStr">
        <is>
          <t>SCA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46320</v>
      </c>
      <c r="F645" t="inlineStr">
        <is>
          <t>GÄVLEBORGS LÄN</t>
        </is>
      </c>
      <c r="G645" t="inlineStr">
        <is>
          <t>NORDANSTIG</t>
        </is>
      </c>
      <c r="I645" t="n">
        <v>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13647-2026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46320</v>
      </c>
      <c r="F646" t="inlineStr">
        <is>
          <t>GÄVLEBORGS LÄN</t>
        </is>
      </c>
      <c r="G646" t="inlineStr">
        <is>
          <t>NORDANSTIG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41063-2026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46300</v>
      </c>
      <c r="E647" s="1" t="n">
        <v>46320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40104-2024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45554</v>
      </c>
      <c r="E648" s="1" t="n">
        <v>46320</v>
      </c>
      <c r="F648" t="inlineStr">
        <is>
          <t>GÄVLEBORGS LÄN</t>
        </is>
      </c>
      <c r="G648" t="inlineStr">
        <is>
          <t>NORDANSTIG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45839</v>
      </c>
      <c r="E649" s="1" t="n">
        <v>46320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45841</v>
      </c>
      <c r="E650" s="1" t="n">
        <v>46320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46320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46320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33532-2025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45841</v>
      </c>
      <c r="E653" s="1" t="n">
        <v>46320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46098</v>
      </c>
      <c r="E654" s="1" t="n">
        <v>46320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46320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46320</v>
      </c>
      <c r="F656" t="inlineStr">
        <is>
          <t>GÄVLEBORGS LÄN</t>
        </is>
      </c>
      <c r="G656" t="inlineStr">
        <is>
          <t>NORDANSTIG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13822-2026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46320</v>
      </c>
      <c r="F657" t="inlineStr">
        <is>
          <t>GÄVLEBORGS LÄN</t>
        </is>
      </c>
      <c r="G657" t="inlineStr">
        <is>
          <t>NORDANSTIG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51222-2024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45603</v>
      </c>
      <c r="E658" s="1" t="n">
        <v>46320</v>
      </c>
      <c r="F658" t="inlineStr">
        <is>
          <t>GÄVLEBORGS LÄN</t>
        </is>
      </c>
      <c r="G658" t="inlineStr">
        <is>
          <t>NORDANSTIG</t>
        </is>
      </c>
      <c r="I658" t="n">
        <v>15.1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51230-2024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45603</v>
      </c>
      <c r="E659" s="1" t="n">
        <v>46320</v>
      </c>
      <c r="F659" t="inlineStr">
        <is>
          <t>GÄVLEBORGS LÄN</t>
        </is>
      </c>
      <c r="G659" t="inlineStr">
        <is>
          <t>NORDANSTIG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34311-2025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45846</v>
      </c>
      <c r="E660" s="1" t="n">
        <v>46320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34342-2025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45846</v>
      </c>
      <c r="E661" s="1" t="n">
        <v>46320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44945</v>
      </c>
      <c r="E662" s="1" t="n">
        <v>46320</v>
      </c>
      <c r="F662" t="inlineStr">
        <is>
          <t>GÄVLEBORGS LÄN</t>
        </is>
      </c>
      <c r="G662" t="inlineStr">
        <is>
          <t>NORDANSTIG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46127</v>
      </c>
      <c r="E663" s="1" t="n">
        <v>46320</v>
      </c>
      <c r="F663" t="inlineStr">
        <is>
          <t>GÄVLEBORGS LÄN</t>
        </is>
      </c>
      <c r="G663" t="inlineStr">
        <is>
          <t>NORDANSTIG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46300</v>
      </c>
      <c r="E664" s="1" t="n">
        <v>46320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30978-2024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45499</v>
      </c>
      <c r="E665" s="1" t="n">
        <v>46320</v>
      </c>
      <c r="F665" t="inlineStr">
        <is>
          <t>GÄVLEBORGS LÄN</t>
        </is>
      </c>
      <c r="G665" t="inlineStr">
        <is>
          <t>NORDANSTIG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15009-2026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46320</v>
      </c>
      <c r="F666" t="inlineStr">
        <is>
          <t>GÄVLEBORGS LÄN</t>
        </is>
      </c>
      <c r="G666" t="inlineStr">
        <is>
          <t>NORDANSTIG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15010-2026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46320</v>
      </c>
      <c r="F667" t="inlineStr">
        <is>
          <t>GÄVLEBORGS LÄN</t>
        </is>
      </c>
      <c r="G667" t="inlineStr">
        <is>
          <t>NORDANSTIG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45848</v>
      </c>
      <c r="E668" s="1" t="n">
        <v>46320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41665-2026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46302</v>
      </c>
      <c r="E669" s="1" t="n">
        <v>46320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34788-2025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45848</v>
      </c>
      <c r="E670" s="1" t="n">
        <v>46320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46259</v>
      </c>
      <c r="E671" s="1" t="n">
        <v>46320</v>
      </c>
      <c r="F671" t="inlineStr">
        <is>
          <t>GÄVLEBORGS LÄN</t>
        </is>
      </c>
      <c r="G671" t="inlineStr">
        <is>
          <t>NORDANSTIG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34694-2025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45848</v>
      </c>
      <c r="E672" s="1" t="n">
        <v>46320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46078</v>
      </c>
      <c r="E673" s="1" t="n">
        <v>46320</v>
      </c>
      <c r="F673" t="inlineStr">
        <is>
          <t>GÄVLEBORGS LÄN</t>
        </is>
      </c>
      <c r="G673" t="inlineStr">
        <is>
          <t>NORDANSTIG</t>
        </is>
      </c>
      <c r="I673" t="n">
        <v>10.9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46320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46320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46320</v>
      </c>
      <c r="F676" t="inlineStr">
        <is>
          <t>GÄVLEBORGS LÄN</t>
        </is>
      </c>
      <c r="G676" t="inlineStr">
        <is>
          <t>NORDANSTIG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34693-2026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46258</v>
      </c>
      <c r="E677" s="1" t="n">
        <v>46320</v>
      </c>
      <c r="F677" t="inlineStr">
        <is>
          <t>GÄVLEBORGS LÄN</t>
        </is>
      </c>
      <c r="G677" t="inlineStr">
        <is>
          <t>NORDANSTIG</t>
        </is>
      </c>
      <c r="I677" t="n">
        <v>9.199999999999999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46259</v>
      </c>
      <c r="E678" s="1" t="n">
        <v>46320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16184-2026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46320</v>
      </c>
      <c r="F679" t="inlineStr">
        <is>
          <t>GÄVLEBORGS LÄN</t>
        </is>
      </c>
      <c r="G679" t="inlineStr">
        <is>
          <t>NORDANSTIG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46079</v>
      </c>
      <c r="E680" s="1" t="n">
        <v>46320</v>
      </c>
      <c r="F680" t="inlineStr">
        <is>
          <t>GÄVLEBORGS LÄN</t>
        </is>
      </c>
      <c r="G680" t="inlineStr">
        <is>
          <t>NORDANSTIG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46302</v>
      </c>
      <c r="E681" s="1" t="n">
        <v>46320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41658-2026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46302</v>
      </c>
      <c r="E682" s="1" t="n">
        <v>46320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41626-2026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46302</v>
      </c>
      <c r="E683" s="1" t="n">
        <v>46320</v>
      </c>
      <c r="F683" t="inlineStr">
        <is>
          <t>GÄVLEBORGS LÄN</t>
        </is>
      </c>
      <c r="G683" t="inlineStr">
        <is>
          <t>NORDANSTIG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46320</v>
      </c>
      <c r="F684" t="inlineStr">
        <is>
          <t>GÄVLEBORGS LÄN</t>
        </is>
      </c>
      <c r="G684" t="inlineStr">
        <is>
          <t>NORDANSTIG</t>
        </is>
      </c>
      <c r="H684" t="inlineStr">
        <is>
          <t>Kommuner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5968-2025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45695</v>
      </c>
      <c r="E685" s="1" t="n">
        <v>46320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35707-2025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45860</v>
      </c>
      <c r="E686" s="1" t="n">
        <v>46320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45859</v>
      </c>
      <c r="E687" s="1" t="n">
        <v>46320</v>
      </c>
      <c r="F687" t="inlineStr">
        <is>
          <t>GÄVLEBORGS LÄN</t>
        </is>
      </c>
      <c r="G687" t="inlineStr">
        <is>
          <t>NORDANSTIG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16294-2026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46320</v>
      </c>
      <c r="F688" t="inlineStr">
        <is>
          <t>GÄVLEBORGS LÄN</t>
        </is>
      </c>
      <c r="G688" t="inlineStr">
        <is>
          <t>NORDANSTIG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16293-2026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46320</v>
      </c>
      <c r="F689" t="inlineStr">
        <is>
          <t>GÄVLEBORGS LÄN</t>
        </is>
      </c>
      <c r="G689" t="inlineStr">
        <is>
          <t>NORDANSTIG</t>
        </is>
      </c>
      <c r="H689" t="inlineStr">
        <is>
          <t>Kommuner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46320</v>
      </c>
      <c r="F690" t="inlineStr">
        <is>
          <t>GÄVLEBORGS LÄN</t>
        </is>
      </c>
      <c r="G690" t="inlineStr">
        <is>
          <t>NORDANSTIG</t>
        </is>
      </c>
      <c r="H690" t="inlineStr">
        <is>
          <t>Kommuner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35733-2025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45860</v>
      </c>
      <c r="E691" s="1" t="n">
        <v>46320</v>
      </c>
      <c r="F691" t="inlineStr">
        <is>
          <t>GÄVLEBORGS LÄN</t>
        </is>
      </c>
      <c r="G691" t="inlineStr">
        <is>
          <t>NORDANSTIG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46320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42.1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44939</v>
      </c>
      <c r="E693" s="1" t="n">
        <v>46320</v>
      </c>
      <c r="F693" t="inlineStr">
        <is>
          <t>GÄVLEBORGS LÄN</t>
        </is>
      </c>
      <c r="G693" t="inlineStr">
        <is>
          <t>NORDANSTIG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46320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34.8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46320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46320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46320</v>
      </c>
      <c r="F697" t="inlineStr">
        <is>
          <t>GÄVLEBORGS LÄN</t>
        </is>
      </c>
      <c r="G697" t="inlineStr">
        <is>
          <t>NORDANSTIG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46320</v>
      </c>
      <c r="F698" t="inlineStr">
        <is>
          <t>GÄVLEBORGS LÄN</t>
        </is>
      </c>
      <c r="G698" t="inlineStr">
        <is>
          <t>NORDANSTIG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44930</v>
      </c>
      <c r="E699" s="1" t="n">
        <v>46320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16687-2026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46320</v>
      </c>
      <c r="F700" t="inlineStr">
        <is>
          <t>GÄVLEBORGS LÄN</t>
        </is>
      </c>
      <c r="G700" t="inlineStr">
        <is>
          <t>NORDANSTIG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46320</v>
      </c>
      <c r="F701" t="inlineStr">
        <is>
          <t>GÄVLEBORGS LÄN</t>
        </is>
      </c>
      <c r="G701" t="inlineStr">
        <is>
          <t>NORDANSTIG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46118</v>
      </c>
      <c r="E702" s="1" t="n">
        <v>46320</v>
      </c>
      <c r="F702" t="inlineStr">
        <is>
          <t>GÄVLEBORGS LÄN</t>
        </is>
      </c>
      <c r="G702" t="inlineStr">
        <is>
          <t>NORDANSTIG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46320</v>
      </c>
      <c r="F703" t="inlineStr">
        <is>
          <t>GÄVLEBORGS LÄN</t>
        </is>
      </c>
      <c r="G703" t="inlineStr">
        <is>
          <t>NORDANSTIG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46320</v>
      </c>
      <c r="F704" t="inlineStr">
        <is>
          <t>GÄVLEBORGS LÄN</t>
        </is>
      </c>
      <c r="G704" t="inlineStr">
        <is>
          <t>NORDANSTIG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17494-2026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46120</v>
      </c>
      <c r="E705" s="1" t="n">
        <v>46320</v>
      </c>
      <c r="F705" t="inlineStr">
        <is>
          <t>GÄVLEBORGS LÄN</t>
        </is>
      </c>
      <c r="G705" t="inlineStr">
        <is>
          <t>NORDANSTIG</t>
        </is>
      </c>
      <c r="I705" t="n">
        <v>16.3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17500-2026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46320</v>
      </c>
      <c r="F706" t="inlineStr">
        <is>
          <t>GÄVLEBORGS LÄN</t>
        </is>
      </c>
      <c r="G706" t="inlineStr">
        <is>
          <t>NORDANSTIG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46320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17498-2026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46120</v>
      </c>
      <c r="E708" s="1" t="n">
        <v>46320</v>
      </c>
      <c r="F708" t="inlineStr">
        <is>
          <t>GÄVLEBORGS LÄN</t>
        </is>
      </c>
      <c r="G708" t="inlineStr">
        <is>
          <t>NORDANSTIG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46120</v>
      </c>
      <c r="E709" s="1" t="n">
        <v>46320</v>
      </c>
      <c r="F709" t="inlineStr">
        <is>
          <t>GÄVLEBORGS LÄN</t>
        </is>
      </c>
      <c r="G709" t="inlineStr">
        <is>
          <t>NORDANSTIG</t>
        </is>
      </c>
      <c r="I709" t="n">
        <v>9.800000000000001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46120</v>
      </c>
      <c r="E710" s="1" t="n">
        <v>46320</v>
      </c>
      <c r="F710" t="inlineStr">
        <is>
          <t>GÄVLEBORGS LÄN</t>
        </is>
      </c>
      <c r="G710" t="inlineStr">
        <is>
          <t>NORDANSTIG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17489-2026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46120</v>
      </c>
      <c r="E711" s="1" t="n">
        <v>46320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55450-2024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46320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46320</v>
      </c>
      <c r="F713" t="inlineStr">
        <is>
          <t>GÄVLEBORGS LÄN</t>
        </is>
      </c>
      <c r="G713" t="inlineStr">
        <is>
          <t>NORDANSTIG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11762-2023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44994</v>
      </c>
      <c r="E714" s="1" t="n">
        <v>46320</v>
      </c>
      <c r="F714" t="inlineStr">
        <is>
          <t>GÄVLEBORGS LÄN</t>
        </is>
      </c>
      <c r="G714" t="inlineStr">
        <is>
          <t>NORDANSTIG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46125</v>
      </c>
      <c r="E715" s="1" t="n">
        <v>46320</v>
      </c>
      <c r="F715" t="inlineStr">
        <is>
          <t>GÄVLEBORGS LÄN</t>
        </is>
      </c>
      <c r="G715" t="inlineStr">
        <is>
          <t>NORDANSTIG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45618</v>
      </c>
      <c r="E716" s="1" t="n">
        <v>46320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46227</v>
      </c>
      <c r="E717" s="1" t="n">
        <v>46320</v>
      </c>
      <c r="F717" t="inlineStr">
        <is>
          <t>GÄVLEBORGS LÄN</t>
        </is>
      </c>
      <c r="G717" t="inlineStr">
        <is>
          <t>NORDANSTIG</t>
        </is>
      </c>
      <c r="I717" t="n">
        <v>5.1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12266-2025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46320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46031</v>
      </c>
      <c r="E719" s="1" t="n">
        <v>46320</v>
      </c>
      <c r="F719" t="inlineStr">
        <is>
          <t>GÄVLEBORGS LÄN</t>
        </is>
      </c>
      <c r="G719" t="inlineStr">
        <is>
          <t>NORDANSTIG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46320</v>
      </c>
      <c r="F720" t="inlineStr">
        <is>
          <t>GÄVLEBORGS LÄN</t>
        </is>
      </c>
      <c r="G720" t="inlineStr">
        <is>
          <t>NORDANSTIG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18236-2026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46320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18385-2026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46126</v>
      </c>
      <c r="E722" s="1" t="n">
        <v>46320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18282-2026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46126</v>
      </c>
      <c r="E723" s="1" t="n">
        <v>46320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43.6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46320</v>
      </c>
      <c r="F724" t="inlineStr">
        <is>
          <t>GÄVLEBORGS LÄN</t>
        </is>
      </c>
      <c r="G724" t="inlineStr">
        <is>
          <t>NORDANSTIG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74460-2021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44560</v>
      </c>
      <c r="E725" s="1" t="n">
        <v>46320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37728-2025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46320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25200-2022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44729</v>
      </c>
      <c r="E727" s="1" t="n">
        <v>46320</v>
      </c>
      <c r="F727" t="inlineStr">
        <is>
          <t>GÄVLEBORGS LÄN</t>
        </is>
      </c>
      <c r="G727" t="inlineStr">
        <is>
          <t>NORDANSTIG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35546-2026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46262</v>
      </c>
      <c r="E728" s="1" t="n">
        <v>46320</v>
      </c>
      <c r="F728" t="inlineStr">
        <is>
          <t>GÄVLEBORGS LÄN</t>
        </is>
      </c>
      <c r="G728" t="inlineStr">
        <is>
          <t>NORDANSTIG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37848-2025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45881</v>
      </c>
      <c r="E729" s="1" t="n">
        <v>46320</v>
      </c>
      <c r="F729" t="inlineStr">
        <is>
          <t>GÄVLEBORGS LÄN</t>
        </is>
      </c>
      <c r="G729" t="inlineStr">
        <is>
          <t>NORDANSTIG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45882</v>
      </c>
      <c r="E730" s="1" t="n">
        <v>46320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38342-2024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45545</v>
      </c>
      <c r="E731" s="1" t="n">
        <v>46320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8395-2024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45352</v>
      </c>
      <c r="E732" s="1" t="n">
        <v>46320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46320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45042</v>
      </c>
      <c r="E734" s="1" t="n">
        <v>46320</v>
      </c>
      <c r="F734" t="inlineStr">
        <is>
          <t>GÄVLEBORGS LÄN</t>
        </is>
      </c>
      <c r="G734" t="inlineStr">
        <is>
          <t>NORDANSTIG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46134</v>
      </c>
      <c r="E735" s="1" t="n">
        <v>46320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46320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38589-2025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45884</v>
      </c>
      <c r="E737" s="1" t="n">
        <v>46320</v>
      </c>
      <c r="F737" t="inlineStr">
        <is>
          <t>GÄVLEBORGS LÄN</t>
        </is>
      </c>
      <c r="G737" t="inlineStr">
        <is>
          <t>NORDANSTIG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36464-2024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45537</v>
      </c>
      <c r="E738" s="1" t="n">
        <v>46320</v>
      </c>
      <c r="F738" t="inlineStr">
        <is>
          <t>GÄVLEBORGS LÄN</t>
        </is>
      </c>
      <c r="G738" t="inlineStr">
        <is>
          <t>NORDANSTIG</t>
        </is>
      </c>
      <c r="H738" t="inlineStr">
        <is>
          <t>SCA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55526-2024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45622</v>
      </c>
      <c r="E739" s="1" t="n">
        <v>46320</v>
      </c>
      <c r="F739" t="inlineStr">
        <is>
          <t>GÄVLEBORGS LÄN</t>
        </is>
      </c>
      <c r="G739" t="inlineStr">
        <is>
          <t>NORDANSTIG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42858-2024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45566</v>
      </c>
      <c r="E740" s="1" t="n">
        <v>46320</v>
      </c>
      <c r="F740" t="inlineStr">
        <is>
          <t>GÄVLEBORGS LÄN</t>
        </is>
      </c>
      <c r="G740" t="inlineStr">
        <is>
          <t>NORDANSTIG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44599</v>
      </c>
      <c r="E741" s="1" t="n">
        <v>46320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42385-2026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46307</v>
      </c>
      <c r="E742" s="1" t="n">
        <v>46320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19896-2025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45771</v>
      </c>
      <c r="E743" s="1" t="n">
        <v>46320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9131-2024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45358</v>
      </c>
      <c r="E744" s="1" t="n">
        <v>46320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46136</v>
      </c>
      <c r="E745" s="1" t="n">
        <v>46320</v>
      </c>
      <c r="F745" t="inlineStr">
        <is>
          <t>GÄVLEBORGS LÄN</t>
        </is>
      </c>
      <c r="G745" t="inlineStr">
        <is>
          <t>NORDANSTIG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46265</v>
      </c>
      <c r="E746" s="1" t="n">
        <v>46320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57976-2022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44900</v>
      </c>
      <c r="E747" s="1" t="n">
        <v>46320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46320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46135</v>
      </c>
      <c r="E749" s="1" t="n">
        <v>46320</v>
      </c>
      <c r="F749" t="inlineStr">
        <is>
          <t>GÄVLEBORGS LÄN</t>
        </is>
      </c>
      <c r="G749" t="inlineStr">
        <is>
          <t>NORDANSTIG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19970-2026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46136</v>
      </c>
      <c r="E750" s="1" t="n">
        <v>46320</v>
      </c>
      <c r="F750" t="inlineStr">
        <is>
          <t>GÄVLEBORGS LÄN</t>
        </is>
      </c>
      <c r="G750" t="inlineStr">
        <is>
          <t>NORDANSTIG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884-2024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45301</v>
      </c>
      <c r="E751" s="1" t="n">
        <v>46320</v>
      </c>
      <c r="F751" t="inlineStr">
        <is>
          <t>GÄVLEBORGS LÄN</t>
        </is>
      </c>
      <c r="G751" t="inlineStr">
        <is>
          <t>NORDANSTIG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46320</v>
      </c>
      <c r="F752" t="inlineStr">
        <is>
          <t>GÄVLEBORGS LÄN</t>
        </is>
      </c>
      <c r="G752" t="inlineStr">
        <is>
          <t>NORDANSTIG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42800-2026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46309</v>
      </c>
      <c r="E753" s="1" t="n">
        <v>46320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43539-2023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45184</v>
      </c>
      <c r="E754" s="1" t="n">
        <v>46320</v>
      </c>
      <c r="F754" t="inlineStr">
        <is>
          <t>GÄVLEBORGS LÄN</t>
        </is>
      </c>
      <c r="G754" t="inlineStr">
        <is>
          <t>NORDANSTIG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15973-2022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44664</v>
      </c>
      <c r="E755" s="1" t="n">
        <v>46320</v>
      </c>
      <c r="F755" t="inlineStr">
        <is>
          <t>GÄVLEBORGS LÄN</t>
        </is>
      </c>
      <c r="G755" t="inlineStr">
        <is>
          <t>NORDANSTIG</t>
        </is>
      </c>
      <c r="H755" t="inlineStr">
        <is>
          <t>SCA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46140</v>
      </c>
      <c r="E756" s="1" t="n">
        <v>46320</v>
      </c>
      <c r="F756" t="inlineStr">
        <is>
          <t>GÄVLEBORGS LÄN</t>
        </is>
      </c>
      <c r="G756" t="inlineStr">
        <is>
          <t>NORDANSTIG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46320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46320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60839-2023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45260</v>
      </c>
      <c r="E759" s="1" t="n">
        <v>46320</v>
      </c>
      <c r="F759" t="inlineStr">
        <is>
          <t>GÄVLEBORGS LÄN</t>
        </is>
      </c>
      <c r="G759" t="inlineStr">
        <is>
          <t>NORDANSTIG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62495-2025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46007</v>
      </c>
      <c r="E760" s="1" t="n">
        <v>46320</v>
      </c>
      <c r="F760" t="inlineStr">
        <is>
          <t>GÄVLEBORGS LÄN</t>
        </is>
      </c>
      <c r="G760" t="inlineStr">
        <is>
          <t>NORDANSTIG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20482-2026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46140</v>
      </c>
      <c r="E761" s="1" t="n">
        <v>46320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8.6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43408-2026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46320</v>
      </c>
      <c r="F762" t="inlineStr">
        <is>
          <t>GÄVLEBORGS LÄN</t>
        </is>
      </c>
      <c r="G762" t="inlineStr">
        <is>
          <t>NORDANSTIG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58165-2023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45250</v>
      </c>
      <c r="E763" s="1" t="n">
        <v>46320</v>
      </c>
      <c r="F763" t="inlineStr">
        <is>
          <t>GÄVLEBORGS LÄN</t>
        </is>
      </c>
      <c r="G763" t="inlineStr">
        <is>
          <t>NORDANSTIG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25273-2024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45462</v>
      </c>
      <c r="E764" s="1" t="n">
        <v>46320</v>
      </c>
      <c r="F764" t="inlineStr">
        <is>
          <t>GÄVLEBORGS LÄN</t>
        </is>
      </c>
      <c r="G764" t="inlineStr">
        <is>
          <t>NORDANSTIG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43271-2026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46314</v>
      </c>
      <c r="E765" s="1" t="n">
        <v>46320</v>
      </c>
      <c r="F765" t="inlineStr">
        <is>
          <t>GÄVLEBORGS LÄN</t>
        </is>
      </c>
      <c r="G765" t="inlineStr">
        <is>
          <t>NORDANSTIG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62496-2025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46007</v>
      </c>
      <c r="E766" s="1" t="n">
        <v>46320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15622-2025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45748</v>
      </c>
      <c r="E767" s="1" t="n">
        <v>46320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45550-2024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45579</v>
      </c>
      <c r="E768" s="1" t="n">
        <v>46320</v>
      </c>
      <c r="F768" t="inlineStr">
        <is>
          <t>GÄVLEBORGS LÄN</t>
        </is>
      </c>
      <c r="G768" t="inlineStr">
        <is>
          <t>NORDANSTIG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20288-2026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46320</v>
      </c>
      <c r="F769" t="inlineStr">
        <is>
          <t>GÄVLEBORGS LÄN</t>
        </is>
      </c>
      <c r="G769" t="inlineStr">
        <is>
          <t>NORDANSTIG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45671</v>
      </c>
      <c r="E770" s="1" t="n">
        <v>46320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52695-2024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45610</v>
      </c>
      <c r="E771" s="1" t="n">
        <v>46320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63786-2025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46019</v>
      </c>
      <c r="E772" s="1" t="n">
        <v>46320</v>
      </c>
      <c r="F772" t="inlineStr">
        <is>
          <t>GÄVLEBORGS LÄN</t>
        </is>
      </c>
      <c r="G772" t="inlineStr">
        <is>
          <t>NORDANSTIG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46320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45687</v>
      </c>
      <c r="E774" s="1" t="n">
        <v>46320</v>
      </c>
      <c r="F774" t="inlineStr">
        <is>
          <t>GÄVLEBORGS LÄN</t>
        </is>
      </c>
      <c r="G774" t="inlineStr">
        <is>
          <t>NORDANSTIG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31724-2024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45509</v>
      </c>
      <c r="E775" s="1" t="n">
        <v>46320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46030</v>
      </c>
      <c r="E776" s="1" t="n">
        <v>46320</v>
      </c>
      <c r="F776" t="inlineStr">
        <is>
          <t>GÄVLEBORGS LÄN</t>
        </is>
      </c>
      <c r="G776" t="inlineStr">
        <is>
          <t>NORDANSTIG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46021</v>
      </c>
      <c r="E777" s="1" t="n">
        <v>46320</v>
      </c>
      <c r="F777" t="inlineStr">
        <is>
          <t>GÄVLEBORGS LÄN</t>
        </is>
      </c>
      <c r="G777" t="inlineStr">
        <is>
          <t>NORDANSTIG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46320</v>
      </c>
      <c r="F778" t="inlineStr">
        <is>
          <t>GÄVLEBORGS LÄN</t>
        </is>
      </c>
      <c r="G778" t="inlineStr">
        <is>
          <t>NORDANSTIG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43499-2026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46315</v>
      </c>
      <c r="E779" s="1" t="n">
        <v>46320</v>
      </c>
      <c r="F779" t="inlineStr">
        <is>
          <t>GÄVLEBORGS LÄN</t>
        </is>
      </c>
      <c r="G779" t="inlineStr">
        <is>
          <t>NORDANSTIG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46054</v>
      </c>
      <c r="E780" s="1" t="n">
        <v>46320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15312-2022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44659</v>
      </c>
      <c r="E781" s="1" t="n">
        <v>46320</v>
      </c>
      <c r="F781" t="inlineStr">
        <is>
          <t>GÄVLEBORGS LÄN</t>
        </is>
      </c>
      <c r="G781" t="inlineStr">
        <is>
          <t>NORDANSTIG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46033</v>
      </c>
      <c r="E782" s="1" t="n">
        <v>46320</v>
      </c>
      <c r="F782" t="inlineStr">
        <is>
          <t>GÄVLEBORGS LÄN</t>
        </is>
      </c>
      <c r="G782" t="inlineStr">
        <is>
          <t>NORDANSTIG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46273</v>
      </c>
      <c r="E783" s="1" t="n">
        <v>46320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31571-2024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45506</v>
      </c>
      <c r="E784" s="1" t="n">
        <v>46320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59128-2024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45637</v>
      </c>
      <c r="E785" s="1" t="n">
        <v>46320</v>
      </c>
      <c r="F785" t="inlineStr">
        <is>
          <t>GÄVLEBORGS LÄN</t>
        </is>
      </c>
      <c r="G785" t="inlineStr">
        <is>
          <t>NORDANSTIG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43581-2026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46315</v>
      </c>
      <c r="E786" s="1" t="n">
        <v>46320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46320</v>
      </c>
      <c r="F787" t="inlineStr">
        <is>
          <t>GÄVLEBORGS LÄN</t>
        </is>
      </c>
      <c r="G787" t="inlineStr">
        <is>
          <t>NORDANSTIG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37028-2026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46273</v>
      </c>
      <c r="E788" s="1" t="n">
        <v>46320</v>
      </c>
      <c r="F788" t="inlineStr">
        <is>
          <t>GÄVLEBORGS LÄN</t>
        </is>
      </c>
      <c r="G788" t="inlineStr">
        <is>
          <t>NORDANSTIG</t>
        </is>
      </c>
      <c r="H788" t="inlineStr">
        <is>
          <t>SCA</t>
        </is>
      </c>
      <c r="I788" t="n">
        <v>6.9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46026</v>
      </c>
      <c r="E789" s="1" t="n">
        <v>46320</v>
      </c>
      <c r="F789" t="inlineStr">
        <is>
          <t>GÄVLEBORGS LÄN</t>
        </is>
      </c>
      <c r="G789" t="inlineStr">
        <is>
          <t>NORDANSTIG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19364-2022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44692</v>
      </c>
      <c r="E790" s="1" t="n">
        <v>46320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46320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46125</v>
      </c>
      <c r="E792" s="1" t="n">
        <v>46320</v>
      </c>
      <c r="F792" t="inlineStr">
        <is>
          <t>GÄVLEBORGS LÄN</t>
        </is>
      </c>
      <c r="G792" t="inlineStr">
        <is>
          <t>NORDANSTIG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43285-2026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46314</v>
      </c>
      <c r="E793" s="1" t="n">
        <v>46320</v>
      </c>
      <c r="F793" t="inlineStr">
        <is>
          <t>GÄVLEBORGS LÄN</t>
        </is>
      </c>
      <c r="G793" t="inlineStr">
        <is>
          <t>NORDANSTIG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44075-2025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46320</v>
      </c>
      <c r="F794" t="inlineStr">
        <is>
          <t>GÄVLEBORGS LÄN</t>
        </is>
      </c>
      <c r="G794" t="inlineStr">
        <is>
          <t>NORDANSTIG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3764-2026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46043</v>
      </c>
      <c r="E795" s="1" t="n">
        <v>46320</v>
      </c>
      <c r="F795" t="inlineStr">
        <is>
          <t>GÄVLEBORGS LÄN</t>
        </is>
      </c>
      <c r="G795" t="inlineStr">
        <is>
          <t>NORDANSTIG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46320</v>
      </c>
      <c r="F796" t="inlineStr">
        <is>
          <t>GÄVLEBORGS LÄN</t>
        </is>
      </c>
      <c r="G796" t="inlineStr">
        <is>
          <t>NORDANSTIG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29401-2025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45824</v>
      </c>
      <c r="E797" s="1" t="n">
        <v>46320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46320</v>
      </c>
      <c r="F798" t="inlineStr">
        <is>
          <t>GÄVLEBORGS LÄN</t>
        </is>
      </c>
      <c r="G798" t="inlineStr">
        <is>
          <t>NORDANSTIG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36825-2026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46320</v>
      </c>
      <c r="F799" t="inlineStr">
        <is>
          <t>GÄVLEBORGS LÄN</t>
        </is>
      </c>
      <c r="G799" t="inlineStr">
        <is>
          <t>NORDANSTIG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46320</v>
      </c>
      <c r="F800" t="inlineStr">
        <is>
          <t>GÄVLEBORGS LÄN</t>
        </is>
      </c>
      <c r="G800" t="inlineStr">
        <is>
          <t>NORDANSTIG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46275</v>
      </c>
      <c r="E801" s="1" t="n">
        <v>46320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37135-2026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46274</v>
      </c>
      <c r="E802" s="1" t="n">
        <v>46320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7013-2023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44967</v>
      </c>
      <c r="E803" s="1" t="n">
        <v>46320</v>
      </c>
      <c r="F803" t="inlineStr">
        <is>
          <t>GÄVLEBORGS LÄN</t>
        </is>
      </c>
      <c r="G803" t="inlineStr">
        <is>
          <t>NORDANSTIG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7014-2023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44967</v>
      </c>
      <c r="E804" s="1" t="n">
        <v>46320</v>
      </c>
      <c r="F804" t="inlineStr">
        <is>
          <t>GÄVLEBORGS LÄN</t>
        </is>
      </c>
      <c r="G804" t="inlineStr">
        <is>
          <t>NORDANSTIG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37241-2026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46320</v>
      </c>
      <c r="F805" t="inlineStr">
        <is>
          <t>GÄVLEBORGS LÄN</t>
        </is>
      </c>
      <c r="G805" t="inlineStr">
        <is>
          <t>NORDANSTIG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46320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46320</v>
      </c>
      <c r="F807" t="inlineStr">
        <is>
          <t>GÄVLEBORGS LÄN</t>
        </is>
      </c>
      <c r="G807" t="inlineStr">
        <is>
          <t>NORDANSTIG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9373-2026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46070</v>
      </c>
      <c r="E808" s="1" t="n">
        <v>46320</v>
      </c>
      <c r="F808" t="inlineStr">
        <is>
          <t>GÄVLEBORGS LÄN</t>
        </is>
      </c>
      <c r="G808" t="inlineStr">
        <is>
          <t>NORDANSTIG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44943</v>
      </c>
      <c r="E809" s="1" t="n">
        <v>46320</v>
      </c>
      <c r="F809" t="inlineStr">
        <is>
          <t>GÄVLEBORGS LÄN</t>
        </is>
      </c>
      <c r="G809" t="inlineStr">
        <is>
          <t>NORDANSTIG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33377-2022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44788</v>
      </c>
      <c r="E810" s="1" t="n">
        <v>46320</v>
      </c>
      <c r="F810" t="inlineStr">
        <is>
          <t>GÄVLEBORGS LÄN</t>
        </is>
      </c>
      <c r="G810" t="inlineStr">
        <is>
          <t>NORDANSTIG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46320</v>
      </c>
      <c r="F811" t="inlineStr">
        <is>
          <t>GÄVLEBORGS LÄN</t>
        </is>
      </c>
      <c r="G811" t="inlineStr">
        <is>
          <t>NORDANSTIG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61141-2022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46320</v>
      </c>
      <c r="F812" t="inlineStr">
        <is>
          <t>GÄVLEBORGS LÄN</t>
        </is>
      </c>
      <c r="G812" t="inlineStr">
        <is>
          <t>NORDANSTIG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11434-2024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45372</v>
      </c>
      <c r="E813" s="1" t="n">
        <v>46320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22784-2025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45789</v>
      </c>
      <c r="E814" s="1" t="n">
        <v>46320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55.6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46320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51681-2025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45951</v>
      </c>
      <c r="E816" s="1" t="n">
        <v>46320</v>
      </c>
      <c r="F816" t="inlineStr">
        <is>
          <t>GÄVLEBORGS LÄN</t>
        </is>
      </c>
      <c r="G816" t="inlineStr">
        <is>
          <t>NORDANSTIG</t>
        </is>
      </c>
      <c r="I816" t="n">
        <v>9.1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43931-2026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46317</v>
      </c>
      <c r="E817" s="1" t="n">
        <v>46320</v>
      </c>
      <c r="F817" t="inlineStr">
        <is>
          <t>GÄVLEBORGS LÄN</t>
        </is>
      </c>
      <c r="G817" t="inlineStr">
        <is>
          <t>NORDANSTIG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36714-2026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46272</v>
      </c>
      <c r="E818" s="1" t="n">
        <v>46320</v>
      </c>
      <c r="F818" t="inlineStr">
        <is>
          <t>GÄVLEBORGS LÄN</t>
        </is>
      </c>
      <c r="G818" t="inlineStr">
        <is>
          <t>NORDANSTIG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59409-2023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45253</v>
      </c>
      <c r="E819" s="1" t="n">
        <v>46320</v>
      </c>
      <c r="F819" t="inlineStr">
        <is>
          <t>GÄVLEBORGS LÄN</t>
        </is>
      </c>
      <c r="G819" t="inlineStr">
        <is>
          <t>NORDANSTIG</t>
        </is>
      </c>
      <c r="I819" t="n">
        <v>12.5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46317</v>
      </c>
      <c r="E820" s="1" t="n">
        <v>46320</v>
      </c>
      <c r="F820" t="inlineStr">
        <is>
          <t>GÄVLEBORGS LÄN</t>
        </is>
      </c>
      <c r="G820" t="inlineStr">
        <is>
          <t>NORDANSTIG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46320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4414-2022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44589</v>
      </c>
      <c r="E822" s="1" t="n">
        <v>46320</v>
      </c>
      <c r="F822" t="inlineStr">
        <is>
          <t>GÄVLEBORGS LÄN</t>
        </is>
      </c>
      <c r="G822" t="inlineStr">
        <is>
          <t>NORDANSTIG</t>
        </is>
      </c>
      <c r="I822" t="n">
        <v>12.6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11582-2026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46084</v>
      </c>
      <c r="E823" s="1" t="n">
        <v>46320</v>
      </c>
      <c r="F823" t="inlineStr">
        <is>
          <t>GÄVLEBORGS LÄN</t>
        </is>
      </c>
      <c r="G823" t="inlineStr">
        <is>
          <t>NORDANSTIG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59425-2022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44907</v>
      </c>
      <c r="E824" s="1" t="n">
        <v>46320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38514-2025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46320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21118-2026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46146</v>
      </c>
      <c r="E826" s="1" t="n">
        <v>46320</v>
      </c>
      <c r="F826" t="inlineStr">
        <is>
          <t>GÄVLEBORGS LÄN</t>
        </is>
      </c>
      <c r="G826" t="inlineStr">
        <is>
          <t>NORDANSTIG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6349-2026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46320</v>
      </c>
      <c r="F827" t="inlineStr">
        <is>
          <t>GÄVLEBORGS LÄN</t>
        </is>
      </c>
      <c r="G827" t="inlineStr">
        <is>
          <t>NORDANSTIG</t>
        </is>
      </c>
      <c r="I827" t="n">
        <v>5.4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46318</v>
      </c>
      <c r="E828" s="1" t="n">
        <v>46320</v>
      </c>
      <c r="F828" t="inlineStr">
        <is>
          <t>GÄVLEBORGS LÄN</t>
        </is>
      </c>
      <c r="G828" t="inlineStr">
        <is>
          <t>NORDANSTIG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17505-2025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45757</v>
      </c>
      <c r="E829" s="1" t="n">
        <v>46320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8.300000000000001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46320</v>
      </c>
      <c r="F830" t="inlineStr">
        <is>
          <t>GÄVLEBORGS LÄN</t>
        </is>
      </c>
      <c r="G830" t="inlineStr">
        <is>
          <t>NORDANSTIG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46030</v>
      </c>
      <c r="E831" s="1" t="n">
        <v>46320</v>
      </c>
      <c r="F831" t="inlineStr">
        <is>
          <t>GÄVLEBORGS LÄN</t>
        </is>
      </c>
      <c r="G831" t="inlineStr">
        <is>
          <t>NORDANSTIG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46038</v>
      </c>
      <c r="E832" s="1" t="n">
        <v>46320</v>
      </c>
      <c r="F832" t="inlineStr">
        <is>
          <t>GÄVLEBORGS LÄN</t>
        </is>
      </c>
      <c r="G832" t="inlineStr">
        <is>
          <t>NORDANSTIG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46320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46320</v>
      </c>
      <c r="F834" t="inlineStr">
        <is>
          <t>GÄVLEBORGS LÄN</t>
        </is>
      </c>
      <c r="G834" t="inlineStr">
        <is>
          <t>NORDANSTIG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46320</v>
      </c>
      <c r="F835" t="inlineStr">
        <is>
          <t>GÄVLEBORGS LÄN</t>
        </is>
      </c>
      <c r="G835" t="inlineStr">
        <is>
          <t>NORDANSTIG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21060-2026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46320</v>
      </c>
      <c r="F836" t="inlineStr">
        <is>
          <t>GÄVLEBORGS LÄN</t>
        </is>
      </c>
      <c r="G836" t="inlineStr">
        <is>
          <t>NORDANSTIG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41729-2023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46320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51998-2023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45223</v>
      </c>
      <c r="E838" s="1" t="n">
        <v>46320</v>
      </c>
      <c r="F838" t="inlineStr">
        <is>
          <t>GÄVLEBORGS LÄN</t>
        </is>
      </c>
      <c r="G838" t="inlineStr">
        <is>
          <t>NORDANSTIG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21648-2026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46149</v>
      </c>
      <c r="E839" s="1" t="n">
        <v>46320</v>
      </c>
      <c r="F839" t="inlineStr">
        <is>
          <t>GÄVLEBORGS LÄN</t>
        </is>
      </c>
      <c r="G839" t="inlineStr">
        <is>
          <t>NORDANSTIG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21661-2026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46149</v>
      </c>
      <c r="E840" s="1" t="n">
        <v>46320</v>
      </c>
      <c r="F840" t="inlineStr">
        <is>
          <t>GÄVLEBORGS LÄN</t>
        </is>
      </c>
      <c r="G840" t="inlineStr">
        <is>
          <t>NORDANSTIG</t>
        </is>
      </c>
      <c r="I840" t="n">
        <v>10.7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51806-2024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46320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51821-2024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45607</v>
      </c>
      <c r="E842" s="1" t="n">
        <v>46320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48212-2024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46320</v>
      </c>
      <c r="F843" t="inlineStr">
        <is>
          <t>GÄVLEBORGS LÄN</t>
        </is>
      </c>
      <c r="G843" t="inlineStr">
        <is>
          <t>NORDANSTIG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46035</v>
      </c>
      <c r="E844" s="1" t="n">
        <v>46320</v>
      </c>
      <c r="F844" t="inlineStr">
        <is>
          <t>GÄVLEBORGS LÄN</t>
        </is>
      </c>
      <c r="G844" t="inlineStr">
        <is>
          <t>NORDANSTIG</t>
        </is>
      </c>
      <c r="I844" t="n">
        <v>15.6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18691-2026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46128</v>
      </c>
      <c r="E845" s="1" t="n">
        <v>46320</v>
      </c>
      <c r="F845" t="inlineStr">
        <is>
          <t>GÄVLEBORGS LÄN</t>
        </is>
      </c>
      <c r="G845" t="inlineStr">
        <is>
          <t>NORDANSTIG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5981-2026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46052</v>
      </c>
      <c r="E846" s="1" t="n">
        <v>46320</v>
      </c>
      <c r="F846" t="inlineStr">
        <is>
          <t>GÄVLEBORGS LÄN</t>
        </is>
      </c>
      <c r="G846" t="inlineStr">
        <is>
          <t>NORDANSTIG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46026</v>
      </c>
      <c r="E847" s="1" t="n">
        <v>46320</v>
      </c>
      <c r="F847" t="inlineStr">
        <is>
          <t>GÄVLEBORGS LÄN</t>
        </is>
      </c>
      <c r="G847" t="inlineStr">
        <is>
          <t>NORDANSTIG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22459-2023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45070</v>
      </c>
      <c r="E848" s="1" t="n">
        <v>46320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57013-2022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44894</v>
      </c>
      <c r="E849" s="1" t="n">
        <v>46320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46042</v>
      </c>
      <c r="E850" s="1" t="n">
        <v>46320</v>
      </c>
      <c r="F850" t="inlineStr">
        <is>
          <t>GÄVLEBORGS LÄN</t>
        </is>
      </c>
      <c r="G850" t="inlineStr">
        <is>
          <t>NORDANSTIG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17283-2026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46119</v>
      </c>
      <c r="E851" s="1" t="n">
        <v>46320</v>
      </c>
      <c r="F851" t="inlineStr">
        <is>
          <t>GÄVLEBORGS LÄN</t>
        </is>
      </c>
      <c r="G851" t="inlineStr">
        <is>
          <t>NORDANSTIG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51560-2023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45222</v>
      </c>
      <c r="E852" s="1" t="n">
        <v>46320</v>
      </c>
      <c r="F852" t="inlineStr">
        <is>
          <t>GÄVLEBORGS LÄN</t>
        </is>
      </c>
      <c r="G852" t="inlineStr">
        <is>
          <t>NORDANSTIG</t>
        </is>
      </c>
      <c r="I852" t="n">
        <v>26.9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55538-2024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45622</v>
      </c>
      <c r="E853" s="1" t="n">
        <v>46320</v>
      </c>
      <c r="F853" t="inlineStr">
        <is>
          <t>GÄVLEBORGS LÄN</t>
        </is>
      </c>
      <c r="G853" t="inlineStr">
        <is>
          <t>NORDANSTIG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56351-2024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45624</v>
      </c>
      <c r="E854" s="1" t="n">
        <v>46320</v>
      </c>
      <c r="F854" t="inlineStr">
        <is>
          <t>GÄVLEBORGS LÄN</t>
        </is>
      </c>
      <c r="G854" t="inlineStr">
        <is>
          <t>NORDANSTIG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22621-2026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46155</v>
      </c>
      <c r="E855" s="1" t="n">
        <v>46320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22607-2026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46155</v>
      </c>
      <c r="E856" s="1" t="n">
        <v>46320</v>
      </c>
      <c r="F856" t="inlineStr">
        <is>
          <t>GÄVLEBORGS LÄN</t>
        </is>
      </c>
      <c r="G856" t="inlineStr">
        <is>
          <t>NORDANSTIG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22500-2026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46155</v>
      </c>
      <c r="E857" s="1" t="n">
        <v>46320</v>
      </c>
      <c r="F857" t="inlineStr">
        <is>
          <t>GÄVLEBORGS LÄN</t>
        </is>
      </c>
      <c r="G857" t="inlineStr">
        <is>
          <t>NORDANSTIG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51930-2023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45223</v>
      </c>
      <c r="E858" s="1" t="n">
        <v>46320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32652-2023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45121</v>
      </c>
      <c r="E859" s="1" t="n">
        <v>46320</v>
      </c>
      <c r="F859" t="inlineStr">
        <is>
          <t>GÄVLEBORGS LÄN</t>
        </is>
      </c>
      <c r="G859" t="inlineStr">
        <is>
          <t>NORDANSTIG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22733-2026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46157</v>
      </c>
      <c r="E860" s="1" t="n">
        <v>46320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62619-2023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45271</v>
      </c>
      <c r="E861" s="1" t="n">
        <v>46320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46376-2024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46320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45549-2024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45579</v>
      </c>
      <c r="E863" s="1" t="n">
        <v>46320</v>
      </c>
      <c r="F863" t="inlineStr">
        <is>
          <t>GÄVLEBORGS LÄN</t>
        </is>
      </c>
      <c r="G863" t="inlineStr">
        <is>
          <t>NORDANSTIG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18680-2025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45763</v>
      </c>
      <c r="E864" s="1" t="n">
        <v>46320</v>
      </c>
      <c r="F864" t="inlineStr">
        <is>
          <t>GÄVLEBORGS LÄN</t>
        </is>
      </c>
      <c r="G864" t="inlineStr">
        <is>
          <t>NORDANSTIG</t>
        </is>
      </c>
      <c r="I864" t="n">
        <v>9.4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5479-2023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44960</v>
      </c>
      <c r="E865" s="1" t="n">
        <v>46320</v>
      </c>
      <c r="F865" t="inlineStr">
        <is>
          <t>GÄVLEBORGS LÄN</t>
        </is>
      </c>
      <c r="G865" t="inlineStr">
        <is>
          <t>NORDANSTIG</t>
        </is>
      </c>
      <c r="I865" t="n">
        <v>17.6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59297-2024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45637</v>
      </c>
      <c r="E866" s="1" t="n">
        <v>46320</v>
      </c>
      <c r="F866" t="inlineStr">
        <is>
          <t>GÄVLEBORGS LÄN</t>
        </is>
      </c>
      <c r="G866" t="inlineStr">
        <is>
          <t>NORDANSTIG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15494-2023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45020</v>
      </c>
      <c r="E867" s="1" t="n">
        <v>46320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15496-2023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45020</v>
      </c>
      <c r="E868" s="1" t="n">
        <v>46320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43075-2024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45567</v>
      </c>
      <c r="E869" s="1" t="n">
        <v>46320</v>
      </c>
      <c r="F869" t="inlineStr">
        <is>
          <t>GÄVLEBORGS LÄN</t>
        </is>
      </c>
      <c r="G869" t="inlineStr">
        <is>
          <t>NORDANSTIG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4001-2023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44952</v>
      </c>
      <c r="E870" s="1" t="n">
        <v>46320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4024-2023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44952</v>
      </c>
      <c r="E871" s="1" t="n">
        <v>46320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25946-2023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46320</v>
      </c>
      <c r="F872" t="inlineStr">
        <is>
          <t>GÄVLEBORGS LÄN</t>
        </is>
      </c>
      <c r="G872" t="inlineStr">
        <is>
          <t>NORDANSTIG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48607-2023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45208</v>
      </c>
      <c r="E873" s="1" t="n">
        <v>46320</v>
      </c>
      <c r="F873" t="inlineStr">
        <is>
          <t>GÄVLEBORGS LÄN</t>
        </is>
      </c>
      <c r="G873" t="inlineStr">
        <is>
          <t>NORDANSTIG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21157-2022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44704</v>
      </c>
      <c r="E874" s="1" t="n">
        <v>46320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34557-2023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45140</v>
      </c>
      <c r="E875" s="1" t="n">
        <v>46320</v>
      </c>
      <c r="F875" t="inlineStr">
        <is>
          <t>GÄVLEBORGS LÄN</t>
        </is>
      </c>
      <c r="G875" t="inlineStr">
        <is>
          <t>NORDANSTIG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21187-2022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44704</v>
      </c>
      <c r="E876" s="1" t="n">
        <v>46320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15464-2023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45020</v>
      </c>
      <c r="E877" s="1" t="n">
        <v>46320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59930-2024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45642</v>
      </c>
      <c r="E878" s="1" t="n">
        <v>46320</v>
      </c>
      <c r="F878" t="inlineStr">
        <is>
          <t>GÄVLEBORGS LÄN</t>
        </is>
      </c>
      <c r="G878" t="inlineStr">
        <is>
          <t>NORDANSTIG</t>
        </is>
      </c>
      <c r="I878" t="n">
        <v>0.1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58112-2024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45632</v>
      </c>
      <c r="E879" s="1" t="n">
        <v>46320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21153-2023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45062</v>
      </c>
      <c r="E880" s="1" t="n">
        <v>46320</v>
      </c>
      <c r="F880" t="inlineStr">
        <is>
          <t>GÄVLEBORGS LÄN</t>
        </is>
      </c>
      <c r="G880" t="inlineStr">
        <is>
          <t>NORDANSTIG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6093-2023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44964</v>
      </c>
      <c r="E881" s="1" t="n">
        <v>46320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21085-2024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45439</v>
      </c>
      <c r="E882" s="1" t="n">
        <v>46320</v>
      </c>
      <c r="F882" t="inlineStr">
        <is>
          <t>GÄVLEBORGS LÄN</t>
        </is>
      </c>
      <c r="G882" t="inlineStr">
        <is>
          <t>NORDANSTIG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39207-2023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45166</v>
      </c>
      <c r="E883" s="1" t="n">
        <v>46320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52788-2024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45610</v>
      </c>
      <c r="E884" s="1" t="n">
        <v>46320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4.3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19568-2024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45429</v>
      </c>
      <c r="E885" s="1" t="n">
        <v>46320</v>
      </c>
      <c r="F885" t="inlineStr">
        <is>
          <t>GÄVLEBORGS LÄN</t>
        </is>
      </c>
      <c r="G885" t="inlineStr">
        <is>
          <t>NORDANSTIG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61422-2024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45646</v>
      </c>
      <c r="E886" s="1" t="n">
        <v>46320</v>
      </c>
      <c r="F886" t="inlineStr">
        <is>
          <t>GÄVLEBORGS LÄN</t>
        </is>
      </c>
      <c r="G886" t="inlineStr">
        <is>
          <t>NORDANSTIG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34913-2023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45142</v>
      </c>
      <c r="E887" s="1" t="n">
        <v>46320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34918-2023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45142</v>
      </c>
      <c r="E888" s="1" t="n">
        <v>46320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54156-2024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45616</v>
      </c>
      <c r="E889" s="1" t="n">
        <v>46320</v>
      </c>
      <c r="F889" t="inlineStr">
        <is>
          <t>GÄVLEBORGS LÄN</t>
        </is>
      </c>
      <c r="G889" t="inlineStr">
        <is>
          <t>NORDANSTIG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54385-2024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45617</v>
      </c>
      <c r="E890" s="1" t="n">
        <v>46320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44999</v>
      </c>
      <c r="E891" s="1" t="n">
        <v>46320</v>
      </c>
      <c r="F891" t="inlineStr">
        <is>
          <t>GÄVLEBORGS LÄN</t>
        </is>
      </c>
      <c r="G891" t="inlineStr">
        <is>
          <t>NORDANSTIG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26728-2022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44739</v>
      </c>
      <c r="E892" s="1" t="n">
        <v>46320</v>
      </c>
      <c r="F892" t="inlineStr">
        <is>
          <t>GÄVLEBORGS LÄN</t>
        </is>
      </c>
      <c r="G892" t="inlineStr">
        <is>
          <t>NORDANSTIG</t>
        </is>
      </c>
      <c r="I892" t="n">
        <v>6.5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58872-2024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45636</v>
      </c>
      <c r="E893" s="1" t="n">
        <v>46320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34783-2022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44795</v>
      </c>
      <c r="E894" s="1" t="n">
        <v>46320</v>
      </c>
      <c r="F894" t="inlineStr">
        <is>
          <t>GÄVLEBORGS LÄN</t>
        </is>
      </c>
      <c r="G894" t="inlineStr">
        <is>
          <t>NORDANSTIG</t>
        </is>
      </c>
      <c r="I894" t="n">
        <v>7.8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17052-2023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45034</v>
      </c>
      <c r="E895" s="1" t="n">
        <v>46320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38048-2024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45544</v>
      </c>
      <c r="E896" s="1" t="n">
        <v>46320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18279-2023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45041</v>
      </c>
      <c r="E897" s="1" t="n">
        <v>46320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58912-2024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45636</v>
      </c>
      <c r="E898" s="1" t="n">
        <v>46320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10484-2023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44987</v>
      </c>
      <c r="E899" s="1" t="n">
        <v>46320</v>
      </c>
      <c r="F899" t="inlineStr">
        <is>
          <t>GÄVLEBORGS LÄN</t>
        </is>
      </c>
      <c r="G899" t="inlineStr">
        <is>
          <t>NORDANSTIG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35115-2022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44797</v>
      </c>
      <c r="E900" s="1" t="n">
        <v>46320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56494-2024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45625</v>
      </c>
      <c r="E901" s="1" t="n">
        <v>46320</v>
      </c>
      <c r="F901" t="inlineStr">
        <is>
          <t>GÄVLEBORGS LÄN</t>
        </is>
      </c>
      <c r="G901" t="inlineStr">
        <is>
          <t>NORDANSTIG</t>
        </is>
      </c>
      <c r="I901" t="n">
        <v>10.1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9884-2023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44985</v>
      </c>
      <c r="E902" s="1" t="n">
        <v>46320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57196-2022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44895</v>
      </c>
      <c r="E903" s="1" t="n">
        <v>46320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42118-2022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44830</v>
      </c>
      <c r="E904" s="1" t="n">
        <v>46320</v>
      </c>
      <c r="F904" t="inlineStr">
        <is>
          <t>GÄVLEBORGS LÄN</t>
        </is>
      </c>
      <c r="G904" t="inlineStr">
        <is>
          <t>NORDANSTIG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30078-2024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45489</v>
      </c>
      <c r="E905" s="1" t="n">
        <v>46320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33535-2022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44789</v>
      </c>
      <c r="E906" s="1" t="n">
        <v>46320</v>
      </c>
      <c r="F906" t="inlineStr">
        <is>
          <t>GÄVLEBORGS LÄN</t>
        </is>
      </c>
      <c r="G906" t="inlineStr">
        <is>
          <t>NORDANSTIG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54519-2024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45617</v>
      </c>
      <c r="E907" s="1" t="n">
        <v>46320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63145-2023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45273</v>
      </c>
      <c r="E908" s="1" t="n">
        <v>46320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40733-2023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45170</v>
      </c>
      <c r="E909" s="1" t="n">
        <v>46320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17853-2025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45758</v>
      </c>
      <c r="E910" s="1" t="n">
        <v>46320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34502-2024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45525</v>
      </c>
      <c r="E911" s="1" t="n">
        <v>46320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41957-2023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45177</v>
      </c>
      <c r="E912" s="1" t="n">
        <v>46320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56281-2024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45624</v>
      </c>
      <c r="E913" s="1" t="n">
        <v>46320</v>
      </c>
      <c r="F913" t="inlineStr">
        <is>
          <t>GÄVLEBORGS LÄN</t>
        </is>
      </c>
      <c r="G913" t="inlineStr">
        <is>
          <t>NORDANSTIG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22868-2023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45072</v>
      </c>
      <c r="E914" s="1" t="n">
        <v>46320</v>
      </c>
      <c r="F914" t="inlineStr">
        <is>
          <t>GÄVLEBORGS LÄN</t>
        </is>
      </c>
      <c r="G914" t="inlineStr">
        <is>
          <t>NORDANSTIG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21999-2023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45068</v>
      </c>
      <c r="E915" s="1" t="n">
        <v>46320</v>
      </c>
      <c r="F915" t="inlineStr">
        <is>
          <t>GÄVLEBORGS LÄN</t>
        </is>
      </c>
      <c r="G915" t="inlineStr">
        <is>
          <t>NORDANSTIG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53988-2023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45231</v>
      </c>
      <c r="E916" s="1" t="n">
        <v>46320</v>
      </c>
      <c r="F916" t="inlineStr">
        <is>
          <t>GÄVLEBORGS LÄN</t>
        </is>
      </c>
      <c r="G916" t="inlineStr">
        <is>
          <t>NORDANSTIG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5660-2023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44960</v>
      </c>
      <c r="E917" s="1" t="n">
        <v>46320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1483-2022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44573</v>
      </c>
      <c r="E918" s="1" t="n">
        <v>46320</v>
      </c>
      <c r="F918" t="inlineStr">
        <is>
          <t>GÄVLEBORGS LÄN</t>
        </is>
      </c>
      <c r="G918" t="inlineStr">
        <is>
          <t>NORDANSTIG</t>
        </is>
      </c>
      <c r="I918" t="n">
        <v>7.8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18933-2023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45044</v>
      </c>
      <c r="E919" s="1" t="n">
        <v>46320</v>
      </c>
      <c r="F919" t="inlineStr">
        <is>
          <t>GÄVLEBORGS LÄN</t>
        </is>
      </c>
      <c r="G919" t="inlineStr">
        <is>
          <t>NORDANSTIG</t>
        </is>
      </c>
      <c r="I919" t="n">
        <v>26.6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35931-2023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45148</v>
      </c>
      <c r="E920" s="1" t="n">
        <v>46320</v>
      </c>
      <c r="F920" t="inlineStr">
        <is>
          <t>GÄVLEBORGS LÄN</t>
        </is>
      </c>
      <c r="G920" t="inlineStr">
        <is>
          <t>NORDANSTIG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17840-2023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45037</v>
      </c>
      <c r="E921" s="1" t="n">
        <v>46320</v>
      </c>
      <c r="F921" t="inlineStr">
        <is>
          <t>GÄVLEBORGS LÄN</t>
        </is>
      </c>
      <c r="G921" t="inlineStr">
        <is>
          <t>NORDANSTIG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37739-2024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45541</v>
      </c>
      <c r="E922" s="1" t="n">
        <v>46320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61419-2024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45646</v>
      </c>
      <c r="E923" s="1" t="n">
        <v>46320</v>
      </c>
      <c r="F923" t="inlineStr">
        <is>
          <t>GÄVLEBORGS LÄN</t>
        </is>
      </c>
      <c r="G923" t="inlineStr">
        <is>
          <t>NORDANSTIG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58184-2022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44900</v>
      </c>
      <c r="E924" s="1" t="n">
        <v>46320</v>
      </c>
      <c r="F924" t="inlineStr">
        <is>
          <t>GÄVLEBORGS LÄN</t>
        </is>
      </c>
      <c r="G924" t="inlineStr">
        <is>
          <t>NORDANSTIG</t>
        </is>
      </c>
      <c r="H924" t="inlineStr">
        <is>
          <t>SCA</t>
        </is>
      </c>
      <c r="I924" t="n">
        <v>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52206-2022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44869</v>
      </c>
      <c r="E925" s="1" t="n">
        <v>46320</v>
      </c>
      <c r="F925" t="inlineStr">
        <is>
          <t>GÄVLEBORGS LÄN</t>
        </is>
      </c>
      <c r="G925" t="inlineStr">
        <is>
          <t>NORDANSTIG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45297</v>
      </c>
      <c r="E926" s="1" t="n">
        <v>46320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40477-2024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45555</v>
      </c>
      <c r="E927" s="1" t="n">
        <v>46320</v>
      </c>
      <c r="F927" t="inlineStr">
        <is>
          <t>GÄVLEBORGS LÄN</t>
        </is>
      </c>
      <c r="G927" t="inlineStr">
        <is>
          <t>NORDANSTIG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44339-2024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45573</v>
      </c>
      <c r="E928" s="1" t="n">
        <v>46320</v>
      </c>
      <c r="F928" t="inlineStr">
        <is>
          <t>GÄVLEBORGS LÄN</t>
        </is>
      </c>
      <c r="G928" t="inlineStr">
        <is>
          <t>NORDANSTIG</t>
        </is>
      </c>
      <c r="I928" t="n">
        <v>10.7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6099-2023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44964</v>
      </c>
      <c r="E929" s="1" t="n">
        <v>46320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8.199999999999999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32635-2022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44783</v>
      </c>
      <c r="E930" s="1" t="n">
        <v>46320</v>
      </c>
      <c r="F930" t="inlineStr">
        <is>
          <t>GÄVLEBORGS LÄN</t>
        </is>
      </c>
      <c r="G930" t="inlineStr">
        <is>
          <t>NORDANSTIG</t>
        </is>
      </c>
      <c r="I930" t="n">
        <v>10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28680-2023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45103</v>
      </c>
      <c r="E931" s="1" t="n">
        <v>46320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60869-2024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45644</v>
      </c>
      <c r="E932" s="1" t="n">
        <v>46320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64835-2021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44512</v>
      </c>
      <c r="E933" s="1" t="n">
        <v>46320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14866-2024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45397</v>
      </c>
      <c r="E934" s="1" t="n">
        <v>46320</v>
      </c>
      <c r="F934" t="inlineStr">
        <is>
          <t>GÄVLEBORGS LÄN</t>
        </is>
      </c>
      <c r="G934" t="inlineStr">
        <is>
          <t>NORDANSTIG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65039-2023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45287</v>
      </c>
      <c r="E935" s="1" t="n">
        <v>46320</v>
      </c>
      <c r="F935" t="inlineStr">
        <is>
          <t>GÄVLEBORGS LÄN</t>
        </is>
      </c>
      <c r="G935" t="inlineStr">
        <is>
          <t>NORDANSTIG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4021-2023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44952</v>
      </c>
      <c r="E936" s="1" t="n">
        <v>46320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55694-2024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45622</v>
      </c>
      <c r="E937" s="1" t="n">
        <v>46320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23770-2024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45455</v>
      </c>
      <c r="E938" s="1" t="n">
        <v>46320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24106-2023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45079</v>
      </c>
      <c r="E939" s="1" t="n">
        <v>46320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62816-2023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46320</v>
      </c>
      <c r="F940" t="inlineStr">
        <is>
          <t>GÄVLEBORGS LÄN</t>
        </is>
      </c>
      <c r="G940" t="inlineStr">
        <is>
          <t>NORDANSTIG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1802-2023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44938</v>
      </c>
      <c r="E941" s="1" t="n">
        <v>46320</v>
      </c>
      <c r="F941" t="inlineStr">
        <is>
          <t>GÄVLEBORGS LÄN</t>
        </is>
      </c>
      <c r="G941" t="inlineStr">
        <is>
          <t>NORDANSTIG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12095-2023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44998</v>
      </c>
      <c r="E942" s="1" t="n">
        <v>46320</v>
      </c>
      <c r="F942" t="inlineStr">
        <is>
          <t>GÄVLEBORGS LÄN</t>
        </is>
      </c>
      <c r="G942" t="inlineStr">
        <is>
          <t>NORDANSTIG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65208-2023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45289</v>
      </c>
      <c r="E943" s="1" t="n">
        <v>46320</v>
      </c>
      <c r="F943" t="inlineStr">
        <is>
          <t>GÄVLEBORGS LÄN</t>
        </is>
      </c>
      <c r="G943" t="inlineStr">
        <is>
          <t>NORDANSTIG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51380-2024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46320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62089-2021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44502</v>
      </c>
      <c r="E945" s="1" t="n">
        <v>46320</v>
      </c>
      <c r="F945" t="inlineStr">
        <is>
          <t>GÄVLEBORGS LÄN</t>
        </is>
      </c>
      <c r="G945" t="inlineStr">
        <is>
          <t>NORDANSTIG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20747-2023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45058</v>
      </c>
      <c r="E946" s="1" t="n">
        <v>46320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18288-2023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45041</v>
      </c>
      <c r="E947" s="1" t="n">
        <v>46320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11087-2022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44628</v>
      </c>
      <c r="E948" s="1" t="n">
        <v>46320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50657-2024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45601</v>
      </c>
      <c r="E949" s="1" t="n">
        <v>46320</v>
      </c>
      <c r="F949" t="inlineStr">
        <is>
          <t>GÄVLEBORGS LÄN</t>
        </is>
      </c>
      <c r="G949" t="inlineStr">
        <is>
          <t>NORDANSTIG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1532-2024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45306</v>
      </c>
      <c r="E950" s="1" t="n">
        <v>46320</v>
      </c>
      <c r="F950" t="inlineStr">
        <is>
          <t>GÄVLEBORGS LÄN</t>
        </is>
      </c>
      <c r="G950" t="inlineStr">
        <is>
          <t>NORDANSTIG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34842-2023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45141</v>
      </c>
      <c r="E951" s="1" t="n">
        <v>46320</v>
      </c>
      <c r="F951" t="inlineStr">
        <is>
          <t>GÄVLEBORGS LÄN</t>
        </is>
      </c>
      <c r="G951" t="inlineStr">
        <is>
          <t>NORDANSTIG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6923-2024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45343</v>
      </c>
      <c r="E952" s="1" t="n">
        <v>46320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6583-2022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44601</v>
      </c>
      <c r="E953" s="1" t="n">
        <v>46320</v>
      </c>
      <c r="F953" t="inlineStr">
        <is>
          <t>GÄVLEBORGS LÄN</t>
        </is>
      </c>
      <c r="G953" t="inlineStr">
        <is>
          <t>NORDANSTIG</t>
        </is>
      </c>
      <c r="I953" t="n">
        <v>8.800000000000001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32471-2023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45120</v>
      </c>
      <c r="E954" s="1" t="n">
        <v>46320</v>
      </c>
      <c r="F954" t="inlineStr">
        <is>
          <t>GÄVLEBORGS LÄN</t>
        </is>
      </c>
      <c r="G954" t="inlineStr">
        <is>
          <t>NORDANSTIG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25402-2024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45463</v>
      </c>
      <c r="E955" s="1" t="n">
        <v>46320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34370-2024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45525</v>
      </c>
      <c r="E956" s="1" t="n">
        <v>46320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42796-2024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45566</v>
      </c>
      <c r="E957" s="1" t="n">
        <v>46320</v>
      </c>
      <c r="F957" t="inlineStr">
        <is>
          <t>GÄVLEBORGS LÄN</t>
        </is>
      </c>
      <c r="G957" t="inlineStr">
        <is>
          <t>NORDANSTIG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49455-2024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45596</v>
      </c>
      <c r="E958" s="1" t="n">
        <v>46320</v>
      </c>
      <c r="F958" t="inlineStr">
        <is>
          <t>GÄVLEBORGS LÄN</t>
        </is>
      </c>
      <c r="G958" t="inlineStr">
        <is>
          <t>NORDANSTIG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6581-2022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44601</v>
      </c>
      <c r="E959" s="1" t="n">
        <v>46320</v>
      </c>
      <c r="F959" t="inlineStr">
        <is>
          <t>GÄVLEBORGS LÄN</t>
        </is>
      </c>
      <c r="G959" t="inlineStr">
        <is>
          <t>NORDANSTIG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54713-2024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46320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62646-2023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45271</v>
      </c>
      <c r="E961" s="1" t="n">
        <v>46320</v>
      </c>
      <c r="F961" t="inlineStr">
        <is>
          <t>GÄVLEBORGS LÄN</t>
        </is>
      </c>
      <c r="G961" t="inlineStr">
        <is>
          <t>NORDANSTIG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60193-2024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45642</v>
      </c>
      <c r="E962" s="1" t="n">
        <v>46320</v>
      </c>
      <c r="F962" t="inlineStr">
        <is>
          <t>GÄVLEBORGS LÄN</t>
        </is>
      </c>
      <c r="G962" t="inlineStr">
        <is>
          <t>NORDANSTIG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23417-2023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45076</v>
      </c>
      <c r="E963" s="1" t="n">
        <v>46320</v>
      </c>
      <c r="F963" t="inlineStr">
        <is>
          <t>GÄVLEBORGS LÄN</t>
        </is>
      </c>
      <c r="G963" t="inlineStr">
        <is>
          <t>NORDANSTIG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7149-2022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44603</v>
      </c>
      <c r="E964" s="1" t="n">
        <v>46320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9382-2022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44616</v>
      </c>
      <c r="E965" s="1" t="n">
        <v>46320</v>
      </c>
      <c r="F965" t="inlineStr">
        <is>
          <t>GÄVLEBORGS LÄN</t>
        </is>
      </c>
      <c r="G965" t="inlineStr">
        <is>
          <t>NORDANSTIG</t>
        </is>
      </c>
      <c r="I965" t="n">
        <v>4.2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36186-2023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45149</v>
      </c>
      <c r="E966" s="1" t="n">
        <v>46320</v>
      </c>
      <c r="F966" t="inlineStr">
        <is>
          <t>GÄVLEBORGS LÄN</t>
        </is>
      </c>
      <c r="G966" t="inlineStr">
        <is>
          <t>NORDANSTIG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40738-2023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45170</v>
      </c>
      <c r="E967" s="1" t="n">
        <v>46320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62465-2021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44503</v>
      </c>
      <c r="E968" s="1" t="n">
        <v>46320</v>
      </c>
      <c r="F968" t="inlineStr">
        <is>
          <t>GÄVLEBORGS LÄN</t>
        </is>
      </c>
      <c r="G968" t="inlineStr">
        <is>
          <t>NORDANSTIG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21473-2023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45063</v>
      </c>
      <c r="E969" s="1" t="n">
        <v>46320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5.7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54705-2024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45618</v>
      </c>
      <c r="E970" s="1" t="n">
        <v>46320</v>
      </c>
      <c r="F970" t="inlineStr">
        <is>
          <t>GÄVLEBORGS LÄN</t>
        </is>
      </c>
      <c r="G970" t="inlineStr">
        <is>
          <t>NORDANSTIG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36028-2024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45533</v>
      </c>
      <c r="E971" s="1" t="n">
        <v>46320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45545</v>
      </c>
      <c r="E972" s="1" t="n">
        <v>46320</v>
      </c>
      <c r="F972" t="inlineStr">
        <is>
          <t>GÄVLEBORGS LÄN</t>
        </is>
      </c>
      <c r="G972" t="inlineStr">
        <is>
          <t>NORDANSTIG</t>
        </is>
      </c>
      <c r="I972" t="n">
        <v>11.5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38346-2024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45545</v>
      </c>
      <c r="E973" s="1" t="n">
        <v>46320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18322-2024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45422</v>
      </c>
      <c r="E974" s="1" t="n">
        <v>46320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48636-2024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45593</v>
      </c>
      <c r="E975" s="1" t="n">
        <v>46320</v>
      </c>
      <c r="F975" t="inlineStr">
        <is>
          <t>GÄVLEBORGS LÄN</t>
        </is>
      </c>
      <c r="G975" t="inlineStr">
        <is>
          <t>NORDANSTIG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37031-2024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45539</v>
      </c>
      <c r="E976" s="1" t="n">
        <v>46320</v>
      </c>
      <c r="F976" t="inlineStr">
        <is>
          <t>GÄVLEBORGS LÄN</t>
        </is>
      </c>
      <c r="G976" t="inlineStr">
        <is>
          <t>NORDANSTIG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44500-2024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45574</v>
      </c>
      <c r="E977" s="1" t="n">
        <v>46320</v>
      </c>
      <c r="F977" t="inlineStr">
        <is>
          <t>GÄVLEBORGS LÄN</t>
        </is>
      </c>
      <c r="G977" t="inlineStr">
        <is>
          <t>NORDANSTIG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54685-2024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45618</v>
      </c>
      <c r="E978" s="1" t="n">
        <v>46320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44009-2023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45188</v>
      </c>
      <c r="E979" s="1" t="n">
        <v>46320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73389-2021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44551</v>
      </c>
      <c r="E980" s="1" t="n">
        <v>46320</v>
      </c>
      <c r="F980" t="inlineStr">
        <is>
          <t>GÄVLEBORGS LÄN</t>
        </is>
      </c>
      <c r="G980" t="inlineStr">
        <is>
          <t>NORDANSTIG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12858-2025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45733</v>
      </c>
      <c r="E981" s="1" t="n">
        <v>46320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5892-2022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44596</v>
      </c>
      <c r="E982" s="1" t="n">
        <v>46320</v>
      </c>
      <c r="F982" t="inlineStr">
        <is>
          <t>GÄVLEBORGS LÄN</t>
        </is>
      </c>
      <c r="G982" t="inlineStr">
        <is>
          <t>NORDANSTIG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10042-2025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45719</v>
      </c>
      <c r="E983" s="1" t="n">
        <v>46320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6.6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57863-2024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45631</v>
      </c>
      <c r="E984" s="1" t="n">
        <v>46320</v>
      </c>
      <c r="F984" t="inlineStr">
        <is>
          <t>GÄVLEBORGS LÄN</t>
        </is>
      </c>
      <c r="G984" t="inlineStr">
        <is>
          <t>NORDANSTIG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57866-2024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45631</v>
      </c>
      <c r="E985" s="1" t="n">
        <v>46320</v>
      </c>
      <c r="F985" t="inlineStr">
        <is>
          <t>GÄVLEBORGS LÄN</t>
        </is>
      </c>
      <c r="G985" t="inlineStr">
        <is>
          <t>NORDANSTIG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41616-2023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45175</v>
      </c>
      <c r="E986" s="1" t="n">
        <v>46320</v>
      </c>
      <c r="F986" t="inlineStr">
        <is>
          <t>GÄVLEBORGS LÄN</t>
        </is>
      </c>
      <c r="G986" t="inlineStr">
        <is>
          <t>NORDANSTIG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41074-2023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45173</v>
      </c>
      <c r="E987" s="1" t="n">
        <v>46320</v>
      </c>
      <c r="F987" t="inlineStr">
        <is>
          <t>GÄVLEBORGS LÄN</t>
        </is>
      </c>
      <c r="G987" t="inlineStr">
        <is>
          <t>NORDANSTIG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40613-2023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45170</v>
      </c>
      <c r="E988" s="1" t="n">
        <v>46320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56733-2024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45628</v>
      </c>
      <c r="E989" s="1" t="n">
        <v>46320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13270-2022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44644</v>
      </c>
      <c r="E990" s="1" t="n">
        <v>46320</v>
      </c>
      <c r="F990" t="inlineStr">
        <is>
          <t>GÄVLEBORGS LÄN</t>
        </is>
      </c>
      <c r="G990" t="inlineStr">
        <is>
          <t>NORDANSTIG</t>
        </is>
      </c>
      <c r="I990" t="n">
        <v>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57977-2024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45631</v>
      </c>
      <c r="E991" s="1" t="n">
        <v>46320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45309</v>
      </c>
      <c r="E992" s="1" t="n">
        <v>46320</v>
      </c>
      <c r="F992" t="inlineStr">
        <is>
          <t>GÄVLEBORGS LÄN</t>
        </is>
      </c>
      <c r="G992" t="inlineStr">
        <is>
          <t>NORDANSTIG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60285-2024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45642</v>
      </c>
      <c r="E993" s="1" t="n">
        <v>46320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7012-2025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46320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6.9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55477-2024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45622</v>
      </c>
      <c r="E995" s="1" t="n">
        <v>46320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4445-2025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45686</v>
      </c>
      <c r="E996" s="1" t="n">
        <v>46320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31002-2024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45499</v>
      </c>
      <c r="E997" s="1" t="n">
        <v>46320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60675-2024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45644</v>
      </c>
      <c r="E998" s="1" t="n">
        <v>46320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55498-2024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45622</v>
      </c>
      <c r="E999" s="1" t="n">
        <v>46320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7503-2022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44607</v>
      </c>
      <c r="E1000" s="1" t="n">
        <v>46320</v>
      </c>
      <c r="F1000" t="inlineStr">
        <is>
          <t>GÄVLEBORGS LÄN</t>
        </is>
      </c>
      <c r="G1000" t="inlineStr">
        <is>
          <t>NORDANSTIG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47876-2023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45204</v>
      </c>
      <c r="E1001" s="1" t="n">
        <v>46320</v>
      </c>
      <c r="F1001" t="inlineStr">
        <is>
          <t>GÄVLEBORGS LÄN</t>
        </is>
      </c>
      <c r="G1001" t="inlineStr">
        <is>
          <t>NORDANSTIG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38298-2024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45545</v>
      </c>
      <c r="E1002" s="1" t="n">
        <v>46320</v>
      </c>
      <c r="F1002" t="inlineStr">
        <is>
          <t>GÄVLEBORGS LÄN</t>
        </is>
      </c>
      <c r="G1002" t="inlineStr">
        <is>
          <t>NORDANSTIG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51091-2024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45603</v>
      </c>
      <c r="E1003" s="1" t="n">
        <v>46320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33478-2023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45131</v>
      </c>
      <c r="E1004" s="1" t="n">
        <v>46320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45615</v>
      </c>
      <c r="E1005" s="1" t="n">
        <v>46320</v>
      </c>
      <c r="F1005" t="inlineStr">
        <is>
          <t>GÄVLEBORGS LÄN</t>
        </is>
      </c>
      <c r="G1005" t="inlineStr">
        <is>
          <t>NORDANSTIG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48832-2022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44859</v>
      </c>
      <c r="E1006" s="1" t="n">
        <v>46320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45671</v>
      </c>
      <c r="E1007" s="1" t="n">
        <v>46320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5.2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5963-2025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45695</v>
      </c>
      <c r="E1008" s="1" t="n">
        <v>46320</v>
      </c>
      <c r="F1008" t="inlineStr">
        <is>
          <t>GÄVLEBORGS LÄN</t>
        </is>
      </c>
      <c r="G1008" t="inlineStr">
        <is>
          <t>NORDANSTIG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58891-2024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45636</v>
      </c>
      <c r="E1009" s="1" t="n">
        <v>46320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46299-2023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45197</v>
      </c>
      <c r="E1010" s="1" t="n">
        <v>46320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72820-2021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44547</v>
      </c>
      <c r="E1011" s="1" t="n">
        <v>46320</v>
      </c>
      <c r="F1011" t="inlineStr">
        <is>
          <t>GÄVLEBORGS LÄN</t>
        </is>
      </c>
      <c r="G1011" t="inlineStr">
        <is>
          <t>NORDANSTIG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59851-2024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45639</v>
      </c>
      <c r="E1012" s="1" t="n">
        <v>46320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5143-2025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45691</v>
      </c>
      <c r="E1013" s="1" t="n">
        <v>46320</v>
      </c>
      <c r="F1013" t="inlineStr">
        <is>
          <t>GÄVLEBORGS LÄN</t>
        </is>
      </c>
      <c r="G1013" t="inlineStr">
        <is>
          <t>NORDANSTIG</t>
        </is>
      </c>
      <c r="I1013" t="n">
        <v>4.4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4559-2025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45687</v>
      </c>
      <c r="E1014" s="1" t="n">
        <v>46320</v>
      </c>
      <c r="F1014" t="inlineStr">
        <is>
          <t>GÄVLEBORGS LÄN</t>
        </is>
      </c>
      <c r="G1014" t="inlineStr">
        <is>
          <t>NORDANSTIG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51740-2023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45222</v>
      </c>
      <c r="E1015" s="1" t="n">
        <v>46320</v>
      </c>
      <c r="F1015" t="inlineStr">
        <is>
          <t>GÄVLEBORGS LÄN</t>
        </is>
      </c>
      <c r="G1015" t="inlineStr">
        <is>
          <t>NORDANSTIG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51438-2023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45219</v>
      </c>
      <c r="E1016" s="1" t="n">
        <v>46320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SCA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55494-2024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45622</v>
      </c>
      <c r="E1017" s="1" t="n">
        <v>46320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55531-2024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45622</v>
      </c>
      <c r="E1018" s="1" t="n">
        <v>46320</v>
      </c>
      <c r="F1018" t="inlineStr">
        <is>
          <t>GÄVLEBORGS LÄN</t>
        </is>
      </c>
      <c r="G1018" t="inlineStr">
        <is>
          <t>NORDANSTIG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20512-2022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44699</v>
      </c>
      <c r="E1019" s="1" t="n">
        <v>46320</v>
      </c>
      <c r="F1019" t="inlineStr">
        <is>
          <t>GÄVLEBORGS LÄN</t>
        </is>
      </c>
      <c r="G1019" t="inlineStr">
        <is>
          <t>NORDANSTIG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17482-2022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44679</v>
      </c>
      <c r="E1020" s="1" t="n">
        <v>46320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17271-2022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44678</v>
      </c>
      <c r="E1021" s="1" t="n">
        <v>46320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36025-2023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45149</v>
      </c>
      <c r="E1022" s="1" t="n">
        <v>46320</v>
      </c>
      <c r="F1022" t="inlineStr">
        <is>
          <t>GÄVLEBORGS LÄN</t>
        </is>
      </c>
      <c r="G1022" t="inlineStr">
        <is>
          <t>NORDANSTIG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50413-2023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45216</v>
      </c>
      <c r="E1023" s="1" t="n">
        <v>46320</v>
      </c>
      <c r="F1023" t="inlineStr">
        <is>
          <t>GÄVLEBORGS LÄN</t>
        </is>
      </c>
      <c r="G1023" t="inlineStr">
        <is>
          <t>NORDANSTIG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18529-2022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44686</v>
      </c>
      <c r="E1024" s="1" t="n">
        <v>46320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59930-2024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45642</v>
      </c>
      <c r="E1025" s="1" t="n">
        <v>46320</v>
      </c>
      <c r="F1025" t="inlineStr">
        <is>
          <t>GÄVLEBORGS LÄN</t>
        </is>
      </c>
      <c r="G1025" t="inlineStr">
        <is>
          <t>NORDANSTIG</t>
        </is>
      </c>
      <c r="I1025" t="n">
        <v>0.1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32149-2024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45511</v>
      </c>
      <c r="E1026" s="1" t="n">
        <v>46320</v>
      </c>
      <c r="F1026" t="inlineStr">
        <is>
          <t>GÄVLEBORGS LÄN</t>
        </is>
      </c>
      <c r="G1026" t="inlineStr">
        <is>
          <t>NORDANSTIG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30630-2022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44763</v>
      </c>
      <c r="E1027" s="1" t="n">
        <v>46320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28711-2022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44748</v>
      </c>
      <c r="E1028" s="1" t="n">
        <v>46320</v>
      </c>
      <c r="F1028" t="inlineStr">
        <is>
          <t>GÄVLEBORGS LÄN</t>
        </is>
      </c>
      <c r="G1028" t="inlineStr">
        <is>
          <t>NORDANSTIG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14402-2025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45741</v>
      </c>
      <c r="E1029" s="1" t="n">
        <v>46320</v>
      </c>
      <c r="F1029" t="inlineStr">
        <is>
          <t>GÄVLEBORGS LÄN</t>
        </is>
      </c>
      <c r="G1029" t="inlineStr">
        <is>
          <t>NORDANSTIG</t>
        </is>
      </c>
      <c r="I1029" t="n">
        <v>17.1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36960-2023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45154</v>
      </c>
      <c r="E1030" s="1" t="n">
        <v>46320</v>
      </c>
      <c r="F1030" t="inlineStr">
        <is>
          <t>GÄVLEBORGS LÄN</t>
        </is>
      </c>
      <c r="G1030" t="inlineStr">
        <is>
          <t>NORDANSTIG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30940-2022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44768</v>
      </c>
      <c r="E1031" s="1" t="n">
        <v>46320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55002-2023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45236</v>
      </c>
      <c r="E1032" s="1" t="n">
        <v>46320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SCA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60398-2023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46320</v>
      </c>
      <c r="F1033" t="inlineStr">
        <is>
          <t>GÄVLEBORGS LÄN</t>
        </is>
      </c>
      <c r="G1033" t="inlineStr">
        <is>
          <t>NORDANSTIG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7916-2022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44608</v>
      </c>
      <c r="E1034" s="1" t="n">
        <v>46320</v>
      </c>
      <c r="F1034" t="inlineStr">
        <is>
          <t>GÄVLEBORGS LÄN</t>
        </is>
      </c>
      <c r="G1034" t="inlineStr">
        <is>
          <t>NORDANSTIG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23369-2022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44720</v>
      </c>
      <c r="E1035" s="1" t="n">
        <v>46320</v>
      </c>
      <c r="F1035" t="inlineStr">
        <is>
          <t>GÄVLEBORGS LÄN</t>
        </is>
      </c>
      <c r="G1035" t="inlineStr">
        <is>
          <t>NORDANSTIG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40269-2023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45169</v>
      </c>
      <c r="E1036" s="1" t="n">
        <v>46320</v>
      </c>
      <c r="F1036" t="inlineStr">
        <is>
          <t>GÄVLEBORGS LÄN</t>
        </is>
      </c>
      <c r="G1036" t="inlineStr">
        <is>
          <t>NORDANSTIG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12216-2025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45729</v>
      </c>
      <c r="E1037" s="1" t="n">
        <v>46320</v>
      </c>
      <c r="F1037" t="inlineStr">
        <is>
          <t>GÄVLEBORGS LÄN</t>
        </is>
      </c>
      <c r="G1037" t="inlineStr">
        <is>
          <t>NORDANSTIG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41620-2023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45175</v>
      </c>
      <c r="E1038" s="1" t="n">
        <v>46320</v>
      </c>
      <c r="F1038" t="inlineStr">
        <is>
          <t>GÄVLEBORGS LÄN</t>
        </is>
      </c>
      <c r="G1038" t="inlineStr">
        <is>
          <t>NORDANSTIG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20577-2025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45775</v>
      </c>
      <c r="E1039" s="1" t="n">
        <v>46320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18445-2025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45762</v>
      </c>
      <c r="E1040" s="1" t="n">
        <v>46320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44446-2023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45189</v>
      </c>
      <c r="E1041" s="1" t="n">
        <v>46320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31899-2022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44777</v>
      </c>
      <c r="E1042" s="1" t="n">
        <v>46320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37295-2022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44808</v>
      </c>
      <c r="E1043" s="1" t="n">
        <v>46320</v>
      </c>
      <c r="F1043" t="inlineStr">
        <is>
          <t>GÄVLEBORGS LÄN</t>
        </is>
      </c>
      <c r="G1043" t="inlineStr">
        <is>
          <t>NORDANSTIG</t>
        </is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2573-2024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45313</v>
      </c>
      <c r="E1044" s="1" t="n">
        <v>46320</v>
      </c>
      <c r="F1044" t="inlineStr">
        <is>
          <t>GÄVLEBORGS LÄN</t>
        </is>
      </c>
      <c r="G1044" t="inlineStr">
        <is>
          <t>NORDANSTIG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5411-2022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44595</v>
      </c>
      <c r="E1045" s="1" t="n">
        <v>46320</v>
      </c>
      <c r="F1045" t="inlineStr">
        <is>
          <t>GÄVLEBORGS LÄN</t>
        </is>
      </c>
      <c r="G1045" t="inlineStr">
        <is>
          <t>NORDANSTIG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37972-2022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44811</v>
      </c>
      <c r="E1046" s="1" t="n">
        <v>46320</v>
      </c>
      <c r="F1046" t="inlineStr">
        <is>
          <t>GÄVLEBORGS LÄN</t>
        </is>
      </c>
      <c r="G1046" t="inlineStr">
        <is>
          <t>NORDANSTIG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37986-2022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44811</v>
      </c>
      <c r="E1047" s="1" t="n">
        <v>46320</v>
      </c>
      <c r="F1047" t="inlineStr">
        <is>
          <t>GÄVLEBORGS LÄN</t>
        </is>
      </c>
      <c r="G1047" t="inlineStr">
        <is>
          <t>NORDANSTIG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35070-2022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44797</v>
      </c>
      <c r="E1048" s="1" t="n">
        <v>46320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46111-2023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45196</v>
      </c>
      <c r="E1049" s="1" t="n">
        <v>46320</v>
      </c>
      <c r="F1049" t="inlineStr">
        <is>
          <t>GÄVLEBORGS LÄN</t>
        </is>
      </c>
      <c r="G1049" t="inlineStr">
        <is>
          <t>NORDANSTIG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55026-2022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44886</v>
      </c>
      <c r="E1050" s="1" t="n">
        <v>46320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55120-2022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44886</v>
      </c>
      <c r="E1051" s="1" t="n">
        <v>46320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6820-2023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44967</v>
      </c>
      <c r="E1052" s="1" t="n">
        <v>46320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32622-2022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44783</v>
      </c>
      <c r="E1053" s="1" t="n">
        <v>46320</v>
      </c>
      <c r="F1053" t="inlineStr">
        <is>
          <t>GÄVLEBORGS LÄN</t>
        </is>
      </c>
      <c r="G1053" t="inlineStr">
        <is>
          <t>NORDANSTIG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15226-2023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45019</v>
      </c>
      <c r="E1054" s="1" t="n">
        <v>46320</v>
      </c>
      <c r="F1054" t="inlineStr">
        <is>
          <t>GÄVLEBORGS LÄN</t>
        </is>
      </c>
      <c r="G1054" t="inlineStr">
        <is>
          <t>NORDANSTIG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7436-2024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45345</v>
      </c>
      <c r="E1055" s="1" t="n">
        <v>46320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62.5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7460-2024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45345</v>
      </c>
      <c r="E1056" s="1" t="n">
        <v>46320</v>
      </c>
      <c r="F1056" t="inlineStr">
        <is>
          <t>GÄVLEBORGS LÄN</t>
        </is>
      </c>
      <c r="G1056" t="inlineStr">
        <is>
          <t>NORDANSTIG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56586-2023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45243</v>
      </c>
      <c r="E1057" s="1" t="n">
        <v>46320</v>
      </c>
      <c r="F1057" t="inlineStr">
        <is>
          <t>GÄVLEBORGS LÄN</t>
        </is>
      </c>
      <c r="G1057" t="inlineStr">
        <is>
          <t>NORDANSTIG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51250-2022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44868</v>
      </c>
      <c r="E1058" s="1" t="n">
        <v>46320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45399</v>
      </c>
      <c r="E1059" s="1" t="n">
        <v>46320</v>
      </c>
      <c r="F1059" t="inlineStr">
        <is>
          <t>GÄVLEBORGS LÄN</t>
        </is>
      </c>
      <c r="G1059" t="inlineStr">
        <is>
          <t>NORDANSTIG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19569-2024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45429</v>
      </c>
      <c r="E1060" s="1" t="n">
        <v>46320</v>
      </c>
      <c r="F1060" t="inlineStr">
        <is>
          <t>GÄVLEBORGS LÄN</t>
        </is>
      </c>
      <c r="G1060" t="inlineStr">
        <is>
          <t>NORDANSTIG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35765-2024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45532</v>
      </c>
      <c r="E1061" s="1" t="n">
        <v>46320</v>
      </c>
      <c r="F1061" t="inlineStr">
        <is>
          <t>GÄVLEBORGS LÄN</t>
        </is>
      </c>
      <c r="G1061" t="inlineStr">
        <is>
          <t>NORDANSTIG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18479-2024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45425</v>
      </c>
      <c r="E1062" s="1" t="n">
        <v>46320</v>
      </c>
      <c r="F1062" t="inlineStr">
        <is>
          <t>GÄVLEBORGS LÄN</t>
        </is>
      </c>
      <c r="G1062" t="inlineStr">
        <is>
          <t>NORDANSTIG</t>
        </is>
      </c>
      <c r="I1062" t="n">
        <v>7.6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59912-2024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45641</v>
      </c>
      <c r="E1063" s="1" t="n">
        <v>46320</v>
      </c>
      <c r="F1063" t="inlineStr">
        <is>
          <t>GÄVLEBORGS LÄN</t>
        </is>
      </c>
      <c r="G1063" t="inlineStr">
        <is>
          <t>NORDANSTIG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6324-2023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44965</v>
      </c>
      <c r="E1064" s="1" t="n">
        <v>46320</v>
      </c>
      <c r="F1064" t="inlineStr">
        <is>
          <t>GÄVLEBORGS LÄN</t>
        </is>
      </c>
      <c r="G1064" t="inlineStr">
        <is>
          <t>NORDANSTIG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14961-2025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45743</v>
      </c>
      <c r="E1065" s="1" t="n">
        <v>46320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30130-2024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45489</v>
      </c>
      <c r="E1066" s="1" t="n">
        <v>46320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40798-2022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44824</v>
      </c>
      <c r="E1067" s="1" t="n">
        <v>46320</v>
      </c>
      <c r="F1067" t="inlineStr">
        <is>
          <t>GÄVLEBORGS LÄN</t>
        </is>
      </c>
      <c r="G1067" t="inlineStr">
        <is>
          <t>NORDANSTIG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37005-2022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44806</v>
      </c>
      <c r="E1068" s="1" t="n">
        <v>46320</v>
      </c>
      <c r="F1068" t="inlineStr">
        <is>
          <t>GÄVLEBORGS LÄN</t>
        </is>
      </c>
      <c r="G1068" t="inlineStr">
        <is>
          <t>NORDANSTIG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14415-2022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44652</v>
      </c>
      <c r="E1069" s="1" t="n">
        <v>46320</v>
      </c>
      <c r="F1069" t="inlineStr">
        <is>
          <t>GÄVLEBORGS LÄN</t>
        </is>
      </c>
      <c r="G1069" t="inlineStr">
        <is>
          <t>NORDANSTIG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43893-2023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45187</v>
      </c>
      <c r="E1070" s="1" t="n">
        <v>46320</v>
      </c>
      <c r="F1070" t="inlineStr">
        <is>
          <t>GÄVLEBORGS LÄN</t>
        </is>
      </c>
      <c r="G1070" t="inlineStr">
        <is>
          <t>NORDANSTIG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5999-2024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45336</v>
      </c>
      <c r="E1071" s="1" t="n">
        <v>46320</v>
      </c>
      <c r="F1071" t="inlineStr">
        <is>
          <t>GÄVLEBORGS LÄN</t>
        </is>
      </c>
      <c r="G1071" t="inlineStr">
        <is>
          <t>NORDANSTIG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3999-2023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46320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39.7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3990-2023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46320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79.5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10130-2021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44538</v>
      </c>
      <c r="E1074" s="1" t="n">
        <v>46320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3983-2023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46320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73.3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131-2025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46320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46320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131.6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117-2025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46320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68.7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3987-2023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46320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25-2023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44929</v>
      </c>
      <c r="E1080" s="1" t="n">
        <v>46320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119.5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3996-2023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46320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52.3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1008-2024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45386</v>
      </c>
      <c r="E1082" s="1" t="n">
        <v>46320</v>
      </c>
      <c r="F1082" t="inlineStr">
        <is>
          <t>GÄVLEBORGS LÄN</t>
        </is>
      </c>
      <c r="G1082" t="inlineStr">
        <is>
          <t>NORDANSTIG</t>
        </is>
      </c>
      <c r="I1082" t="n">
        <v>6.8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3989-2023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46320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28.4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3994-2023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46320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57.5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127-2025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46320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3991-2023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46320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3997-2023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46320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12.1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3992-2023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46320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130.4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138-2025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46320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49.7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3988-2023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45238</v>
      </c>
      <c r="E1090" s="1" t="n">
        <v>46320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150.6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128-2025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45670</v>
      </c>
      <c r="E1091" s="1" t="n">
        <v>46320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47.5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122-2025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45670</v>
      </c>
      <c r="E1092" s="1" t="n">
        <v>46320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128.2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  <c r="Z1092">
        <f>HYPERLINK("https://klasma.github.io/Logging_2132/knärot/S 122-2025 karta knärot.png", "S 122-2025")</f>
        <v/>
      </c>
      <c r="AA1092">
        <f>HYPERLINK("https://klasma.github.io/Logging_2132/klagomål/S 122-2025 FSC-klagomål.docx", "S 122-2025")</f>
        <v/>
      </c>
      <c r="AB1092">
        <f>HYPERLINK("https://klasma.github.io/Logging_2132/klagomålsmail/S 122-2025 FSC-klagomål mail.docx", "S 122-2025")</f>
        <v/>
      </c>
      <c r="AC1092">
        <f>HYPERLINK("https://klasma.github.io/Logging_2132/tillsyn/S 122-2025 tillsynsbegäran.docx", "S 122-2025")</f>
        <v/>
      </c>
      <c r="AD1092">
        <f>HYPERLINK("https://klasma.github.io/Logging_2132/tillsynsmail/S 122-2025 tillsynsbegäran mail.docx", "S 122-2025")</f>
        <v/>
      </c>
    </row>
    <row r="1093" ht="15" customHeight="1">
      <c r="A1093" t="inlineStr">
        <is>
          <t>S 573-2026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46083</v>
      </c>
      <c r="E1093" s="1" t="n">
        <v>46320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SCA</t>
        </is>
      </c>
      <c r="I1093" t="n">
        <v>64.3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>
      <c r="A1094" t="inlineStr">
        <is>
          <t>S 8-2025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45650</v>
      </c>
      <c r="E1094" s="1" t="n">
        <v>46320</v>
      </c>
      <c r="F1094" t="inlineStr">
        <is>
          <t>GÄVLEBORGS LÄN</t>
        </is>
      </c>
      <c r="G1094" t="inlineStr">
        <is>
          <t>NORDANSTIG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2026-10-25T02:02:39Z</dcterms:created>
  <dcterms:modified xmlns:dcterms="http://purl.org/dc/terms/" xmlns:xsi="http://www.w3.org/2001/XMLSchema-instance" xsi:type="dcterms:W3CDTF">2026-10-25T02:02:41Z</dcterms:modified>
</cp:coreProperties>
</file>