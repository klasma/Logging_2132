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45757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45757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45757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45757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45757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45757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45757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45757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45757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45757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45757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45757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45757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45757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45757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45757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45757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45757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25643-2023</t>
        </is>
      </c>
      <c r="B20" s="1" t="n">
        <v>45089</v>
      </c>
      <c r="C20" s="1" t="n">
        <v>45757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Garnlav
Fläcknycklar</t>
        </is>
      </c>
      <c r="S20">
        <f>HYPERLINK("https://klasma.github.io/Logging_2132/artfynd/A 25643-2023 artfynd.xlsx", "A 25643-2023")</f>
        <v/>
      </c>
      <c r="T20">
        <f>HYPERLINK("https://klasma.github.io/Logging_2132/kartor/A 25643-2023 karta.png", "A 25643-2023")</f>
        <v/>
      </c>
      <c r="V20">
        <f>HYPERLINK("https://klasma.github.io/Logging_2132/klagomål/A 25643-2023 FSC-klagomål.docx", "A 25643-2023")</f>
        <v/>
      </c>
      <c r="W20">
        <f>HYPERLINK("https://klasma.github.io/Logging_2132/klagomålsmail/A 25643-2023 FSC-klagomål mail.docx", "A 25643-2023")</f>
        <v/>
      </c>
      <c r="X20">
        <f>HYPERLINK("https://klasma.github.io/Logging_2132/tillsyn/A 25643-2023 tillsynsbegäran.docx", "A 25643-2023")</f>
        <v/>
      </c>
      <c r="Y20">
        <f>HYPERLINK("https://klasma.github.io/Logging_2132/tillsynsmail/A 25643-2023 tillsynsbegäran mail.docx", "A 25643-2023")</f>
        <v/>
      </c>
    </row>
    <row r="21" ht="15" customHeight="1">
      <c r="A21" t="inlineStr">
        <is>
          <t>A 33691-2023</t>
        </is>
      </c>
      <c r="B21" s="1" t="n">
        <v>45132</v>
      </c>
      <c r="C21" s="1" t="n">
        <v>45757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Skogshakmossa
Vågbandad barkbock</t>
        </is>
      </c>
      <c r="S21">
        <f>HYPERLINK("https://klasma.github.io/Logging_2132/artfynd/A 33691-2023 artfynd.xlsx", "A 33691-2023")</f>
        <v/>
      </c>
      <c r="T21">
        <f>HYPERLINK("https://klasma.github.io/Logging_2132/kartor/A 33691-2023 karta.png", "A 33691-2023")</f>
        <v/>
      </c>
      <c r="V21">
        <f>HYPERLINK("https://klasma.github.io/Logging_2132/klagomål/A 33691-2023 FSC-klagomål.docx", "A 33691-2023")</f>
        <v/>
      </c>
      <c r="W21">
        <f>HYPERLINK("https://klasma.github.io/Logging_2132/klagomålsmail/A 33691-2023 FSC-klagomål mail.docx", "A 33691-2023")</f>
        <v/>
      </c>
      <c r="X21">
        <f>HYPERLINK("https://klasma.github.io/Logging_2132/tillsyn/A 33691-2023 tillsynsbegäran.docx", "A 33691-2023")</f>
        <v/>
      </c>
      <c r="Y21">
        <f>HYPERLINK("https://klasma.github.io/Logging_2132/tillsynsmail/A 33691-2023 tillsynsbegäran mail.docx", "A 33691-2023")</f>
        <v/>
      </c>
    </row>
    <row r="22" ht="15" customHeight="1">
      <c r="A22" t="inlineStr">
        <is>
          <t>A 17913-2019</t>
        </is>
      </c>
      <c r="B22" s="1" t="n">
        <v>43557</v>
      </c>
      <c r="C22" s="1" t="n">
        <v>45757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6.6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Fläcknycklar</t>
        </is>
      </c>
      <c r="S22">
        <f>HYPERLINK("https://klasma.github.io/Logging_2132/artfynd/A 17913-2019 artfynd.xlsx", "A 17913-2019")</f>
        <v/>
      </c>
      <c r="T22">
        <f>HYPERLINK("https://klasma.github.io/Logging_2132/kartor/A 17913-2019 karta.png", "A 17913-2019")</f>
        <v/>
      </c>
      <c r="V22">
        <f>HYPERLINK("https://klasma.github.io/Logging_2132/klagomål/A 17913-2019 FSC-klagomål.docx", "A 17913-2019")</f>
        <v/>
      </c>
      <c r="W22">
        <f>HYPERLINK("https://klasma.github.io/Logging_2132/klagomålsmail/A 17913-2019 FSC-klagomål mail.docx", "A 17913-2019")</f>
        <v/>
      </c>
      <c r="X22">
        <f>HYPERLINK("https://klasma.github.io/Logging_2132/tillsyn/A 17913-2019 tillsynsbegäran.docx", "A 17913-2019")</f>
        <v/>
      </c>
      <c r="Y22">
        <f>HYPERLINK("https://klasma.github.io/Logging_2132/tillsynsmail/A 17913-2019 tillsynsbegäran mail.docx", "A 17913-2019")</f>
        <v/>
      </c>
    </row>
    <row r="23" ht="15" customHeight="1">
      <c r="A23" t="inlineStr">
        <is>
          <t>A 30620-2020</t>
        </is>
      </c>
      <c r="B23" s="1" t="n">
        <v>44008</v>
      </c>
      <c r="C23" s="1" t="n">
        <v>45757</v>
      </c>
      <c r="D23" t="inlineStr">
        <is>
          <t>GÄVLEBORGS LÄN</t>
        </is>
      </c>
      <c r="E23" t="inlineStr">
        <is>
          <t>NORDANSTIG</t>
        </is>
      </c>
      <c r="G23" t="n">
        <v>19.5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HYPERLINK("https://klasma.github.io/Logging_2132/artfynd/A 30620-2020 artfynd.xlsx", "A 30620-2020")</f>
        <v/>
      </c>
      <c r="T23">
        <f>HYPERLINK("https://klasma.github.io/Logging_2132/kartor/A 30620-2020 karta.png", "A 30620-2020")</f>
        <v/>
      </c>
      <c r="V23">
        <f>HYPERLINK("https://klasma.github.io/Logging_2132/klagomål/A 30620-2020 FSC-klagomål.docx", "A 30620-2020")</f>
        <v/>
      </c>
      <c r="W23">
        <f>HYPERLINK("https://klasma.github.io/Logging_2132/klagomålsmail/A 30620-2020 FSC-klagomål mail.docx", "A 30620-2020")</f>
        <v/>
      </c>
      <c r="X23">
        <f>HYPERLINK("https://klasma.github.io/Logging_2132/tillsyn/A 30620-2020 tillsynsbegäran.docx", "A 30620-2020")</f>
        <v/>
      </c>
      <c r="Y23">
        <f>HYPERLINK("https://klasma.github.io/Logging_2132/tillsynsmail/A 30620-2020 tillsynsbegäran mail.docx", "A 30620-2020")</f>
        <v/>
      </c>
      <c r="Z23">
        <f>HYPERLINK("https://klasma.github.io/Logging_2132/fåglar/A 30620-2020 prioriterade fågelarter.docx", "A 30620-2020")</f>
        <v/>
      </c>
    </row>
    <row r="24" ht="15" customHeight="1">
      <c r="A24" t="inlineStr">
        <is>
          <t>A 33136-2020</t>
        </is>
      </c>
      <c r="B24" s="1" t="n">
        <v>44021</v>
      </c>
      <c r="C24" s="1" t="n">
        <v>45757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Reliktbock</t>
        </is>
      </c>
      <c r="S24">
        <f>HYPERLINK("https://klasma.github.io/Logging_2132/artfynd/A 33136-2020 artfynd.xlsx", "A 33136-2020")</f>
        <v/>
      </c>
      <c r="T24">
        <f>HYPERLINK("https://klasma.github.io/Logging_2132/kartor/A 33136-2020 karta.png", "A 33136-2020")</f>
        <v/>
      </c>
      <c r="V24">
        <f>HYPERLINK("https://klasma.github.io/Logging_2132/klagomål/A 33136-2020 FSC-klagomål.docx", "A 33136-2020")</f>
        <v/>
      </c>
      <c r="W24">
        <f>HYPERLINK("https://klasma.github.io/Logging_2132/klagomålsmail/A 33136-2020 FSC-klagomål mail.docx", "A 33136-2020")</f>
        <v/>
      </c>
      <c r="X24">
        <f>HYPERLINK("https://klasma.github.io/Logging_2132/tillsyn/A 33136-2020 tillsynsbegäran.docx", "A 33136-2020")</f>
        <v/>
      </c>
      <c r="Y24">
        <f>HYPERLINK("https://klasma.github.io/Logging_2132/tillsynsmail/A 33136-2020 tillsynsbegäran mail.docx", "A 33136-2020")</f>
        <v/>
      </c>
    </row>
    <row r="25" ht="15" customHeight="1">
      <c r="A25" t="inlineStr">
        <is>
          <t>A 72433-2021</t>
        </is>
      </c>
      <c r="B25" s="1" t="n">
        <v>44545</v>
      </c>
      <c r="C25" s="1" t="n">
        <v>45757</v>
      </c>
      <c r="D25" t="inlineStr">
        <is>
          <t>GÄVLEBORGS LÄN</t>
        </is>
      </c>
      <c r="E25" t="inlineStr">
        <is>
          <t>NORDANSTIG</t>
        </is>
      </c>
      <c r="G25" t="n">
        <v>6.1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Järpe
Grönsiska</t>
        </is>
      </c>
      <c r="S25">
        <f>HYPERLINK("https://klasma.github.io/Logging_2132/artfynd/A 72433-2021 artfynd.xlsx", "A 72433-2021")</f>
        <v/>
      </c>
      <c r="T25">
        <f>HYPERLINK("https://klasma.github.io/Logging_2132/kartor/A 72433-2021 karta.png", "A 72433-2021")</f>
        <v/>
      </c>
      <c r="V25">
        <f>HYPERLINK("https://klasma.github.io/Logging_2132/klagomål/A 72433-2021 FSC-klagomål.docx", "A 72433-2021")</f>
        <v/>
      </c>
      <c r="W25">
        <f>HYPERLINK("https://klasma.github.io/Logging_2132/klagomålsmail/A 72433-2021 FSC-klagomål mail.docx", "A 72433-2021")</f>
        <v/>
      </c>
      <c r="X25">
        <f>HYPERLINK("https://klasma.github.io/Logging_2132/tillsyn/A 72433-2021 tillsynsbegäran.docx", "A 72433-2021")</f>
        <v/>
      </c>
      <c r="Y25">
        <f>HYPERLINK("https://klasma.github.io/Logging_2132/tillsynsmail/A 72433-2021 tillsynsbegäran mail.docx", "A 72433-2021")</f>
        <v/>
      </c>
      <c r="Z25">
        <f>HYPERLINK("https://klasma.github.io/Logging_2132/fåglar/A 72433-2021 prioriterade fågelarter.docx", "A 72433-2021")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45757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45757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45757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45757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45757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45757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45757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45757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45757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45757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45757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45757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45757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45757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45757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45757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45757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45757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45757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45757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45757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45757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45757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45757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45757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45757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45757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45757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45757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45757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45757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45757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45757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45757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45757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45757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45757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45757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45757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45757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45757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45757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45757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45757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45757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45757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45757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45757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45757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45757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45757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45757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45757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45757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45757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45757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45757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45757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45757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45757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45757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45757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45757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45757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45757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45757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45757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45757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45757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45757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45757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45757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45757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45757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45757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45757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45757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45757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45757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45757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45757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45757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45757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45757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45757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45757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45757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45757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45757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45757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45757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45757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45757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45757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45757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45757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45757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45757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45757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45757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45757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45757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45757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45757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45757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45757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45757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45757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45757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45757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45757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45757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45757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45757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45757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45757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45757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45757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45757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45757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45757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45757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45757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45757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45757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45757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45757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45757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45757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45757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45757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45757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45757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45757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45757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45757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45757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45757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45757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45757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45757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45757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45757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45757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45757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45757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45757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45757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45757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45757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45757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45757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45757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45757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45757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45757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45757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45757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45757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45757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45757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45757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45757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45757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45757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45757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45757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45757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45757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45757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45757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45757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45757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45757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45757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45757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45757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45757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45757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45757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45757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45757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45757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45757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45757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45757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45757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45757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45757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45757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45757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45757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45757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45757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45757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45757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45757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45757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45757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45757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45757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45757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45757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45757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45757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45757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45757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45757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45757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45757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45757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45757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45757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45757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45757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45757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45757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45757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45757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45757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45757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45757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45757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45757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45757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45757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45757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45757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45757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45757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45757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45757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45757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45757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45757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45757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45757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45757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45757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45757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45757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45757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45757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45757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45757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45757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45757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45757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45757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45757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45757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45757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45757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45757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45757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45757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45757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45757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45757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45757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45757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45757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45757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45757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45757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45757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45757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45757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45757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45757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45757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45757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45757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45757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45757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45757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45757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45757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45757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45757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45757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45757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45757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45757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45757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45757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45757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45757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45757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45757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45757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45757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45757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45757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45757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45757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45757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45757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45757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45757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45757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45757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45757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45757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45757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45757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45757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45757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45757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45757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45757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45757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45757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45757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45757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45757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45757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45757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45757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45757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45757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45757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45757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45757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45757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45757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45757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45757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45757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45757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45757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45757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45757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45757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45757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45757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45757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45757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45757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45757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45757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45757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45757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45757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45757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45757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45757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45757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45757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45757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45757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45757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45757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45757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45757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45757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45757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45757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45757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45757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45757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45757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45757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45757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45757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45757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45757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45757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45757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45757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45757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45757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45757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45757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45757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45757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45757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45757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45757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45757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45757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45757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45757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45757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45757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45757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45757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45757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45757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45757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45757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45757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45757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45757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45757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45757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45757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45757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45757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45757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45757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45757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45757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45757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45757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45757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45757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45757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45757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45757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45757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45757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45757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45757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45757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45757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45757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45757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45757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45757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45757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45757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45757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45757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45757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45757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45757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45757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45757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45757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45757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45757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45757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45757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45757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45757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45757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45757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45757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45757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45757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45757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45757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45757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45757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45757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45757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45757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45757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45757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45757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45757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45757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45757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45757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45757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45757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45757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45757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45757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45757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45757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45757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45757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45757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45757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45757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45757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45757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45757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45757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45757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45757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45757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45757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45757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45757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45757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45757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45757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45757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45757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45757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45757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45757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45757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45757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45757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45757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45757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45757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45757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45757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45757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45757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45757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45757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45757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45757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45757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45757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45757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45757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45757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45757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45757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45757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45757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45757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45757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45757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45757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45757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45757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45757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45757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45757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45757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45757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45757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45757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45757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45757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45757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45757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45757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45757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45757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45757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45757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45757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45757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45757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45757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45757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45757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45757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45757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45757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45757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45757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45757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45757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45757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45757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45757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45757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45757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45757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45757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45757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45757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45757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45757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45757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45757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45757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45757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45757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45757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45757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45757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45757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45757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45757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45757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45757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45757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45757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45757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45757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45757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45757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45757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45757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45757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45757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45757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45757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45757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45757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45757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45757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45757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45757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45757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45757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45757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45757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45757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45757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45757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45757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45757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45757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45757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45757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45757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45757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45757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45757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45757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45757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45757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45757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45757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45757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45757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45757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45757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45757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45757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45757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45757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45757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45757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45757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45757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45757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45757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45757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45757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45757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45757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45757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45757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45757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45757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45757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45757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45757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45757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45757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45757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45757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45757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45757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45757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45757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45757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45757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45757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45757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45757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45757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45757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45757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45757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45757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45757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45757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45757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45757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45757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45757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45757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45757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45757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45757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45757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45757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45757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45757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45757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45757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45757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45757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45757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45757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45757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45757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45757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45757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45757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45757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45757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45757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45757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45757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45757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45757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45757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45757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45757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45757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45757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45757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45757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45757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45757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45757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45757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45757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45757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45757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45757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45757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45757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45757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45757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45757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45757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45757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45757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45757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45757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45757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45757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45757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45757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45757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45757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45757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45757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45757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45757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45757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45757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45757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45757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45757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45757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45757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45757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45757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45757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45757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45757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45757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45757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45757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45757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45757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45757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45757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45757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45757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45757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45757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45757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45757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45757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45757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45757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45757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45757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45757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45757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45757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45757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45757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45757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45757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45757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45757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45757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45757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45757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45757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45757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45757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45757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45757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45757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45757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45757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45757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45757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45757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45757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45757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45757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45757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45757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45757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45757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45757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45757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45757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45757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45757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45757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45757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45757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45757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45757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45757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45757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45757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45757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45757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45757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45757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45757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45757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45757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45757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45757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45757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45757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45757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45757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45757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45757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45757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45757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45757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45757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45757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45757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45757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45757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45757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45757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45757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45757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45757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45757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45757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45757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45757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45757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45757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45757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45757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45757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45757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45757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45757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45757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45757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45757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45757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45757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45757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45757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45757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45757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45757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45757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45757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45757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45757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45757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45757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45757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45757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45757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45757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45757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45757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45757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45757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45757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45757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45757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45757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45757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45757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45757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45757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45757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45757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45757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45757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45757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45757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45757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45757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45757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45757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45757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45757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45757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45757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45757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45757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45757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45757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45757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45757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45757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45757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45757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45757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45757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45757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45757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45757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45757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45757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45757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45757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45757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45757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45757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45757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45757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45757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45757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45757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45757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45757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45757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45757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45757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45757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45757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45757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45757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45757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45757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45757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45757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45757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45757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45757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45757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45757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45757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45757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45757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45757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45757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45757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45757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45757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45757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45757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45757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45757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45757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45757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45757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45757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45757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45757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45757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45757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45757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45757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45757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45757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45757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45757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45757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45757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45757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45757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45757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45757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45757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45757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45757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45757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45757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45757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45757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45757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45757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45757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45757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45757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45757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45757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45757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45757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45757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45757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45757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45757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45757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45757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45757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45757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45757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45757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45757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45757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45757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45757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45757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45757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45757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45757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45757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45757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45757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45757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45757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45757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45757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45757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45757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45757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45757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45757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45757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45757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45757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45757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45757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45757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45757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45757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45757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45757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45757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45757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45757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45757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45757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45757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45757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45757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45757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45757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45757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45757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45757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45757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45757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45757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45757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45757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45757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45757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45757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45757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45757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45757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45757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45757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45757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45757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45757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45757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45757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45757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45757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45757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45757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45757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45757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45757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45757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45757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45757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45757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45757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45757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45757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45757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45757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45757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45757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45757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45757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45757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45757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45757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45757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45757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45757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45757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45757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45757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45757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45757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45757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45757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45757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45757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45757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45757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45757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45757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45757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45757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45757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45757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45757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45757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45757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45757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45757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45757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45757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45757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45757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45757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45757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45757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45757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45757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45757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45757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45757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45757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45757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45757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45757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45757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45757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45757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45757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45757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45757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45757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45757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45757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45757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45757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45757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45757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45757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45757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45757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45757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45757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45757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45757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45757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45757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45757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45757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45757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45757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45757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45757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45757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45757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45757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45757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45757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45757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45757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45757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45757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45757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45757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45757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45757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45757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45757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45757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45757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45757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45757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45757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45757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45757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45757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45757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45757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45757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45757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45757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45757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45757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45757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45757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45757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45757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45757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45757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45757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45757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45757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45757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45757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45757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45757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45757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45757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45757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45757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45757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45757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45757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45757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45757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45757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45757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45757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45757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45757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45757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45757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45757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45757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45757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45757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45757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45757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45757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45757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45757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45757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45757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45757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45757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45757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45757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45757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45757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45757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45757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45757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45757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45757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45757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45757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45757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45757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45757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45757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45757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45757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45757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45757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45757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45757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45757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45757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45757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45757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45757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45757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45757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45757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45757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45757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45757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45757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45757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45757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45757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45757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45757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45757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45757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45757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45757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45757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45757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45757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45757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45757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45757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45757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45757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45757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45757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45757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45757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45757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45757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45757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45757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45757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45757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45757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45757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45757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45757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45757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45757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45757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45757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45757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45757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45757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45757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45757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45757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45757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45757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45757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45757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45757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45757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45757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45757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45757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45757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45757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45757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45757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45757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45757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45757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45757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45757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45757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45757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45757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45757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45757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45757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45757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45757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45757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45757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45757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45757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45757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45757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45757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45757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45757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45757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45757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45757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45757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45757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45757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45757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45757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45757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45757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45757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45757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45757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45757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45757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45757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45757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45757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45757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45757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45757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45757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45757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45757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45757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45757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45757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45757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45757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45757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45757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45757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45757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45757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45757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45757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45757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45757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45757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45757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45757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45757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45757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45757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45757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45757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45757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45757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45757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45757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45757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45757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45757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45757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45757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45757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45757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45757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45757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45757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45757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45757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45757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45757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45757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45757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45757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45757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45757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45757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45757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45757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45757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45757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45757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45757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45757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45757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45757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45757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45757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45757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45757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45757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45757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45757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45757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45757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45757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45757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45757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45757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45757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45757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45757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45757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45757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45757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45757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45757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45757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45757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45757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45757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45757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45757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45757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45757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45757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45757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45757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45757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45757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45757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45757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45757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45757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45757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45757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45757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45757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45757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45757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45757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45757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45757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45757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45757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45757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45757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>
      <c r="A1467" t="inlineStr">
        <is>
          <t>A 16616-2025</t>
        </is>
      </c>
      <c r="B1467" s="1" t="n">
        <v>45754</v>
      </c>
      <c r="C1467" s="1" t="n">
        <v>45757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2025-04-10T16:13:28Z</dcterms:created>
  <dcterms:modified xmlns:dcterms="http://purl.org/dc/terms/" xmlns:xsi="http://www.w3.org/2001/XMLSchema-instance" xsi:type="dcterms:W3CDTF">2025-04-10T16:13:29Z</dcterms:modified>
</cp:coreProperties>
</file>