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46250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46250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46250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46250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46250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46250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46250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46250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46250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46250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46250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13025-2025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46250</v>
      </c>
      <c r="F25" t="inlineStr">
        <is>
          <t>GÄVLEBORGS LÄN</t>
        </is>
      </c>
      <c r="G25" t="inlineStr">
        <is>
          <t>NORDANSTIG</t>
        </is>
      </c>
      <c r="I25" t="n">
        <v>9.699999999999999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Älg
Spillkråka
Kråka
Kungsfågel</t>
        </is>
      </c>
      <c r="W25">
        <f>HYPERLINK("https://klasma.github.io/Logging_2132/artfynd/A 13025-2025 artfynd.xlsx", "A 13025-2025")</f>
        <v/>
      </c>
      <c r="X25">
        <f>HYPERLINK("https://klasma.github.io/Logging_2132/kartor/A 13025-2025 karta.png", "A 13025-2025")</f>
        <v/>
      </c>
      <c r="Y25">
        <f>HYPERLINK("https://klasma.github.io/Logging_2132/kartor_geotiff/A 13025-2025 georefererad karta.tif", "A 13025-2025")</f>
        <v/>
      </c>
      <c r="AA25">
        <f>HYPERLINK("https://klasma.github.io/Logging_2132/klagomål/A 13025-2025 FSC-klagomål.docx", "A 13025-2025")</f>
        <v/>
      </c>
      <c r="AB25">
        <f>HYPERLINK("https://klasma.github.io/Logging_2132/klagomålsmail/A 13025-2025 FSC-klagomål mail.docx", "A 13025-2025")</f>
        <v/>
      </c>
      <c r="AC25">
        <f>HYPERLINK("https://klasma.github.io/Logging_2132/tillsyn/A 13025-2025 tillsynsbegäran.docx", "A 13025-2025")</f>
        <v/>
      </c>
      <c r="AD25">
        <f>HYPERLINK("https://klasma.github.io/Logging_2132/tillsynsmail/A 13025-2025 tillsynsbegäran mail.docx", "A 13025-2025")</f>
        <v/>
      </c>
      <c r="AE25">
        <f>HYPERLINK("https://klasma.github.io/Logging_2132/fåglar/A 13025-2025 prioriterade fågelarter.docx", "A 13025-2025")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46250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46250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46250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46250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46250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46250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46250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46250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46250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46250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46250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29578-2023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46250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Blåsippa</t>
        </is>
      </c>
      <c r="W42">
        <f>HYPERLINK("https://klasma.github.io/Logging_2132/artfynd/A 29578-2023 artfynd.xlsx", "A 29578-2023")</f>
        <v/>
      </c>
      <c r="X42">
        <f>HYPERLINK("https://klasma.github.io/Logging_2132/kartor/A 29578-2023 karta.png", "A 29578-2023")</f>
        <v/>
      </c>
      <c r="Y42">
        <f>HYPERLINK("https://klasma.github.io/Logging_2132/kartor_geotiff/A 29578-2023 georefererad karta.tif", "A 29578-2023")</f>
        <v/>
      </c>
      <c r="AA42">
        <f>HYPERLINK("https://klasma.github.io/Logging_2132/klagomål/A 29578-2023 FSC-klagomål.docx", "A 29578-2023")</f>
        <v/>
      </c>
      <c r="AB42">
        <f>HYPERLINK("https://klasma.github.io/Logging_2132/klagomålsmail/A 29578-2023 FSC-klagomål mail.docx", "A 29578-2023")</f>
        <v/>
      </c>
      <c r="AC42">
        <f>HYPERLINK("https://klasma.github.io/Logging_2132/tillsyn/A 29578-2023 tillsynsbegäran.docx", "A 29578-2023")</f>
        <v/>
      </c>
      <c r="AD42">
        <f>HYPERLINK("https://klasma.github.io/Logging_2132/tillsynsmail/A 29578-2023 tillsynsbegäran mail.docx", "A 29578-2023")</f>
        <v/>
      </c>
      <c r="AE42">
        <f>HYPERLINK("https://klasma.github.io/Logging_2132/fåglar/A 29578-2023 prioriterade fågelarter.docx", "A 29578-2023")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46250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46250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46250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46250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46250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46250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46250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46250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46250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46250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46250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46250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3474-2024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46250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Bredgentiana</t>
        </is>
      </c>
      <c r="W56">
        <f>HYPERLINK("https://klasma.github.io/Logging_2132/artfynd/A 3474-2024 artfynd.xlsx", "A 3474-2024")</f>
        <v/>
      </c>
      <c r="X56">
        <f>HYPERLINK("https://klasma.github.io/Logging_2132/kartor/A 3474-2024 karta.png", "A 3474-2024")</f>
        <v/>
      </c>
      <c r="Y56">
        <f>HYPERLINK("https://klasma.github.io/Logging_2132/kartor_geotiff/A 3474-2024 georefererad karta.tif", "A 3474-2024")</f>
        <v/>
      </c>
      <c r="AA56">
        <f>HYPERLINK("https://klasma.github.io/Logging_2132/klagomål/A 3474-2024 FSC-klagomål.docx", "A 3474-2024")</f>
        <v/>
      </c>
      <c r="AB56">
        <f>HYPERLINK("https://klasma.github.io/Logging_2132/klagomålsmail/A 3474-2024 FSC-klagomål mail.docx", "A 3474-2024")</f>
        <v/>
      </c>
      <c r="AC56">
        <f>HYPERLINK("https://klasma.github.io/Logging_2132/tillsyn/A 3474-2024 tillsynsbegäran.docx", "A 3474-2024")</f>
        <v/>
      </c>
      <c r="AD56">
        <f>HYPERLINK("https://klasma.github.io/Logging_2132/tillsynsmail/A 3474-2024 tillsynsbegäran mail.docx", "A 3474-2024")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46250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46250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46250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46250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46250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46250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22041-2022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46250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Svavelriska</t>
        </is>
      </c>
      <c r="W63">
        <f>HYPERLINK("https://klasma.github.io/Logging_2132/artfynd/A 22041-2022 artfynd.xlsx", "A 22041-2022")</f>
        <v/>
      </c>
      <c r="X63">
        <f>HYPERLINK("https://klasma.github.io/Logging_2132/kartor/A 22041-2022 karta.png", "A 22041-2022")</f>
        <v/>
      </c>
      <c r="Y63">
        <f>HYPERLINK("https://klasma.github.io/Logging_2132/kartor_geotiff/A 22041-2022 georefererad karta.tif", "A 22041-2022")</f>
        <v/>
      </c>
      <c r="AA63">
        <f>HYPERLINK("https://klasma.github.io/Logging_2132/klagomål/A 22041-2022 FSC-klagomål.docx", "A 22041-2022")</f>
        <v/>
      </c>
      <c r="AB63">
        <f>HYPERLINK("https://klasma.github.io/Logging_2132/klagomålsmail/A 22041-2022 FSC-klagomål mail.docx", "A 22041-2022")</f>
        <v/>
      </c>
      <c r="AC63">
        <f>HYPERLINK("https://klasma.github.io/Logging_2132/tillsyn/A 22041-2022 tillsynsbegäran.docx", "A 22041-2022")</f>
        <v/>
      </c>
      <c r="AD63">
        <f>HYPERLINK("https://klasma.github.io/Logging_2132/tillsynsmail/A 22041-2022 tillsynsbegäran mail.docx", "A 22041-2022")</f>
        <v/>
      </c>
    </row>
    <row r="64" ht="15" customHeight="1">
      <c r="A64" t="inlineStr">
        <is>
          <t>A 22863-2023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45072</v>
      </c>
      <c r="E64" s="1" t="n">
        <v>46250</v>
      </c>
      <c r="F64" t="inlineStr">
        <is>
          <t>GÄVLEBORGS LÄN</t>
        </is>
      </c>
      <c r="G64" t="inlineStr">
        <is>
          <t>NORDANSTIG</t>
        </is>
      </c>
      <c r="I64" t="n">
        <v>1.9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HYPERLINK("https://klasma.github.io/Logging_2132/artfynd/A 22863-2023 artfynd.xlsx", "A 22863-2023")</f>
        <v/>
      </c>
      <c r="X64">
        <f>HYPERLINK("https://klasma.github.io/Logging_2132/kartor/A 22863-2023 karta.png", "A 22863-2023")</f>
        <v/>
      </c>
      <c r="Y64">
        <f>HYPERLINK("https://klasma.github.io/Logging_2132/kartor_geotiff/A 22863-2023 georefererad karta.tif", "A 22863-2023")</f>
        <v/>
      </c>
      <c r="AA64">
        <f>HYPERLINK("https://klasma.github.io/Logging_2132/klagomål/A 22863-2023 FSC-klagomål.docx", "A 22863-2023")</f>
        <v/>
      </c>
      <c r="AB64">
        <f>HYPERLINK("https://klasma.github.io/Logging_2132/klagomålsmail/A 22863-2023 FSC-klagomål mail.docx", "A 22863-2023")</f>
        <v/>
      </c>
      <c r="AC64">
        <f>HYPERLINK("https://klasma.github.io/Logging_2132/tillsyn/A 22863-2023 tillsynsbegäran.docx", "A 22863-2023")</f>
        <v/>
      </c>
      <c r="AD64">
        <f>HYPERLINK("https://klasma.github.io/Logging_2132/tillsynsmail/A 22863-2023 tillsynsbegäran mail.docx", "A 22863-2023")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46250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46250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46250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46250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46250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46250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45296</v>
      </c>
      <c r="E71" s="1" t="n">
        <v>46250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HYPERLINK("https://klasma.github.io/Logging_2132/artfynd/A 377-2024 artfynd.xlsx", "A 377-2024")</f>
        <v/>
      </c>
      <c r="X71">
        <f>HYPERLINK("https://klasma.github.io/Logging_2132/kartor/A 377-2024 karta.png", "A 377-2024")</f>
        <v/>
      </c>
      <c r="Y71">
        <f>HYPERLINK("https://klasma.github.io/Logging_2132/kartor_geotiff/A 377-2024 georefererad karta.tif", "A 377-2024")</f>
        <v/>
      </c>
      <c r="AA71">
        <f>HYPERLINK("https://klasma.github.io/Logging_2132/klagomål/A 377-2024 FSC-klagomål.docx", "A 377-2024")</f>
        <v/>
      </c>
      <c r="AB71">
        <f>HYPERLINK("https://klasma.github.io/Logging_2132/klagomålsmail/A 377-2024 FSC-klagomål mail.docx", "A 377-2024")</f>
        <v/>
      </c>
      <c r="AC71">
        <f>HYPERLINK("https://klasma.github.io/Logging_2132/tillsyn/A 377-2024 tillsynsbegäran.docx", "A 377-2024")</f>
        <v/>
      </c>
      <c r="AD71">
        <f>HYPERLINK("https://klasma.github.io/Logging_2132/tillsynsmail/A 377-2024 tillsynsbegäran mail.docx", "A 377-2024")</f>
        <v/>
      </c>
      <c r="AE71">
        <f>HYPERLINK("https://klasma.github.io/Logging_2132/fåglar/A 377-2024 prioriterade fågelarter.docx", "A 377-2024")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46250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18681-2025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46250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HYPERLINK("https://klasma.github.io/Logging_2132/artfynd/A 18681-2025 artfynd.xlsx", "A 18681-2025")</f>
        <v/>
      </c>
      <c r="X73">
        <f>HYPERLINK("https://klasma.github.io/Logging_2132/kartor/A 18681-2025 karta.png", "A 18681-2025")</f>
        <v/>
      </c>
      <c r="Y73">
        <f>HYPERLINK("https://klasma.github.io/Logging_2132/kartor_geotiff/A 18681-2025 georefererad karta.tif", "A 18681-2025")</f>
        <v/>
      </c>
      <c r="AA73">
        <f>HYPERLINK("https://klasma.github.io/Logging_2132/klagomål/A 18681-2025 FSC-klagomål.docx", "A 18681-2025")</f>
        <v/>
      </c>
      <c r="AB73">
        <f>HYPERLINK("https://klasma.github.io/Logging_2132/klagomålsmail/A 18681-2025 FSC-klagomål mail.docx", "A 18681-2025")</f>
        <v/>
      </c>
      <c r="AC73">
        <f>HYPERLINK("https://klasma.github.io/Logging_2132/tillsyn/A 18681-2025 tillsynsbegäran.docx", "A 18681-2025")</f>
        <v/>
      </c>
      <c r="AD73">
        <f>HYPERLINK("https://klasma.github.io/Logging_2132/tillsynsmail/A 18681-2025 tillsynsbegäran mail.docx", "A 18681-2025")</f>
        <v/>
      </c>
    </row>
    <row r="74" ht="15" customHeight="1">
      <c r="A74" t="inlineStr">
        <is>
          <t>A 23333-2025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46250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HYPERLINK("https://klasma.github.io/Logging_2132/artfynd/A 23333-2025 artfynd.xlsx", "A 23333-2025")</f>
        <v/>
      </c>
      <c r="X74">
        <f>HYPERLINK("https://klasma.github.io/Logging_2132/kartor/A 23333-2025 karta.png", "A 23333-2025")</f>
        <v/>
      </c>
      <c r="Y74">
        <f>HYPERLINK("https://klasma.github.io/Logging_2132/kartor_geotiff/A 23333-2025 georefererad karta.tif", "A 23333-2025")</f>
        <v/>
      </c>
      <c r="AA74">
        <f>HYPERLINK("https://klasma.github.io/Logging_2132/klagomål/A 23333-2025 FSC-klagomål.docx", "A 23333-2025")</f>
        <v/>
      </c>
      <c r="AB74">
        <f>HYPERLINK("https://klasma.github.io/Logging_2132/klagomålsmail/A 23333-2025 FSC-klagomål mail.docx", "A 23333-2025")</f>
        <v/>
      </c>
      <c r="AC74">
        <f>HYPERLINK("https://klasma.github.io/Logging_2132/tillsyn/A 23333-2025 tillsynsbegäran.docx", "A 23333-2025")</f>
        <v/>
      </c>
      <c r="AD74">
        <f>HYPERLINK("https://klasma.github.io/Logging_2132/tillsynsmail/A 23333-2025 tillsynsbegäran mail.docx", "A 23333-2025")</f>
        <v/>
      </c>
      <c r="AE74">
        <f>HYPERLINK("https://klasma.github.io/Logging_2132/fåglar/A 23333-2025 prioriterade fågelarter.docx", "A 23333-2025")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46250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46250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24758-2025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46250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23.2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HYPERLINK("https://klasma.github.io/Logging_2132/artfynd/A 24758-2025 artfynd.xlsx", "A 24758-2025")</f>
        <v/>
      </c>
      <c r="X77">
        <f>HYPERLINK("https://klasma.github.io/Logging_2132/kartor/A 24758-2025 karta.png", "A 24758-2025")</f>
        <v/>
      </c>
      <c r="Y77">
        <f>HYPERLINK("https://klasma.github.io/Logging_2132/kartor_geotiff/A 24758-2025 georefererad karta.tif", "A 24758-2025")</f>
        <v/>
      </c>
      <c r="Z77">
        <f>HYPERLINK("https://klasma.github.io/Logging_2132/knärot/A 24758-2025 karta knärot.png", "A 24758-2025")</f>
        <v/>
      </c>
      <c r="AA77">
        <f>HYPERLINK("https://klasma.github.io/Logging_2132/klagomål/A 24758-2025 FSC-klagomål.docx", "A 24758-2025")</f>
        <v/>
      </c>
      <c r="AB77">
        <f>HYPERLINK("https://klasma.github.io/Logging_2132/klagomålsmail/A 24758-2025 FSC-klagomål mail.docx", "A 24758-2025")</f>
        <v/>
      </c>
      <c r="AC77">
        <f>HYPERLINK("https://klasma.github.io/Logging_2132/tillsyn/A 24758-2025 tillsynsbegäran.docx", "A 24758-2025")</f>
        <v/>
      </c>
      <c r="AD77">
        <f>HYPERLINK("https://klasma.github.io/Logging_2132/tillsynsmail/A 24758-2025 tillsynsbegäran mail.docx", "A 24758-2025")</f>
        <v/>
      </c>
    </row>
    <row r="78" ht="15" customHeight="1">
      <c r="A78" t="inlineStr">
        <is>
          <t>A 57806-2024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46250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HYPERLINK("https://klasma.github.io/Logging_2132/artfynd/A 57806-2024 artfynd.xlsx", "A 57806-2024")</f>
        <v/>
      </c>
      <c r="X78">
        <f>HYPERLINK("https://klasma.github.io/Logging_2132/kartor/A 57806-2024 karta.png", "A 57806-2024")</f>
        <v/>
      </c>
      <c r="Y78">
        <f>HYPERLINK("https://klasma.github.io/Logging_2132/kartor_geotiff/A 57806-2024 georefererad karta.tif", "A 57806-2024")</f>
        <v/>
      </c>
      <c r="Z78">
        <f>HYPERLINK("https://klasma.github.io/Logging_2132/knärot/A 57806-2024 karta knärot.png", "A 57806-2024")</f>
        <v/>
      </c>
      <c r="AA78">
        <f>HYPERLINK("https://klasma.github.io/Logging_2132/klagomål/A 57806-2024 FSC-klagomål.docx", "A 57806-2024")</f>
        <v/>
      </c>
      <c r="AB78">
        <f>HYPERLINK("https://klasma.github.io/Logging_2132/klagomålsmail/A 57806-2024 FSC-klagomål mail.docx", "A 57806-2024")</f>
        <v/>
      </c>
      <c r="AC78">
        <f>HYPERLINK("https://klasma.github.io/Logging_2132/tillsyn/A 57806-2024 tillsynsbegäran.docx", "A 57806-2024")</f>
        <v/>
      </c>
      <c r="AD78">
        <f>HYPERLINK("https://klasma.github.io/Logging_2132/tillsynsmail/A 57806-2024 tillsynsbegäran mail.docx", "A 57806-2024")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46250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3692-2022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44586</v>
      </c>
      <c r="E80" s="1" t="n">
        <v>46250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Lunglav</t>
        </is>
      </c>
      <c r="W80">
        <f>HYPERLINK("https://klasma.github.io/Logging_2132/artfynd/A 3692-2022 artfynd.xlsx", "A 3692-2022")</f>
        <v/>
      </c>
      <c r="X80">
        <f>HYPERLINK("https://klasma.github.io/Logging_2132/kartor/A 3692-2022 karta.png", "A 3692-2022")</f>
        <v/>
      </c>
      <c r="Y80">
        <f>HYPERLINK("https://klasma.github.io/Logging_2132/kartor_geotiff/A 3692-2022 georefererad karta.tif", "A 3692-2022")</f>
        <v/>
      </c>
      <c r="AA80">
        <f>HYPERLINK("https://klasma.github.io/Logging_2132/klagomål/A 3692-2022 FSC-klagomål.docx", "A 3692-2022")</f>
        <v/>
      </c>
      <c r="AB80">
        <f>HYPERLINK("https://klasma.github.io/Logging_2132/klagomålsmail/A 3692-2022 FSC-klagomål mail.docx", "A 3692-2022")</f>
        <v/>
      </c>
      <c r="AC80">
        <f>HYPERLINK("https://klasma.github.io/Logging_2132/tillsyn/A 3692-2022 tillsynsbegäran.docx", "A 3692-2022")</f>
        <v/>
      </c>
      <c r="AD80">
        <f>HYPERLINK("https://klasma.github.io/Logging_2132/tillsynsmail/A 3692-2022 tillsynsbegäran mail.docx", "A 3692-2022")</f>
        <v/>
      </c>
    </row>
    <row r="81" ht="15" customHeight="1">
      <c r="A81" t="inlineStr">
        <is>
          <t>A 2254-2025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45673</v>
      </c>
      <c r="E81" s="1" t="n">
        <v>46250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4</v>
      </c>
      <c r="U81" t="n">
        <v>0</v>
      </c>
      <c r="V81" s="2" t="inlineStr">
        <is>
          <t>Bredgentiana</t>
        </is>
      </c>
      <c r="W81">
        <f>HYPERLINK("https://klasma.github.io/Logging_2132/artfynd/A 2254-2025 artfynd.xlsx", "A 2254-2025")</f>
        <v/>
      </c>
      <c r="X81">
        <f>HYPERLINK("https://klasma.github.io/Logging_2132/kartor/A 2254-2025 karta.png", "A 2254-2025")</f>
        <v/>
      </c>
      <c r="Y81">
        <f>HYPERLINK("https://klasma.github.io/Logging_2132/kartor_geotiff/A 2254-2025 georefererad karta.tif", "A 2254-2025")</f>
        <v/>
      </c>
      <c r="AA81">
        <f>HYPERLINK("https://klasma.github.io/Logging_2132/klagomål/A 2254-2025 FSC-klagomål.docx", "A 2254-2025")</f>
        <v/>
      </c>
      <c r="AB81">
        <f>HYPERLINK("https://klasma.github.io/Logging_2132/klagomålsmail/A 2254-2025 FSC-klagomål mail.docx", "A 2254-2025")</f>
        <v/>
      </c>
      <c r="AC81">
        <f>HYPERLINK("https://klasma.github.io/Logging_2132/tillsyn/A 2254-2025 tillsynsbegäran.docx", "A 2254-2025")</f>
        <v/>
      </c>
      <c r="AD81">
        <f>HYPERLINK("https://klasma.github.io/Logging_2132/tillsynsmail/A 2254-2025 tillsynsbegäran mail.docx", "A 2254-2025")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46250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46250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46250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46250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46250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46250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46250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46250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46250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46250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46250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46250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46250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46250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46250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46250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46250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46250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46250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46250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46250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46250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46250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46250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46250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46250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46250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46250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46250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46250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46250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46250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46250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46250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46250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46250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46250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46250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46250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72435-2021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44545</v>
      </c>
      <c r="E129" s="1" t="n">
        <v>46250</v>
      </c>
      <c r="F129" t="inlineStr">
        <is>
          <t>GÄVLEBORGS LÄN</t>
        </is>
      </c>
      <c r="G129" t="inlineStr">
        <is>
          <t>NORDANSTIG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46250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46250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46250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46250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46250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46250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46250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46250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46250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46250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46250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46250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46250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36960-2023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45154</v>
      </c>
      <c r="E143" s="1" t="n">
        <v>46250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46250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46250</v>
      </c>
      <c r="F145" t="inlineStr">
        <is>
          <t>GÄVLEBORGS LÄN</t>
        </is>
      </c>
      <c r="G145" t="inlineStr">
        <is>
          <t>NORDANSTIG</t>
        </is>
      </c>
      <c r="I145" t="n">
        <v>16.7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46250</v>
      </c>
      <c r="F146" t="inlineStr">
        <is>
          <t>GÄVLEBORGS LÄN</t>
        </is>
      </c>
      <c r="G146" t="inlineStr">
        <is>
          <t>NORDANSTIG</t>
        </is>
      </c>
      <c r="H146" t="inlineStr">
        <is>
          <t>SCA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46250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46250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46250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46250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46250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46250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46250</v>
      </c>
      <c r="F153" t="inlineStr">
        <is>
          <t>GÄVLEBORGS LÄN</t>
        </is>
      </c>
      <c r="G153" t="inlineStr">
        <is>
          <t>NORDANSTIG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46250</v>
      </c>
      <c r="F154" t="inlineStr">
        <is>
          <t>GÄVLEBORGS LÄN</t>
        </is>
      </c>
      <c r="G154" t="inlineStr">
        <is>
          <t>NORDANSTIG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46250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46250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46250</v>
      </c>
      <c r="F157" t="inlineStr">
        <is>
          <t>GÄVLEBORGS LÄN</t>
        </is>
      </c>
      <c r="G157" t="inlineStr">
        <is>
          <t>NORDANSTIG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46250</v>
      </c>
      <c r="F158" t="inlineStr">
        <is>
          <t>GÄVLEBORGS LÄN</t>
        </is>
      </c>
      <c r="G158" t="inlineStr">
        <is>
          <t>NORDANSTIG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51543-2021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44461</v>
      </c>
      <c r="E159" s="1" t="n">
        <v>46250</v>
      </c>
      <c r="F159" t="inlineStr">
        <is>
          <t>GÄVLEBORGS LÄN</t>
        </is>
      </c>
      <c r="G159" t="inlineStr">
        <is>
          <t>NORDANSTIG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46250</v>
      </c>
      <c r="F160" t="inlineStr">
        <is>
          <t>GÄVLEBORGS LÄN</t>
        </is>
      </c>
      <c r="G160" t="inlineStr">
        <is>
          <t>NORDANSTIG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46250</v>
      </c>
      <c r="F161" t="inlineStr">
        <is>
          <t>GÄVLEBORGS LÄN</t>
        </is>
      </c>
      <c r="G161" t="inlineStr">
        <is>
          <t>NORDANSTIG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46250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25002-2022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44728</v>
      </c>
      <c r="E163" s="1" t="n">
        <v>46250</v>
      </c>
      <c r="F163" t="inlineStr">
        <is>
          <t>GÄVLEBORGS LÄN</t>
        </is>
      </c>
      <c r="G163" t="inlineStr">
        <is>
          <t>NORDANSTIG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46250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47762-2021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44448</v>
      </c>
      <c r="E165" s="1" t="n">
        <v>46250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46250</v>
      </c>
      <c r="F166" t="inlineStr">
        <is>
          <t>GÄVLEBORGS LÄN</t>
        </is>
      </c>
      <c r="G166" t="inlineStr">
        <is>
          <t>NORDANSTIG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62065-2021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44502</v>
      </c>
      <c r="E167" s="1" t="n">
        <v>46250</v>
      </c>
      <c r="F167" t="inlineStr">
        <is>
          <t>GÄVLEBORGS LÄN</t>
        </is>
      </c>
      <c r="G167" t="inlineStr">
        <is>
          <t>NORDANSTIG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46250</v>
      </c>
      <c r="F168" t="inlineStr">
        <is>
          <t>GÄVLEBORGS LÄN</t>
        </is>
      </c>
      <c r="G168" t="inlineStr">
        <is>
          <t>NORDANSTIG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46250</v>
      </c>
      <c r="F169" t="inlineStr">
        <is>
          <t>GÄVLEBORGS LÄN</t>
        </is>
      </c>
      <c r="G169" t="inlineStr">
        <is>
          <t>NORDANSTIG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46250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46250</v>
      </c>
      <c r="F171" t="inlineStr">
        <is>
          <t>GÄVLEBORGS LÄN</t>
        </is>
      </c>
      <c r="G171" t="inlineStr">
        <is>
          <t>NORDANSTIG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43589-2021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46250</v>
      </c>
      <c r="F172" t="inlineStr">
        <is>
          <t>GÄVLEBORGS LÄN</t>
        </is>
      </c>
      <c r="G172" t="inlineStr">
        <is>
          <t>NORDANSTIG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44566</v>
      </c>
      <c r="E173" s="1" t="n">
        <v>46250</v>
      </c>
      <c r="F173" t="inlineStr">
        <is>
          <t>GÄVLEBORGS LÄN</t>
        </is>
      </c>
      <c r="G173" t="inlineStr">
        <is>
          <t>NORDANSTIG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46250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46250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46250</v>
      </c>
      <c r="F176" t="inlineStr">
        <is>
          <t>GÄVLEBORGS LÄN</t>
        </is>
      </c>
      <c r="G176" t="inlineStr">
        <is>
          <t>NORDANSTIG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46250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46250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46250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37848-2025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45881</v>
      </c>
      <c r="E180" s="1" t="n">
        <v>46250</v>
      </c>
      <c r="F180" t="inlineStr">
        <is>
          <t>GÄVLEBORGS LÄN</t>
        </is>
      </c>
      <c r="G180" t="inlineStr">
        <is>
          <t>NORDANSTIG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46250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46250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46250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46250</v>
      </c>
      <c r="F184" t="inlineStr">
        <is>
          <t>GÄVLEBORGS LÄN</t>
        </is>
      </c>
      <c r="G184" t="inlineStr">
        <is>
          <t>NORDANSTIG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46250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46250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46250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46250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46250</v>
      </c>
      <c r="F189" t="inlineStr">
        <is>
          <t>GÄVLEBORGS LÄN</t>
        </is>
      </c>
      <c r="G189" t="inlineStr">
        <is>
          <t>NORDANSTIG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46250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37563-2025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45880</v>
      </c>
      <c r="E191" s="1" t="n">
        <v>46250</v>
      </c>
      <c r="F191" t="inlineStr">
        <is>
          <t>GÄVLEBORGS LÄN</t>
        </is>
      </c>
      <c r="G191" t="inlineStr">
        <is>
          <t>NORDANSTIG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46250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46250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44692</v>
      </c>
      <c r="E194" s="1" t="n">
        <v>46250</v>
      </c>
      <c r="F194" t="inlineStr">
        <is>
          <t>GÄVLEBORGS LÄN</t>
        </is>
      </c>
      <c r="G194" t="inlineStr">
        <is>
          <t>NORDANSTIG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37295-2022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44808</v>
      </c>
      <c r="E195" s="1" t="n">
        <v>46250</v>
      </c>
      <c r="F195" t="inlineStr">
        <is>
          <t>GÄVLEBORGS LÄN</t>
        </is>
      </c>
      <c r="G195" t="inlineStr">
        <is>
          <t>NORDANSTIG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46250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45884</v>
      </c>
      <c r="E197" s="1" t="n">
        <v>46250</v>
      </c>
      <c r="F197" t="inlineStr">
        <is>
          <t>GÄVLEBORGS LÄN</t>
        </is>
      </c>
      <c r="G197" t="inlineStr">
        <is>
          <t>NORDANSTIG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46250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38295-2025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45883</v>
      </c>
      <c r="E199" s="1" t="n">
        <v>46250</v>
      </c>
      <c r="F199" t="inlineStr">
        <is>
          <t>GÄVLEBORGS LÄN</t>
        </is>
      </c>
      <c r="G199" t="inlineStr">
        <is>
          <t>NORDANSTIG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26113-2022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44734</v>
      </c>
      <c r="E200" s="1" t="n">
        <v>46250</v>
      </c>
      <c r="F200" t="inlineStr">
        <is>
          <t>GÄVLEBORGS LÄN</t>
        </is>
      </c>
      <c r="G200" t="inlineStr">
        <is>
          <t>NORDANSTIG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46250</v>
      </c>
      <c r="F201" t="inlineStr">
        <is>
          <t>GÄVLEBORGS LÄN</t>
        </is>
      </c>
      <c r="G201" t="inlineStr">
        <is>
          <t>NORDANSTIG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46250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46250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44790</v>
      </c>
      <c r="E204" s="1" t="n">
        <v>46250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45364</v>
      </c>
      <c r="E205" s="1" t="n">
        <v>46250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46250</v>
      </c>
      <c r="F206" t="inlineStr">
        <is>
          <t>GÄVLEBORGS LÄN</t>
        </is>
      </c>
      <c r="G206" t="inlineStr">
        <is>
          <t>NORDANSTIG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46250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46250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46250</v>
      </c>
      <c r="F209" t="inlineStr">
        <is>
          <t>GÄVLEBORGS LÄN</t>
        </is>
      </c>
      <c r="G209" t="inlineStr">
        <is>
          <t>NORDANSTIG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46250</v>
      </c>
      <c r="F210" t="inlineStr">
        <is>
          <t>GÄVLEBORGS LÄN</t>
        </is>
      </c>
      <c r="G210" t="inlineStr">
        <is>
          <t>NORDANSTIG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46250</v>
      </c>
      <c r="F211" t="inlineStr">
        <is>
          <t>GÄVLEBORGS LÄN</t>
        </is>
      </c>
      <c r="G211" t="inlineStr">
        <is>
          <t>NORDANSTIG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44765</v>
      </c>
      <c r="E212" s="1" t="n">
        <v>46250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46250</v>
      </c>
      <c r="F213" t="inlineStr">
        <is>
          <t>GÄVLEBORGS LÄN</t>
        </is>
      </c>
      <c r="G213" t="inlineStr">
        <is>
          <t>NORDANSTIG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46250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45513</v>
      </c>
      <c r="E215" s="1" t="n">
        <v>46250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45504</v>
      </c>
      <c r="E216" s="1" t="n">
        <v>46250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46250</v>
      </c>
      <c r="F217" t="inlineStr">
        <is>
          <t>GÄVLEBORGS LÄN</t>
        </is>
      </c>
      <c r="G217" t="inlineStr">
        <is>
          <t>NORDANSTIG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46250</v>
      </c>
      <c r="F218" t="inlineStr">
        <is>
          <t>GÄVLEBORGS LÄN</t>
        </is>
      </c>
      <c r="G218" t="inlineStr">
        <is>
          <t>NORDANSTIG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46250</v>
      </c>
      <c r="F219" t="inlineStr">
        <is>
          <t>GÄVLEBORGS LÄN</t>
        </is>
      </c>
      <c r="G219" t="inlineStr">
        <is>
          <t>NORDANSTIG</t>
        </is>
      </c>
      <c r="I219" t="n">
        <v>15.1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46250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46250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46250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46250</v>
      </c>
      <c r="F223" t="inlineStr">
        <is>
          <t>GÄVLEBORGS LÄN</t>
        </is>
      </c>
      <c r="G223" t="inlineStr">
        <is>
          <t>NORDANSTIG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44945</v>
      </c>
      <c r="E224" s="1" t="n">
        <v>46250</v>
      </c>
      <c r="F224" t="inlineStr">
        <is>
          <t>GÄVLEBORGS LÄN</t>
        </is>
      </c>
      <c r="G224" t="inlineStr">
        <is>
          <t>NORDANSTIG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46250</v>
      </c>
      <c r="F225" t="inlineStr">
        <is>
          <t>GÄVLEBORGS LÄN</t>
        </is>
      </c>
      <c r="G225" t="inlineStr">
        <is>
          <t>NORDANSTIG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46250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46250</v>
      </c>
      <c r="F227" t="inlineStr">
        <is>
          <t>GÄVLEBORGS LÄN</t>
        </is>
      </c>
      <c r="G227" t="inlineStr">
        <is>
          <t>NORDANSTIG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46250</v>
      </c>
      <c r="F228" t="inlineStr">
        <is>
          <t>GÄVLEBORGS LÄN</t>
        </is>
      </c>
      <c r="G228" t="inlineStr">
        <is>
          <t>NORDANSTIG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46250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46250</v>
      </c>
      <c r="F230" t="inlineStr">
        <is>
          <t>GÄVLEBORGS LÄN</t>
        </is>
      </c>
      <c r="G230" t="inlineStr">
        <is>
          <t>NORDANSTIG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46250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46250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46250</v>
      </c>
      <c r="F233" t="inlineStr">
        <is>
          <t>GÄVLEBORGS LÄN</t>
        </is>
      </c>
      <c r="G233" t="inlineStr">
        <is>
          <t>NORDANSTIG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46250</v>
      </c>
      <c r="F234" t="inlineStr">
        <is>
          <t>GÄVLEBORGS LÄN</t>
        </is>
      </c>
      <c r="G234" t="inlineStr">
        <is>
          <t>NORDANSTIG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46250</v>
      </c>
      <c r="F235" t="inlineStr">
        <is>
          <t>GÄVLEBORGS LÄN</t>
        </is>
      </c>
      <c r="G235" t="inlineStr">
        <is>
          <t>NORDANSTIG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46250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46250</v>
      </c>
      <c r="F237" t="inlineStr">
        <is>
          <t>GÄVLEBORGS LÄN</t>
        </is>
      </c>
      <c r="G237" t="inlineStr">
        <is>
          <t>NORDANSTIG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46250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46250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46250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46250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46250</v>
      </c>
      <c r="F242" t="inlineStr">
        <is>
          <t>GÄVLEBORGS LÄN</t>
        </is>
      </c>
      <c r="G242" t="inlineStr">
        <is>
          <t>NORDANSTIG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46250</v>
      </c>
      <c r="F243" t="inlineStr">
        <is>
          <t>GÄVLEBORGS LÄN</t>
        </is>
      </c>
      <c r="G243" t="inlineStr">
        <is>
          <t>NORDANSTIG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46250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46250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44560</v>
      </c>
      <c r="E246" s="1" t="n">
        <v>46250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46250</v>
      </c>
      <c r="F247" t="inlineStr">
        <is>
          <t>GÄVLEBORGS LÄN</t>
        </is>
      </c>
      <c r="G247" t="inlineStr">
        <is>
          <t>NORDANSTIG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46250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46250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46250</v>
      </c>
      <c r="F250" t="inlineStr">
        <is>
          <t>GÄVLEBORGS LÄN</t>
        </is>
      </c>
      <c r="G250" t="inlineStr">
        <is>
          <t>NORDANSTIG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46250</v>
      </c>
      <c r="F251" t="inlineStr">
        <is>
          <t>GÄVLEBORGS LÄN</t>
        </is>
      </c>
      <c r="G251" t="inlineStr">
        <is>
          <t>NORDANSTIG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46250</v>
      </c>
      <c r="F252" t="inlineStr">
        <is>
          <t>GÄVLEBORGS LÄN</t>
        </is>
      </c>
      <c r="G252" t="inlineStr">
        <is>
          <t>NORDANSTIG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46250</v>
      </c>
      <c r="F253" t="inlineStr">
        <is>
          <t>GÄVLEBORGS LÄN</t>
        </is>
      </c>
      <c r="G253" t="inlineStr">
        <is>
          <t>NORDANSTIG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46250</v>
      </c>
      <c r="F254" t="inlineStr">
        <is>
          <t>GÄVLEBORGS LÄN</t>
        </is>
      </c>
      <c r="G254" t="inlineStr">
        <is>
          <t>NORDANSTIG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46250</v>
      </c>
      <c r="F255" t="inlineStr">
        <is>
          <t>GÄVLEBORGS LÄN</t>
        </is>
      </c>
      <c r="G255" t="inlineStr">
        <is>
          <t>NORDANSTIG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46250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46250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46250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46250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45042</v>
      </c>
      <c r="E260" s="1" t="n">
        <v>46250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46250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45902-2025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45923</v>
      </c>
      <c r="E262" s="1" t="n">
        <v>46250</v>
      </c>
      <c r="F262" t="inlineStr">
        <is>
          <t>GÄVLEBORGS LÄN</t>
        </is>
      </c>
      <c r="G262" t="inlineStr">
        <is>
          <t>NORDANSTIG</t>
        </is>
      </c>
      <c r="H262" t="inlineStr">
        <is>
          <t>SCA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46250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36464-2024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45537</v>
      </c>
      <c r="E264" s="1" t="n">
        <v>46250</v>
      </c>
      <c r="F264" t="inlineStr">
        <is>
          <t>GÄVLEBORGS LÄN</t>
        </is>
      </c>
      <c r="G264" t="inlineStr">
        <is>
          <t>NORDANSTIG</t>
        </is>
      </c>
      <c r="H264" t="inlineStr">
        <is>
          <t>SCA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46250</v>
      </c>
      <c r="F265" t="inlineStr">
        <is>
          <t>GÄVLEBORGS LÄN</t>
        </is>
      </c>
      <c r="G265" t="inlineStr">
        <is>
          <t>NORDANSTIG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46250</v>
      </c>
      <c r="F266" t="inlineStr">
        <is>
          <t>GÄVLEBORGS LÄN</t>
        </is>
      </c>
      <c r="G266" t="inlineStr">
        <is>
          <t>NORDANSTIG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46250</v>
      </c>
      <c r="F267" t="inlineStr">
        <is>
          <t>GÄVLEBORGS LÄN</t>
        </is>
      </c>
      <c r="G267" t="inlineStr">
        <is>
          <t>NORDANSTIG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45566</v>
      </c>
      <c r="E268" s="1" t="n">
        <v>46250</v>
      </c>
      <c r="F268" t="inlineStr">
        <is>
          <t>GÄVLEBORGS LÄN</t>
        </is>
      </c>
      <c r="G268" t="inlineStr">
        <is>
          <t>NORDANSTIG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44599</v>
      </c>
      <c r="E269" s="1" t="n">
        <v>46250</v>
      </c>
      <c r="F269" t="inlineStr">
        <is>
          <t>GÄVLEBORGS LÄN</t>
        </is>
      </c>
      <c r="G269" t="inlineStr">
        <is>
          <t>NORDANSTIG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46250</v>
      </c>
      <c r="F270" t="inlineStr">
        <is>
          <t>GÄVLEBORGS LÄN</t>
        </is>
      </c>
      <c r="G270" t="inlineStr">
        <is>
          <t>NORDANSTIG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46250</v>
      </c>
      <c r="F271" t="inlineStr">
        <is>
          <t>GÄVLEBORGS LÄN</t>
        </is>
      </c>
      <c r="G271" t="inlineStr">
        <is>
          <t>NORDANSTIG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46250</v>
      </c>
      <c r="F272" t="inlineStr">
        <is>
          <t>GÄVLEBORGS LÄN</t>
        </is>
      </c>
      <c r="G272" t="inlineStr">
        <is>
          <t>NORDANSTIG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46250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46250</v>
      </c>
      <c r="F274" t="inlineStr">
        <is>
          <t>GÄVLEBORGS LÄN</t>
        </is>
      </c>
      <c r="G274" t="inlineStr">
        <is>
          <t>NORDANSTIG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12334-2026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46250</v>
      </c>
      <c r="F275" t="inlineStr">
        <is>
          <t>GÄVLEBORGS LÄN</t>
        </is>
      </c>
      <c r="G275" t="inlineStr">
        <is>
          <t>NORDANSTIG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46250</v>
      </c>
      <c r="F276" t="inlineStr">
        <is>
          <t>GÄVLEBORGS LÄN</t>
        </is>
      </c>
      <c r="G276" t="inlineStr">
        <is>
          <t>NORDANSTIG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46250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46250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46250</v>
      </c>
      <c r="F279" t="inlineStr">
        <is>
          <t>GÄVLEBORGS LÄN</t>
        </is>
      </c>
      <c r="G279" t="inlineStr">
        <is>
          <t>NORDANSTIG</t>
        </is>
      </c>
      <c r="I279" t="n">
        <v>14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46250</v>
      </c>
      <c r="F280" t="inlineStr">
        <is>
          <t>GÄVLEBORGS LÄN</t>
        </is>
      </c>
      <c r="G280" t="inlineStr">
        <is>
          <t>NORDANSTIG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46250</v>
      </c>
      <c r="F281" t="inlineStr">
        <is>
          <t>GÄVLEBORGS LÄN</t>
        </is>
      </c>
      <c r="G281" t="inlineStr">
        <is>
          <t>NORDANSTIG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46086</v>
      </c>
      <c r="E282" s="1" t="n">
        <v>46250</v>
      </c>
      <c r="F282" t="inlineStr">
        <is>
          <t>GÄVLEBORGS LÄN</t>
        </is>
      </c>
      <c r="G282" t="inlineStr">
        <is>
          <t>NORDANSTIG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46250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46250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46250</v>
      </c>
      <c r="F285" t="inlineStr">
        <is>
          <t>GÄVLEBORGS LÄN</t>
        </is>
      </c>
      <c r="G285" t="inlineStr">
        <is>
          <t>NORDANSTIG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46250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46250</v>
      </c>
      <c r="F287" t="inlineStr">
        <is>
          <t>GÄVLEBORGS LÄN</t>
        </is>
      </c>
      <c r="G287" t="inlineStr">
        <is>
          <t>NORDANSTIG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44811</v>
      </c>
      <c r="E288" s="1" t="n">
        <v>46250</v>
      </c>
      <c r="F288" t="inlineStr">
        <is>
          <t>GÄVLEBORGS LÄN</t>
        </is>
      </c>
      <c r="G288" t="inlineStr">
        <is>
          <t>NORDANSTIG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44811</v>
      </c>
      <c r="E289" s="1" t="n">
        <v>46250</v>
      </c>
      <c r="F289" t="inlineStr">
        <is>
          <t>GÄVLEBORGS LÄN</t>
        </is>
      </c>
      <c r="G289" t="inlineStr">
        <is>
          <t>NORDANSTIG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46250</v>
      </c>
      <c r="F290" t="inlineStr">
        <is>
          <t>GÄVLEBORGS LÄN</t>
        </is>
      </c>
      <c r="G290" t="inlineStr">
        <is>
          <t>NORDANSTIG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46250</v>
      </c>
      <c r="F291" t="inlineStr">
        <is>
          <t>GÄVLEBORGS LÄN</t>
        </is>
      </c>
      <c r="G291" t="inlineStr">
        <is>
          <t>NORDANSTIG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46250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46250</v>
      </c>
      <c r="F293" t="inlineStr">
        <is>
          <t>GÄVLEBORGS LÄN</t>
        </is>
      </c>
      <c r="G293" t="inlineStr">
        <is>
          <t>NORDANSTIG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46250</v>
      </c>
      <c r="F294" t="inlineStr">
        <is>
          <t>GÄVLEBORGS LÄN</t>
        </is>
      </c>
      <c r="G294" t="inlineStr">
        <is>
          <t>NORDANSTIG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46250</v>
      </c>
      <c r="F295" t="inlineStr">
        <is>
          <t>GÄVLEBORGS LÄN</t>
        </is>
      </c>
      <c r="G295" t="inlineStr">
        <is>
          <t>NORDANSTIG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46250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46250</v>
      </c>
      <c r="F297" t="inlineStr">
        <is>
          <t>GÄVLEBORGS LÄN</t>
        </is>
      </c>
      <c r="G297" t="inlineStr">
        <is>
          <t>NORDANSTIG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46250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46250</v>
      </c>
      <c r="F299" t="inlineStr">
        <is>
          <t>GÄVLEBORGS LÄN</t>
        </is>
      </c>
      <c r="G299" t="inlineStr">
        <is>
          <t>NORDANSTIG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46250</v>
      </c>
      <c r="F300" t="inlineStr">
        <is>
          <t>GÄVLEBORGS LÄN</t>
        </is>
      </c>
      <c r="G300" t="inlineStr">
        <is>
          <t>NORDANSTIG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46250</v>
      </c>
      <c r="F301" t="inlineStr">
        <is>
          <t>GÄVLEBORGS LÄN</t>
        </is>
      </c>
      <c r="G301" t="inlineStr">
        <is>
          <t>NORDANSTIG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46250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44886</v>
      </c>
      <c r="E303" s="1" t="n">
        <v>46250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46250</v>
      </c>
      <c r="F304" t="inlineStr">
        <is>
          <t>GÄVLEBORGS LÄN</t>
        </is>
      </c>
      <c r="G304" t="inlineStr">
        <is>
          <t>NORDANSTIG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46250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6820-2023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44967</v>
      </c>
      <c r="E306" s="1" t="n">
        <v>46250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46250</v>
      </c>
      <c r="F307" t="inlineStr">
        <is>
          <t>GÄVLEBORGS LÄN</t>
        </is>
      </c>
      <c r="G307" t="inlineStr">
        <is>
          <t>NORDANSTIG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46250</v>
      </c>
      <c r="F308" t="inlineStr">
        <is>
          <t>GÄVLEBORGS LÄN</t>
        </is>
      </c>
      <c r="G308" t="inlineStr">
        <is>
          <t>NORDANSTIG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46250</v>
      </c>
      <c r="F309" t="inlineStr">
        <is>
          <t>GÄVLEBORGS LÄN</t>
        </is>
      </c>
      <c r="G309" t="inlineStr">
        <is>
          <t>NORDANSTIG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46250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46250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46250</v>
      </c>
      <c r="F312" t="inlineStr">
        <is>
          <t>GÄVLEBORGS LÄN</t>
        </is>
      </c>
      <c r="G312" t="inlineStr">
        <is>
          <t>NORDANSTIG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46250</v>
      </c>
      <c r="F313" t="inlineStr">
        <is>
          <t>GÄVLEBORGS LÄN</t>
        </is>
      </c>
      <c r="G313" t="inlineStr">
        <is>
          <t>NORDANSTIG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46250</v>
      </c>
      <c r="F314" t="inlineStr">
        <is>
          <t>GÄVLEBORGS LÄN</t>
        </is>
      </c>
      <c r="G314" t="inlineStr">
        <is>
          <t>NORDANSTIG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46250</v>
      </c>
      <c r="F315" t="inlineStr">
        <is>
          <t>GÄVLEBORGS LÄN</t>
        </is>
      </c>
      <c r="G315" t="inlineStr">
        <is>
          <t>NORDANSTIG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46250</v>
      </c>
      <c r="F316" t="inlineStr">
        <is>
          <t>GÄVLEBORGS LÄN</t>
        </is>
      </c>
      <c r="G316" t="inlineStr">
        <is>
          <t>NORDANSTIG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46250</v>
      </c>
      <c r="F317" t="inlineStr">
        <is>
          <t>GÄVLEBORGS LÄN</t>
        </is>
      </c>
      <c r="G317" t="inlineStr">
        <is>
          <t>NORDANSTIG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46250</v>
      </c>
      <c r="F318" t="inlineStr">
        <is>
          <t>GÄVLEBORGS LÄN</t>
        </is>
      </c>
      <c r="G318" t="inlineStr">
        <is>
          <t>NORDANSTIG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46250</v>
      </c>
      <c r="F319" t="inlineStr">
        <is>
          <t>GÄVLEBORGS LÄN</t>
        </is>
      </c>
      <c r="G319" t="inlineStr">
        <is>
          <t>NORDANSTIG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60839-2023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46250</v>
      </c>
      <c r="F320" t="inlineStr">
        <is>
          <t>GÄVLEBORGS LÄN</t>
        </is>
      </c>
      <c r="G320" t="inlineStr">
        <is>
          <t>NORDANSTIG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46250</v>
      </c>
      <c r="F321" t="inlineStr">
        <is>
          <t>GÄVLEBORGS LÄN</t>
        </is>
      </c>
      <c r="G321" t="inlineStr">
        <is>
          <t>NORDANSTIG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46250</v>
      </c>
      <c r="F322" t="inlineStr">
        <is>
          <t>GÄVLEBORGS LÄN</t>
        </is>
      </c>
      <c r="G322" t="inlineStr">
        <is>
          <t>NORDANSTIG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44783</v>
      </c>
      <c r="E323" s="1" t="n">
        <v>46250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46250</v>
      </c>
      <c r="F324" t="inlineStr">
        <is>
          <t>GÄVLEBORGS LÄN</t>
        </is>
      </c>
      <c r="G324" t="inlineStr">
        <is>
          <t>NORDANSTIG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46250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46250</v>
      </c>
      <c r="F326" t="inlineStr">
        <is>
          <t>GÄVLEBORGS LÄN</t>
        </is>
      </c>
      <c r="G326" t="inlineStr">
        <is>
          <t>NORDANSTIG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46250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45345</v>
      </c>
      <c r="E328" s="1" t="n">
        <v>46250</v>
      </c>
      <c r="F328" t="inlineStr">
        <is>
          <t>GÄVLEBORGS LÄN</t>
        </is>
      </c>
      <c r="G328" t="inlineStr">
        <is>
          <t>NORDANSTIG</t>
        </is>
      </c>
      <c r="I328" t="n">
        <v>10.8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46250</v>
      </c>
      <c r="F329" t="inlineStr">
        <is>
          <t>GÄVLEBORGS LÄN</t>
        </is>
      </c>
      <c r="G329" t="inlineStr">
        <is>
          <t>NORDANSTIG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46250</v>
      </c>
      <c r="F330" t="inlineStr">
        <is>
          <t>GÄVLEBORGS LÄN</t>
        </is>
      </c>
      <c r="G330" t="inlineStr">
        <is>
          <t>NORDANSTIG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46250</v>
      </c>
      <c r="F331" t="inlineStr">
        <is>
          <t>GÄVLEBORGS LÄN</t>
        </is>
      </c>
      <c r="G331" t="inlineStr">
        <is>
          <t>NORDANSTIG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46250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46250</v>
      </c>
      <c r="F333" t="inlineStr">
        <is>
          <t>GÄVLEBORGS LÄN</t>
        </is>
      </c>
      <c r="G333" t="inlineStr">
        <is>
          <t>NORDANSTIG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45748</v>
      </c>
      <c r="E334" s="1" t="n">
        <v>46250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45579</v>
      </c>
      <c r="E335" s="1" t="n">
        <v>46250</v>
      </c>
      <c r="F335" t="inlineStr">
        <is>
          <t>GÄVLEBORGS LÄN</t>
        </is>
      </c>
      <c r="G335" t="inlineStr">
        <is>
          <t>NORDANSTIG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46250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46250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9.199999999999999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46250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46250</v>
      </c>
      <c r="F339" t="inlineStr">
        <is>
          <t>GÄVLEBORGS LÄN</t>
        </is>
      </c>
      <c r="G339" t="inlineStr">
        <is>
          <t>NORDANSTIG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46250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46250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46250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46250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46250</v>
      </c>
      <c r="F344" t="inlineStr">
        <is>
          <t>GÄVLEBORGS LÄN</t>
        </is>
      </c>
      <c r="G344" t="inlineStr">
        <is>
          <t>NORDANSTIG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46250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46250</v>
      </c>
      <c r="F346" t="inlineStr">
        <is>
          <t>GÄVLEBORGS LÄN</t>
        </is>
      </c>
      <c r="G346" t="inlineStr">
        <is>
          <t>NORDANSTIG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46250</v>
      </c>
      <c r="F347" t="inlineStr">
        <is>
          <t>GÄVLEBORGS LÄN</t>
        </is>
      </c>
      <c r="G347" t="inlineStr">
        <is>
          <t>NORDANSTIG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46250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46250</v>
      </c>
      <c r="F349" t="inlineStr">
        <is>
          <t>GÄVLEBORGS LÄN</t>
        </is>
      </c>
      <c r="G349" t="inlineStr">
        <is>
          <t>NORDANSTIG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45947</v>
      </c>
      <c r="E350" s="1" t="n">
        <v>46250</v>
      </c>
      <c r="F350" t="inlineStr">
        <is>
          <t>GÄVLEBORGS LÄN</t>
        </is>
      </c>
      <c r="G350" t="inlineStr">
        <is>
          <t>NORDANSTIG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46250</v>
      </c>
      <c r="F351" t="inlineStr">
        <is>
          <t>GÄVLEBORGS LÄN</t>
        </is>
      </c>
      <c r="G351" t="inlineStr">
        <is>
          <t>NORDANSTIG</t>
        </is>
      </c>
      <c r="I351" t="n">
        <v>30.9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45950</v>
      </c>
      <c r="E352" s="1" t="n">
        <v>46250</v>
      </c>
      <c r="F352" t="inlineStr">
        <is>
          <t>GÄVLEBORGS LÄN</t>
        </is>
      </c>
      <c r="G352" t="inlineStr">
        <is>
          <t>NORDANSTIG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46250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46250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46250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46250</v>
      </c>
      <c r="F356" t="inlineStr">
        <is>
          <t>GÄVLEBORGS LÄN</t>
        </is>
      </c>
      <c r="G356" t="inlineStr">
        <is>
          <t>NORDANSTIG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46250</v>
      </c>
      <c r="F357" t="inlineStr">
        <is>
          <t>GÄVLEBORGS LÄN</t>
        </is>
      </c>
      <c r="G357" t="inlineStr">
        <is>
          <t>NORDANSTIG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44659</v>
      </c>
      <c r="E358" s="1" t="n">
        <v>46250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46250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46250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46250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46250</v>
      </c>
      <c r="F362" t="inlineStr">
        <is>
          <t>GÄVLEBORGS LÄN</t>
        </is>
      </c>
      <c r="G362" t="inlineStr">
        <is>
          <t>NORDANSTIG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44692</v>
      </c>
      <c r="E363" s="1" t="n">
        <v>46250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46250</v>
      </c>
      <c r="F364" t="inlineStr">
        <is>
          <t>GÄVLEBORGS LÄN</t>
        </is>
      </c>
      <c r="G364" t="inlineStr">
        <is>
          <t>NORDANSTIG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15010-2026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46250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44967</v>
      </c>
      <c r="E366" s="1" t="n">
        <v>46250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44967</v>
      </c>
      <c r="E367" s="1" t="n">
        <v>46250</v>
      </c>
      <c r="F367" t="inlineStr">
        <is>
          <t>GÄVLEBORGS LÄN</t>
        </is>
      </c>
      <c r="G367" t="inlineStr">
        <is>
          <t>NORDANSTIG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46250</v>
      </c>
      <c r="F368" t="inlineStr">
        <is>
          <t>GÄVLEBORGS LÄN</t>
        </is>
      </c>
      <c r="G368" t="inlineStr">
        <is>
          <t>NORDANSTIG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46250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46250</v>
      </c>
      <c r="F370" t="inlineStr">
        <is>
          <t>GÄVLEBORGS LÄN</t>
        </is>
      </c>
      <c r="G370" t="inlineStr">
        <is>
          <t>NORDANSTIG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46250</v>
      </c>
      <c r="F371" t="inlineStr">
        <is>
          <t>GÄVLEBORGS LÄN</t>
        </is>
      </c>
      <c r="G371" t="inlineStr">
        <is>
          <t>NORDANSTIG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46250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46250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11434-2024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46250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45425</v>
      </c>
      <c r="E375" s="1" t="n">
        <v>46250</v>
      </c>
      <c r="F375" t="inlineStr">
        <is>
          <t>GÄVLEBORGS LÄN</t>
        </is>
      </c>
      <c r="G375" t="inlineStr">
        <is>
          <t>NORDANSTIG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46250</v>
      </c>
      <c r="F376" t="inlineStr">
        <is>
          <t>GÄVLEBORGS LÄN</t>
        </is>
      </c>
      <c r="G376" t="inlineStr">
        <is>
          <t>NORDANSTIG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45641</v>
      </c>
      <c r="E377" s="1" t="n">
        <v>46250</v>
      </c>
      <c r="F377" t="inlineStr">
        <is>
          <t>GÄVLEBORGS LÄN</t>
        </is>
      </c>
      <c r="G377" t="inlineStr">
        <is>
          <t>NORDANSTIG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4414-2022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44589</v>
      </c>
      <c r="E378" s="1" t="n">
        <v>46250</v>
      </c>
      <c r="F378" t="inlineStr">
        <is>
          <t>GÄVLEBORGS LÄN</t>
        </is>
      </c>
      <c r="G378" t="inlineStr">
        <is>
          <t>NORDANSTIG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46250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46250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46250</v>
      </c>
      <c r="F381" t="inlineStr">
        <is>
          <t>GÄVLEBORGS LÄN</t>
        </is>
      </c>
      <c r="G381" t="inlineStr">
        <is>
          <t>NORDANSTIG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45757</v>
      </c>
      <c r="E382" s="1" t="n">
        <v>46250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46250</v>
      </c>
      <c r="F383" t="inlineStr">
        <is>
          <t>GÄVLEBORGS LÄN</t>
        </is>
      </c>
      <c r="G383" t="inlineStr">
        <is>
          <t>NORDANSTIG</t>
        </is>
      </c>
      <c r="H383" t="inlineStr">
        <is>
          <t>Kommuner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46250</v>
      </c>
      <c r="F384" t="inlineStr">
        <is>
          <t>GÄVLEBORGS LÄN</t>
        </is>
      </c>
      <c r="G384" t="inlineStr">
        <is>
          <t>NORDANSTIG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46250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46250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46250</v>
      </c>
      <c r="F387" t="inlineStr">
        <is>
          <t>GÄVLEBORGS LÄN</t>
        </is>
      </c>
      <c r="G387" t="inlineStr">
        <is>
          <t>NORDANSTIG</t>
        </is>
      </c>
      <c r="H387" t="inlineStr">
        <is>
          <t>Kommuner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46250</v>
      </c>
      <c r="F388" t="inlineStr">
        <is>
          <t>GÄVLEBORGS LÄN</t>
        </is>
      </c>
      <c r="G388" t="inlineStr">
        <is>
          <t>NORDANSTIG</t>
        </is>
      </c>
      <c r="H388" t="inlineStr">
        <is>
          <t>Kommuner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46250</v>
      </c>
      <c r="F389" t="inlineStr">
        <is>
          <t>GÄVLEBORGS LÄN</t>
        </is>
      </c>
      <c r="G389" t="inlineStr">
        <is>
          <t>NORDANSTIG</t>
        </is>
      </c>
      <c r="H389" t="inlineStr">
        <is>
          <t>Kommuner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46250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46250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46250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42.1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46250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46250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46250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46250</v>
      </c>
      <c r="F396" t="inlineStr">
        <is>
          <t>GÄVLEBORGS LÄN</t>
        </is>
      </c>
      <c r="G396" t="inlineStr">
        <is>
          <t>NORDANSTIG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46250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46250</v>
      </c>
      <c r="F398" t="inlineStr">
        <is>
          <t>GÄVLEBORGS LÄN</t>
        </is>
      </c>
      <c r="G398" t="inlineStr">
        <is>
          <t>NORDANSTIG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46250</v>
      </c>
      <c r="F399" t="inlineStr">
        <is>
          <t>GÄVLEBORGS LÄN</t>
        </is>
      </c>
      <c r="G399" t="inlineStr">
        <is>
          <t>NORDANSTIG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46250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46250</v>
      </c>
      <c r="F401" t="inlineStr">
        <is>
          <t>GÄVLEBORGS LÄN</t>
        </is>
      </c>
      <c r="G401" t="inlineStr">
        <is>
          <t>NORDANSTIG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46250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51821-2024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45607</v>
      </c>
      <c r="E403" s="1" t="n">
        <v>46250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46250</v>
      </c>
      <c r="F404" t="inlineStr">
        <is>
          <t>GÄVLEBORGS LÄN</t>
        </is>
      </c>
      <c r="G404" t="inlineStr">
        <is>
          <t>NORDANSTIG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46250</v>
      </c>
      <c r="F405" t="inlineStr">
        <is>
          <t>GÄVLEBORGS LÄN</t>
        </is>
      </c>
      <c r="G405" t="inlineStr">
        <is>
          <t>NORDANSTIG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46250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46250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46250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46250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46250</v>
      </c>
      <c r="F410" t="inlineStr">
        <is>
          <t>GÄVLEBORGS LÄN</t>
        </is>
      </c>
      <c r="G410" t="inlineStr">
        <is>
          <t>NORDANSTIG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45070</v>
      </c>
      <c r="E411" s="1" t="n">
        <v>46250</v>
      </c>
      <c r="F411" t="inlineStr">
        <is>
          <t>GÄVLEBORGS LÄN</t>
        </is>
      </c>
      <c r="G411" t="inlineStr">
        <is>
          <t>NORDANSTIG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46250</v>
      </c>
      <c r="F412" t="inlineStr">
        <is>
          <t>GÄVLEBORGS LÄN</t>
        </is>
      </c>
      <c r="G412" t="inlineStr">
        <is>
          <t>NORDANSTIG</t>
        </is>
      </c>
      <c r="H412" t="inlineStr">
        <is>
          <t>SCA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46250</v>
      </c>
      <c r="F413" t="inlineStr">
        <is>
          <t>GÄVLEBORGS LÄN</t>
        </is>
      </c>
      <c r="G413" t="inlineStr">
        <is>
          <t>NORDANSTIG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46250</v>
      </c>
      <c r="F414" t="inlineStr">
        <is>
          <t>GÄVLEBORGS LÄN</t>
        </is>
      </c>
      <c r="G414" t="inlineStr">
        <is>
          <t>NORDANSTIG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45489</v>
      </c>
      <c r="E415" s="1" t="n">
        <v>46250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46118</v>
      </c>
      <c r="E416" s="1" t="n">
        <v>46250</v>
      </c>
      <c r="F416" t="inlineStr">
        <is>
          <t>GÄVLEBORGS LÄN</t>
        </is>
      </c>
      <c r="G416" t="inlineStr">
        <is>
          <t>NORDANSTIG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46250</v>
      </c>
      <c r="F417" t="inlineStr">
        <is>
          <t>GÄVLEBORGS LÄN</t>
        </is>
      </c>
      <c r="G417" t="inlineStr">
        <is>
          <t>NORDANSTIG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46250</v>
      </c>
      <c r="F418" t="inlineStr">
        <is>
          <t>GÄVLEBORGS LÄN</t>
        </is>
      </c>
      <c r="G418" t="inlineStr">
        <is>
          <t>NORDANSTIG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57559-2025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45980</v>
      </c>
      <c r="E419" s="1" t="n">
        <v>46250</v>
      </c>
      <c r="F419" t="inlineStr">
        <is>
          <t>GÄVLEBORGS LÄN</t>
        </is>
      </c>
      <c r="G419" t="inlineStr">
        <is>
          <t>NORDANSTIG</t>
        </is>
      </c>
      <c r="H419" t="inlineStr">
        <is>
          <t>SCA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57558-2025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45980</v>
      </c>
      <c r="E420" s="1" t="n">
        <v>46250</v>
      </c>
      <c r="F420" t="inlineStr">
        <is>
          <t>GÄVLEBORGS LÄN</t>
        </is>
      </c>
      <c r="G420" t="inlineStr">
        <is>
          <t>NORDANSTIG</t>
        </is>
      </c>
      <c r="H420" t="inlineStr">
        <is>
          <t>SCA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46250</v>
      </c>
      <c r="F421" t="inlineStr">
        <is>
          <t>GÄVLEBORGS LÄN</t>
        </is>
      </c>
      <c r="G421" t="inlineStr">
        <is>
          <t>NORDANSTIG</t>
        </is>
      </c>
      <c r="H421" t="inlineStr">
        <is>
          <t>SCA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46250</v>
      </c>
      <c r="F422" t="inlineStr">
        <is>
          <t>GÄVLEBORGS LÄN</t>
        </is>
      </c>
      <c r="G422" t="inlineStr">
        <is>
          <t>NORDANSTIG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46250</v>
      </c>
      <c r="F423" t="inlineStr">
        <is>
          <t>GÄVLEBORGS LÄN</t>
        </is>
      </c>
      <c r="G423" t="inlineStr">
        <is>
          <t>NORDANSTIG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46250</v>
      </c>
      <c r="F424" t="inlineStr">
        <is>
          <t>GÄVLEBORGS LÄN</t>
        </is>
      </c>
      <c r="G424" t="inlineStr">
        <is>
          <t>NORDANSTIG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46250</v>
      </c>
      <c r="F425" t="inlineStr">
        <is>
          <t>GÄVLEBORGS LÄN</t>
        </is>
      </c>
      <c r="G425" t="inlineStr">
        <is>
          <t>NORDANSTIG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46250</v>
      </c>
      <c r="F426" t="inlineStr">
        <is>
          <t>GÄVLEBORGS LÄN</t>
        </is>
      </c>
      <c r="G426" t="inlineStr">
        <is>
          <t>NORDANSTIG</t>
        </is>
      </c>
      <c r="I426" t="n">
        <v>16.3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46250</v>
      </c>
      <c r="F427" t="inlineStr">
        <is>
          <t>GÄVLEBORGS LÄN</t>
        </is>
      </c>
      <c r="G427" t="inlineStr">
        <is>
          <t>NORDANSTIG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46250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46250</v>
      </c>
      <c r="F429" t="inlineStr">
        <is>
          <t>GÄVLEBORGS LÄN</t>
        </is>
      </c>
      <c r="G429" t="inlineStr">
        <is>
          <t>NORDANSTIG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40798-2022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44824</v>
      </c>
      <c r="E430" s="1" t="n">
        <v>46250</v>
      </c>
      <c r="F430" t="inlineStr">
        <is>
          <t>GÄVLEBORGS LÄN</t>
        </is>
      </c>
      <c r="G430" t="inlineStr">
        <is>
          <t>NORDANSTIG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46250</v>
      </c>
      <c r="F431" t="inlineStr">
        <is>
          <t>GÄVLEBORGS LÄN</t>
        </is>
      </c>
      <c r="G431" t="inlineStr">
        <is>
          <t>NORDANSTIG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46250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37005-2022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44806</v>
      </c>
      <c r="E433" s="1" t="n">
        <v>46250</v>
      </c>
      <c r="F433" t="inlineStr">
        <is>
          <t>GÄVLEBORGS LÄN</t>
        </is>
      </c>
      <c r="G433" t="inlineStr">
        <is>
          <t>NORDANSTIG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46250</v>
      </c>
      <c r="F434" t="inlineStr">
        <is>
          <t>GÄVLEBORGS LÄN</t>
        </is>
      </c>
      <c r="G434" t="inlineStr">
        <is>
          <t>NORDANSTIG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14415-2022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44652</v>
      </c>
      <c r="E435" s="1" t="n">
        <v>46250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46250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17498-2026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46120</v>
      </c>
      <c r="E437" s="1" t="n">
        <v>46250</v>
      </c>
      <c r="F437" t="inlineStr">
        <is>
          <t>GÄVLEBORGS LÄN</t>
        </is>
      </c>
      <c r="G437" t="inlineStr">
        <is>
          <t>NORDANSTIG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46250</v>
      </c>
      <c r="F438" t="inlineStr">
        <is>
          <t>GÄVLEBORGS LÄN</t>
        </is>
      </c>
      <c r="G438" t="inlineStr">
        <is>
          <t>NORDANSTIG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46250</v>
      </c>
      <c r="F439" t="inlineStr">
        <is>
          <t>GÄVLEBORGS LÄN</t>
        </is>
      </c>
      <c r="G439" t="inlineStr">
        <is>
          <t>NORDANSTIG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45336</v>
      </c>
      <c r="E440" s="1" t="n">
        <v>46250</v>
      </c>
      <c r="F440" t="inlineStr">
        <is>
          <t>GÄVLEBORGS LÄN</t>
        </is>
      </c>
      <c r="G440" t="inlineStr">
        <is>
          <t>NORDANSTIG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46250</v>
      </c>
      <c r="F441" t="inlineStr">
        <is>
          <t>GÄVLEBORGS LÄN</t>
        </is>
      </c>
      <c r="G441" t="inlineStr">
        <is>
          <t>NORDANSTIG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46250</v>
      </c>
      <c r="F442" t="inlineStr">
        <is>
          <t>GÄVLEBORGS LÄN</t>
        </is>
      </c>
      <c r="G442" t="inlineStr">
        <is>
          <t>NORDANSTIG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46250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59008-2025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45987</v>
      </c>
      <c r="E444" s="1" t="n">
        <v>46250</v>
      </c>
      <c r="F444" t="inlineStr">
        <is>
          <t>GÄVLEBORGS LÄN</t>
        </is>
      </c>
      <c r="G444" t="inlineStr">
        <is>
          <t>NORDANSTIG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46250</v>
      </c>
      <c r="F445" t="inlineStr">
        <is>
          <t>GÄVLEBORGS LÄN</t>
        </is>
      </c>
      <c r="G445" t="inlineStr">
        <is>
          <t>NORDANSTIG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46250</v>
      </c>
      <c r="F446" t="inlineStr">
        <is>
          <t>GÄVLEBORGS LÄN</t>
        </is>
      </c>
      <c r="G446" t="inlineStr">
        <is>
          <t>NORDANSTIG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46250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46125</v>
      </c>
      <c r="E448" s="1" t="n">
        <v>46250</v>
      </c>
      <c r="F448" t="inlineStr">
        <is>
          <t>GÄVLEBORGS LÄN</t>
        </is>
      </c>
      <c r="G448" t="inlineStr">
        <is>
          <t>NORDANSTIG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46250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45568</v>
      </c>
      <c r="E450" s="1" t="n">
        <v>46250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45579</v>
      </c>
      <c r="E451" s="1" t="n">
        <v>46250</v>
      </c>
      <c r="F451" t="inlineStr">
        <is>
          <t>GÄVLEBORGS LÄN</t>
        </is>
      </c>
      <c r="G451" t="inlineStr">
        <is>
          <t>NORDANSTIG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46250</v>
      </c>
      <c r="F452" t="inlineStr">
        <is>
          <t>GÄVLEBORGS LÄN</t>
        </is>
      </c>
      <c r="G452" t="inlineStr">
        <is>
          <t>NORDANSTIG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7796-2026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46250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46250</v>
      </c>
      <c r="F454" t="inlineStr">
        <is>
          <t>GÄVLEBORGS LÄN</t>
        </is>
      </c>
      <c r="G454" t="inlineStr">
        <is>
          <t>NORDANSTIG</t>
        </is>
      </c>
      <c r="I454" t="n">
        <v>17.6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45637</v>
      </c>
      <c r="E455" s="1" t="n">
        <v>46250</v>
      </c>
      <c r="F455" t="inlineStr">
        <is>
          <t>GÄVLEBORGS LÄN</t>
        </is>
      </c>
      <c r="G455" t="inlineStr">
        <is>
          <t>NORDANSTIG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46250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46250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46250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46250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46250</v>
      </c>
      <c r="F460" t="inlineStr">
        <is>
          <t>GÄVLEBORGS LÄN</t>
        </is>
      </c>
      <c r="G460" t="inlineStr">
        <is>
          <t>NORDANSTIG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44952</v>
      </c>
      <c r="E461" s="1" t="n">
        <v>46250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44952</v>
      </c>
      <c r="E462" s="1" t="n">
        <v>46250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46250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46250</v>
      </c>
      <c r="F464" t="inlineStr">
        <is>
          <t>GÄVLEBORGS LÄN</t>
        </is>
      </c>
      <c r="G464" t="inlineStr">
        <is>
          <t>NORDANSTIG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48607-2023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45208</v>
      </c>
      <c r="E465" s="1" t="n">
        <v>46250</v>
      </c>
      <c r="F465" t="inlineStr">
        <is>
          <t>GÄVLEBORGS LÄN</t>
        </is>
      </c>
      <c r="G465" t="inlineStr">
        <is>
          <t>NORDANSTIG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44704</v>
      </c>
      <c r="E466" s="1" t="n">
        <v>46250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46250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46250</v>
      </c>
      <c r="F468" t="inlineStr">
        <is>
          <t>GÄVLEBORGS LÄN</t>
        </is>
      </c>
      <c r="G468" t="inlineStr">
        <is>
          <t>NORDANSTIG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45994</v>
      </c>
      <c r="E469" s="1" t="n">
        <v>46250</v>
      </c>
      <c r="F469" t="inlineStr">
        <is>
          <t>GÄVLEBORGS LÄN</t>
        </is>
      </c>
      <c r="G469" t="inlineStr">
        <is>
          <t>NORDANSTIG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46250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43.6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46250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46250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44704</v>
      </c>
      <c r="E473" s="1" t="n">
        <v>46250</v>
      </c>
      <c r="F473" t="inlineStr">
        <is>
          <t>GÄVLEBORGS LÄN</t>
        </is>
      </c>
      <c r="G473" t="inlineStr">
        <is>
          <t>NORDANSTIG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45020</v>
      </c>
      <c r="E474" s="1" t="n">
        <v>46250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46250</v>
      </c>
      <c r="F475" t="inlineStr">
        <is>
          <t>GÄVLEBORGS LÄN</t>
        </is>
      </c>
      <c r="G475" t="inlineStr">
        <is>
          <t>NORDANSTIG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45539</v>
      </c>
      <c r="E476" s="1" t="n">
        <v>46250</v>
      </c>
      <c r="F476" t="inlineStr">
        <is>
          <t>GÄVLEBORGS LÄN</t>
        </is>
      </c>
      <c r="G476" t="inlineStr">
        <is>
          <t>NORDANSTIG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45642</v>
      </c>
      <c r="E477" s="1" t="n">
        <v>46250</v>
      </c>
      <c r="F477" t="inlineStr">
        <is>
          <t>GÄVLEBORGS LÄN</t>
        </is>
      </c>
      <c r="G477" t="inlineStr">
        <is>
          <t>NORDANSTIG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46250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46250</v>
      </c>
      <c r="F479" t="inlineStr">
        <is>
          <t>GÄVLEBORGS LÄN</t>
        </is>
      </c>
      <c r="G479" t="inlineStr">
        <is>
          <t>NORDANSTIG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61072-2025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46250</v>
      </c>
      <c r="F480" t="inlineStr">
        <is>
          <t>GÄVLEBORGS LÄN</t>
        </is>
      </c>
      <c r="G480" t="inlineStr">
        <is>
          <t>NORDANSTIG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46250</v>
      </c>
      <c r="F481" t="inlineStr">
        <is>
          <t>GÄVLEBORGS LÄN</t>
        </is>
      </c>
      <c r="G481" t="inlineStr">
        <is>
          <t>NORDANSTIG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46250</v>
      </c>
      <c r="F482" t="inlineStr">
        <is>
          <t>GÄVLEBORGS LÄN</t>
        </is>
      </c>
      <c r="G482" t="inlineStr">
        <is>
          <t>NORDANSTIG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46250</v>
      </c>
      <c r="F483" t="inlineStr">
        <is>
          <t>GÄVLEBORGS LÄN</t>
        </is>
      </c>
      <c r="G483" t="inlineStr">
        <is>
          <t>NORDANSTIG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44729</v>
      </c>
      <c r="E484" s="1" t="n">
        <v>46250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46250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45439</v>
      </c>
      <c r="E486" s="1" t="n">
        <v>46250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46250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39207-2023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46250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46250</v>
      </c>
      <c r="F489" t="inlineStr">
        <is>
          <t>GÄVLEBORGS LÄN</t>
        </is>
      </c>
      <c r="G489" t="inlineStr">
        <is>
          <t>NORDANSTIG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46250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46250</v>
      </c>
      <c r="F491" t="inlineStr">
        <is>
          <t>GÄVLEBORGS LÄN</t>
        </is>
      </c>
      <c r="G491" t="inlineStr">
        <is>
          <t>NORDANSTIG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46250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46250</v>
      </c>
      <c r="F493" t="inlineStr">
        <is>
          <t>GÄVLEBORGS LÄN</t>
        </is>
      </c>
      <c r="G493" t="inlineStr">
        <is>
          <t>NORDANSTIG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46250</v>
      </c>
      <c r="F494" t="inlineStr">
        <is>
          <t>GÄVLEBORGS LÄN</t>
        </is>
      </c>
      <c r="G494" t="inlineStr">
        <is>
          <t>NORDANSTIG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46250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46250</v>
      </c>
      <c r="F496" t="inlineStr">
        <is>
          <t>GÄVLEBORGS LÄN</t>
        </is>
      </c>
      <c r="G496" t="inlineStr">
        <is>
          <t>NORDANSTIG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46250</v>
      </c>
      <c r="F497" t="inlineStr">
        <is>
          <t>GÄVLEBORGS LÄN</t>
        </is>
      </c>
      <c r="G497" t="inlineStr">
        <is>
          <t>NORDANSTIG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46250</v>
      </c>
      <c r="F498" t="inlineStr">
        <is>
          <t>GÄVLEBORGS LÄN</t>
        </is>
      </c>
      <c r="G498" t="inlineStr">
        <is>
          <t>NORDANSTIG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46250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46250</v>
      </c>
      <c r="F500" t="inlineStr">
        <is>
          <t>GÄVLEBORGS LÄN</t>
        </is>
      </c>
      <c r="G500" t="inlineStr">
        <is>
          <t>NORDANSTIG</t>
        </is>
      </c>
      <c r="H500" t="inlineStr">
        <is>
          <t>SCA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46250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45142</v>
      </c>
      <c r="E502" s="1" t="n">
        <v>46250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46250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52006-2024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46250</v>
      </c>
      <c r="F504" t="inlineStr">
        <is>
          <t>GÄVLEBORGS LÄN</t>
        </is>
      </c>
      <c r="G504" t="inlineStr">
        <is>
          <t>NORDANSTIG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18988-2022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44690</v>
      </c>
      <c r="E505" s="1" t="n">
        <v>46250</v>
      </c>
      <c r="F505" t="inlineStr">
        <is>
          <t>GÄVLEBORGS LÄN</t>
        </is>
      </c>
      <c r="G505" t="inlineStr">
        <is>
          <t>NORDANSTIG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45382</v>
      </c>
      <c r="E506" s="1" t="n">
        <v>46250</v>
      </c>
      <c r="F506" t="inlineStr">
        <is>
          <t>GÄVLEBORGS LÄN</t>
        </is>
      </c>
      <c r="G506" t="inlineStr">
        <is>
          <t>NORDANSTIG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46250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54385-2024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46250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46250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46250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46250</v>
      </c>
      <c r="F511" t="inlineStr">
        <is>
          <t>GÄVLEBORGS LÄN</t>
        </is>
      </c>
      <c r="G511" t="inlineStr">
        <is>
          <t>NORDANSTIG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44999</v>
      </c>
      <c r="E512" s="1" t="n">
        <v>46250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44739</v>
      </c>
      <c r="E513" s="1" t="n">
        <v>46250</v>
      </c>
      <c r="F513" t="inlineStr">
        <is>
          <t>GÄVLEBORGS LÄN</t>
        </is>
      </c>
      <c r="G513" t="inlineStr">
        <is>
          <t>NORDANSTIG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45771</v>
      </c>
      <c r="E514" s="1" t="n">
        <v>46250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45636</v>
      </c>
      <c r="E515" s="1" t="n">
        <v>46250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46250</v>
      </c>
      <c r="F516" t="inlineStr">
        <is>
          <t>GÄVLEBORGS LÄN</t>
        </is>
      </c>
      <c r="G516" t="inlineStr">
        <is>
          <t>NORDANSTIG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44795</v>
      </c>
      <c r="E517" s="1" t="n">
        <v>46250</v>
      </c>
      <c r="F517" t="inlineStr">
        <is>
          <t>GÄVLEBORGS LÄN</t>
        </is>
      </c>
      <c r="G517" t="inlineStr">
        <is>
          <t>NORDANSTIG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46250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45554</v>
      </c>
      <c r="E519" s="1" t="n">
        <v>46250</v>
      </c>
      <c r="F519" t="inlineStr">
        <is>
          <t>GÄVLEBORGS LÄN</t>
        </is>
      </c>
      <c r="G519" t="inlineStr">
        <is>
          <t>NORDANSTIG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46135</v>
      </c>
      <c r="E520" s="1" t="n">
        <v>46250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46250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45034</v>
      </c>
      <c r="E522" s="1" t="n">
        <v>46250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8.6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46250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45770</v>
      </c>
      <c r="E524" s="1" t="n">
        <v>46250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46250</v>
      </c>
      <c r="F525" t="inlineStr">
        <is>
          <t>GÄVLEBORGS LÄN</t>
        </is>
      </c>
      <c r="G525" t="inlineStr">
        <is>
          <t>NORDANSTIG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46024</v>
      </c>
      <c r="E526" s="1" t="n">
        <v>46250</v>
      </c>
      <c r="F526" t="inlineStr">
        <is>
          <t>GÄVLEBORGS LÄN</t>
        </is>
      </c>
      <c r="G526" t="inlineStr">
        <is>
          <t>NORDANSTIG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46250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46250</v>
      </c>
      <c r="F528" t="inlineStr">
        <is>
          <t>GÄVLEBORGS LÄN</t>
        </is>
      </c>
      <c r="G528" t="inlineStr">
        <is>
          <t>NORDANSTIG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46136</v>
      </c>
      <c r="E529" s="1" t="n">
        <v>46250</v>
      </c>
      <c r="F529" t="inlineStr">
        <is>
          <t>GÄVLEBORGS LÄN</t>
        </is>
      </c>
      <c r="G529" t="inlineStr">
        <is>
          <t>NORDANSTIG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46250</v>
      </c>
      <c r="F530" t="inlineStr">
        <is>
          <t>GÄVLEBORGS LÄN</t>
        </is>
      </c>
      <c r="G530" t="inlineStr">
        <is>
          <t>NORDANSTIG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46250</v>
      </c>
      <c r="F531" t="inlineStr">
        <is>
          <t>GÄVLEBORGS LÄN</t>
        </is>
      </c>
      <c r="G531" t="inlineStr">
        <is>
          <t>NORDANSTIG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16659-2026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46250</v>
      </c>
      <c r="F532" t="inlineStr">
        <is>
          <t>GÄVLEBORGS LÄN</t>
        </is>
      </c>
      <c r="G532" t="inlineStr">
        <is>
          <t>NORDANSTIG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46250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46250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45636</v>
      </c>
      <c r="E535" s="1" t="n">
        <v>46250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46250</v>
      </c>
      <c r="F536" t="inlineStr">
        <is>
          <t>GÄVLEBORGS LÄN</t>
        </is>
      </c>
      <c r="G536" t="inlineStr">
        <is>
          <t>NORDANSTIG</t>
        </is>
      </c>
      <c r="I536" t="n">
        <v>12.7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46250</v>
      </c>
      <c r="F537" t="inlineStr">
        <is>
          <t>GÄVLEBORGS LÄN</t>
        </is>
      </c>
      <c r="G537" t="inlineStr">
        <is>
          <t>NORDANSTIG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10484-2023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44987</v>
      </c>
      <c r="E538" s="1" t="n">
        <v>46250</v>
      </c>
      <c r="F538" t="inlineStr">
        <is>
          <t>GÄVLEBORGS LÄN</t>
        </is>
      </c>
      <c r="G538" t="inlineStr">
        <is>
          <t>NORDANSTIG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46250</v>
      </c>
      <c r="F539" t="inlineStr">
        <is>
          <t>GÄVLEBORGS LÄN</t>
        </is>
      </c>
      <c r="G539" t="inlineStr">
        <is>
          <t>NORDANSTIG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46250</v>
      </c>
      <c r="F540" t="inlineStr">
        <is>
          <t>GÄVLEBORGS LÄN</t>
        </is>
      </c>
      <c r="G540" t="inlineStr">
        <is>
          <t>NORDANSTIG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44797</v>
      </c>
      <c r="E541" s="1" t="n">
        <v>46250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45625</v>
      </c>
      <c r="E542" s="1" t="n">
        <v>46250</v>
      </c>
      <c r="F542" t="inlineStr">
        <is>
          <t>GÄVLEBORGS LÄN</t>
        </is>
      </c>
      <c r="G542" t="inlineStr">
        <is>
          <t>NORDANSTIG</t>
        </is>
      </c>
      <c r="I542" t="n">
        <v>10.1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46250</v>
      </c>
      <c r="F543" t="inlineStr">
        <is>
          <t>GÄVLEBORGS LÄN</t>
        </is>
      </c>
      <c r="G543" t="inlineStr">
        <is>
          <t>NORDANSTIG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46250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58870-2023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45252</v>
      </c>
      <c r="E545" s="1" t="n">
        <v>46250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46250</v>
      </c>
      <c r="F546" t="inlineStr">
        <is>
          <t>GÄVLEBORGS LÄN</t>
        </is>
      </c>
      <c r="G546" t="inlineStr">
        <is>
          <t>NORDANSTIG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46250</v>
      </c>
      <c r="F547" t="inlineStr">
        <is>
          <t>GÄVLEBORGS LÄN</t>
        </is>
      </c>
      <c r="G547" t="inlineStr">
        <is>
          <t>NORDANSTIG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46038</v>
      </c>
      <c r="E548" s="1" t="n">
        <v>46250</v>
      </c>
      <c r="F548" t="inlineStr">
        <is>
          <t>GÄVLEBORGS LÄN</t>
        </is>
      </c>
      <c r="G548" t="inlineStr">
        <is>
          <t>NORDANSTIG</t>
        </is>
      </c>
      <c r="I548" t="n">
        <v>21.1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46250</v>
      </c>
      <c r="F549" t="inlineStr">
        <is>
          <t>GÄVLEBORGS LÄN</t>
        </is>
      </c>
      <c r="G549" t="inlineStr">
        <is>
          <t>NORDANSTIG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46250</v>
      </c>
      <c r="F550" t="inlineStr">
        <is>
          <t>GÄVLEBORGS LÄN</t>
        </is>
      </c>
      <c r="G550" t="inlineStr">
        <is>
          <t>NORDANSTIG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46250</v>
      </c>
      <c r="F551" t="inlineStr">
        <is>
          <t>GÄVLEBORGS LÄN</t>
        </is>
      </c>
      <c r="G551" t="inlineStr">
        <is>
          <t>NORDANSTIG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17843-2023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46250</v>
      </c>
      <c r="F552" t="inlineStr">
        <is>
          <t>GÄVLEBORGS LÄN</t>
        </is>
      </c>
      <c r="G552" t="inlineStr">
        <is>
          <t>NORDANSTIG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45001</v>
      </c>
      <c r="E553" s="1" t="n">
        <v>46250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46140</v>
      </c>
      <c r="E554" s="1" t="n">
        <v>46250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45250</v>
      </c>
      <c r="E555" s="1" t="n">
        <v>46250</v>
      </c>
      <c r="F555" t="inlineStr">
        <is>
          <t>GÄVLEBORGS LÄN</t>
        </is>
      </c>
      <c r="G555" t="inlineStr">
        <is>
          <t>NORDANSTIG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46250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20044-2024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45434</v>
      </c>
      <c r="E557" s="1" t="n">
        <v>46250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46250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46250</v>
      </c>
      <c r="F559" t="inlineStr">
        <is>
          <t>GÄVLEBORGS LÄN</t>
        </is>
      </c>
      <c r="G559" t="inlineStr">
        <is>
          <t>NORDANSTIG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46250</v>
      </c>
      <c r="F560" t="inlineStr">
        <is>
          <t>GÄVLEBORGS LÄN</t>
        </is>
      </c>
      <c r="G560" t="inlineStr">
        <is>
          <t>NORDANSTIG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44985</v>
      </c>
      <c r="E561" s="1" t="n">
        <v>46250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46039</v>
      </c>
      <c r="E562" s="1" t="n">
        <v>46250</v>
      </c>
      <c r="F562" t="inlineStr">
        <is>
          <t>GÄVLEBORGS LÄN</t>
        </is>
      </c>
      <c r="G562" t="inlineStr">
        <is>
          <t>NORDANSTIG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46250</v>
      </c>
      <c r="F563" t="inlineStr">
        <is>
          <t>GÄVLEBORGS LÄN</t>
        </is>
      </c>
      <c r="G563" t="inlineStr">
        <is>
          <t>NORDANSTIG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46041</v>
      </c>
      <c r="E564" s="1" t="n">
        <v>46250</v>
      </c>
      <c r="F564" t="inlineStr">
        <is>
          <t>GÄVLEBORGS LÄN</t>
        </is>
      </c>
      <c r="G564" t="inlineStr">
        <is>
          <t>NORDANSTIG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46250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44895</v>
      </c>
      <c r="E566" s="1" t="n">
        <v>46250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45497</v>
      </c>
      <c r="E567" s="1" t="n">
        <v>46250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46250</v>
      </c>
      <c r="F568" t="inlineStr">
        <is>
          <t>GÄVLEBORGS LÄN</t>
        </is>
      </c>
      <c r="G568" t="inlineStr">
        <is>
          <t>NORDANSTIG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46250</v>
      </c>
      <c r="F569" t="inlineStr">
        <is>
          <t>GÄVLEBORGS LÄN</t>
        </is>
      </c>
      <c r="G569" t="inlineStr">
        <is>
          <t>NORDANSTIG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46250</v>
      </c>
      <c r="F570" t="inlineStr">
        <is>
          <t>GÄVLEBORGS LÄN</t>
        </is>
      </c>
      <c r="G570" t="inlineStr">
        <is>
          <t>NORDANSTIG</t>
        </is>
      </c>
      <c r="I570" t="n">
        <v>24.7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46044</v>
      </c>
      <c r="E571" s="1" t="n">
        <v>46250</v>
      </c>
      <c r="F571" t="inlineStr">
        <is>
          <t>GÄVLEBORGS LÄN</t>
        </is>
      </c>
      <c r="G571" t="inlineStr">
        <is>
          <t>NORDANSTIG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46250</v>
      </c>
      <c r="F572" t="inlineStr">
        <is>
          <t>GÄVLEBORGS LÄN</t>
        </is>
      </c>
      <c r="G572" t="inlineStr">
        <is>
          <t>NORDANSTIG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46250</v>
      </c>
      <c r="F573" t="inlineStr">
        <is>
          <t>GÄVLEBORGS LÄN</t>
        </is>
      </c>
      <c r="G573" t="inlineStr">
        <is>
          <t>NORDANSTIG</t>
        </is>
      </c>
      <c r="I573" t="n">
        <v>15.3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46250</v>
      </c>
      <c r="F574" t="inlineStr">
        <is>
          <t>GÄVLEBORGS LÄN</t>
        </is>
      </c>
      <c r="G574" t="inlineStr">
        <is>
          <t>NORDANSTIG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46250</v>
      </c>
      <c r="F575" t="inlineStr">
        <is>
          <t>GÄVLEBORGS LÄN</t>
        </is>
      </c>
      <c r="G575" t="inlineStr">
        <is>
          <t>NORDANSTIG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46250</v>
      </c>
      <c r="F576" t="inlineStr">
        <is>
          <t>GÄVLEBORGS LÄN</t>
        </is>
      </c>
      <c r="G576" t="inlineStr">
        <is>
          <t>NORDANSTIG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46044</v>
      </c>
      <c r="E577" s="1" t="n">
        <v>46250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46250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46250</v>
      </c>
      <c r="F579" t="inlineStr">
        <is>
          <t>GÄVLEBORGS LÄN</t>
        </is>
      </c>
      <c r="G579" t="inlineStr">
        <is>
          <t>NORDANSTIG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46250</v>
      </c>
      <c r="F580" t="inlineStr">
        <is>
          <t>GÄVLEBORGS LÄN</t>
        </is>
      </c>
      <c r="G580" t="inlineStr">
        <is>
          <t>NORDANSTIG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46250</v>
      </c>
      <c r="F581" t="inlineStr">
        <is>
          <t>GÄVLEBORGS LÄN</t>
        </is>
      </c>
      <c r="G581" t="inlineStr">
        <is>
          <t>NORDANSTIG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46250</v>
      </c>
      <c r="F582" t="inlineStr">
        <is>
          <t>GÄVLEBORGS LÄN</t>
        </is>
      </c>
      <c r="G582" t="inlineStr">
        <is>
          <t>NORDANSTIG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30078-2024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45489</v>
      </c>
      <c r="E583" s="1" t="n">
        <v>46250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45163</v>
      </c>
      <c r="E584" s="1" t="n">
        <v>46250</v>
      </c>
      <c r="F584" t="inlineStr">
        <is>
          <t>GÄVLEBORGS LÄN</t>
        </is>
      </c>
      <c r="G584" t="inlineStr">
        <is>
          <t>NORDANSTIG</t>
        </is>
      </c>
      <c r="H584" t="inlineStr">
        <is>
          <t>SCA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46250</v>
      </c>
      <c r="F585" t="inlineStr">
        <is>
          <t>GÄVLEBORGS LÄN</t>
        </is>
      </c>
      <c r="G585" t="inlineStr">
        <is>
          <t>NORDANSTIG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46250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46250</v>
      </c>
      <c r="F587" t="inlineStr">
        <is>
          <t>GÄVLEBORGS LÄN</t>
        </is>
      </c>
      <c r="G587" t="inlineStr">
        <is>
          <t>NORDANSTIG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46250</v>
      </c>
      <c r="F588" t="inlineStr">
        <is>
          <t>GÄVLEBORGS LÄN</t>
        </is>
      </c>
      <c r="G588" t="inlineStr">
        <is>
          <t>NORDANSTIG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33535-2022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44789</v>
      </c>
      <c r="E589" s="1" t="n">
        <v>46250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46250</v>
      </c>
      <c r="F590" t="inlineStr">
        <is>
          <t>GÄVLEBORGS LÄN</t>
        </is>
      </c>
      <c r="G590" t="inlineStr">
        <is>
          <t>NORDANSTIG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46250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46250</v>
      </c>
      <c r="F592" t="inlineStr">
        <is>
          <t>GÄVLEBORGS LÄN</t>
        </is>
      </c>
      <c r="G592" t="inlineStr">
        <is>
          <t>NORDANSTIG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46250</v>
      </c>
      <c r="F593" t="inlineStr">
        <is>
          <t>GÄVLEBORGS LÄN</t>
        </is>
      </c>
      <c r="G593" t="inlineStr">
        <is>
          <t>NORDANSTIG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46250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46250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46250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46250</v>
      </c>
      <c r="F597" t="inlineStr">
        <is>
          <t>GÄVLEBORGS LÄN</t>
        </is>
      </c>
      <c r="G597" t="inlineStr">
        <is>
          <t>NORDANSTIG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46250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63145-2023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45273</v>
      </c>
      <c r="E599" s="1" t="n">
        <v>46250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46250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52695-2024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46250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46250</v>
      </c>
      <c r="F602" t="inlineStr">
        <is>
          <t>GÄVLEBORGS LÄN</t>
        </is>
      </c>
      <c r="G602" t="inlineStr">
        <is>
          <t>NORDANSTIG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46250</v>
      </c>
      <c r="F603" t="inlineStr">
        <is>
          <t>GÄVLEBORGS LÄN</t>
        </is>
      </c>
      <c r="G603" t="inlineStr">
        <is>
          <t>NORDANSTIG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46250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46051</v>
      </c>
      <c r="E605" s="1" t="n">
        <v>46250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46250</v>
      </c>
      <c r="F606" t="inlineStr">
        <is>
          <t>GÄVLEBORGS LÄN</t>
        </is>
      </c>
      <c r="G606" t="inlineStr">
        <is>
          <t>NORDANSTIG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45170</v>
      </c>
      <c r="E607" s="1" t="n">
        <v>46250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45758</v>
      </c>
      <c r="E608" s="1" t="n">
        <v>46250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44874</v>
      </c>
      <c r="E609" s="1" t="n">
        <v>46250</v>
      </c>
      <c r="F609" t="inlineStr">
        <is>
          <t>GÄVLEBORGS LÄN</t>
        </is>
      </c>
      <c r="G609" t="inlineStr">
        <is>
          <t>NORDANSTIG</t>
        </is>
      </c>
      <c r="H609" t="inlineStr">
        <is>
          <t>SCA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54524-2024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45617</v>
      </c>
      <c r="E610" s="1" t="n">
        <v>46250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46051</v>
      </c>
      <c r="E611" s="1" t="n">
        <v>46250</v>
      </c>
      <c r="F611" t="inlineStr">
        <is>
          <t>GÄVLEBORGS LÄN</t>
        </is>
      </c>
      <c r="G611" t="inlineStr">
        <is>
          <t>NORDANSTIG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45357</v>
      </c>
      <c r="E612" s="1" t="n">
        <v>46250</v>
      </c>
      <c r="F612" t="inlineStr">
        <is>
          <t>GÄVLEBORGS LÄN</t>
        </is>
      </c>
      <c r="G612" t="inlineStr">
        <is>
          <t>NORDANSTIG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46250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63786-2025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46019</v>
      </c>
      <c r="E614" s="1" t="n">
        <v>46250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46053</v>
      </c>
      <c r="E615" s="1" t="n">
        <v>46250</v>
      </c>
      <c r="F615" t="inlineStr">
        <is>
          <t>GÄVLEBORGS LÄN</t>
        </is>
      </c>
      <c r="G615" t="inlineStr">
        <is>
          <t>NORDANSTIG</t>
        </is>
      </c>
      <c r="I615" t="n">
        <v>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46053</v>
      </c>
      <c r="E616" s="1" t="n">
        <v>46250</v>
      </c>
      <c r="F616" t="inlineStr">
        <is>
          <t>GÄVLEBORGS LÄN</t>
        </is>
      </c>
      <c r="G616" t="inlineStr">
        <is>
          <t>NORDANSTIG</t>
        </is>
      </c>
      <c r="I616" t="n">
        <v>45.3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46250</v>
      </c>
      <c r="F617" t="inlineStr">
        <is>
          <t>GÄVLEBORGS LÄN</t>
        </is>
      </c>
      <c r="G617" t="inlineStr">
        <is>
          <t>NORDANSTIG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46250</v>
      </c>
      <c r="F618" t="inlineStr">
        <is>
          <t>GÄVLEBORGS LÄN</t>
        </is>
      </c>
      <c r="G618" t="inlineStr">
        <is>
          <t>NORDANSTIG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46250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46250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6287-2026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46250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46250</v>
      </c>
      <c r="F622" t="inlineStr">
        <is>
          <t>GÄVLEBORGS LÄN</t>
        </is>
      </c>
      <c r="G622" t="inlineStr">
        <is>
          <t>NORDANSTIG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46057</v>
      </c>
      <c r="E623" s="1" t="n">
        <v>46250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45509</v>
      </c>
      <c r="E624" s="1" t="n">
        <v>46250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46250</v>
      </c>
      <c r="F625" t="inlineStr">
        <is>
          <t>GÄVLEBORGS LÄN</t>
        </is>
      </c>
      <c r="G625" t="inlineStr">
        <is>
          <t>NORDANSTIG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41318-2024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46250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45177</v>
      </c>
      <c r="E627" s="1" t="n">
        <v>46250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56281-2024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45624</v>
      </c>
      <c r="E628" s="1" t="n">
        <v>46250</v>
      </c>
      <c r="F628" t="inlineStr">
        <is>
          <t>GÄVLEBORGS LÄN</t>
        </is>
      </c>
      <c r="G628" t="inlineStr">
        <is>
          <t>NORDANSTIG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15385-2023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46250</v>
      </c>
      <c r="F629" t="inlineStr">
        <is>
          <t>GÄVLEBORGS LÄN</t>
        </is>
      </c>
      <c r="G629" t="inlineStr">
        <is>
          <t>NORDANSTIG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64033-2025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46021</v>
      </c>
      <c r="E630" s="1" t="n">
        <v>46250</v>
      </c>
      <c r="F630" t="inlineStr">
        <is>
          <t>GÄVLEBORGS LÄN</t>
        </is>
      </c>
      <c r="G630" t="inlineStr">
        <is>
          <t>NORDANSTIG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46250</v>
      </c>
      <c r="F631" t="inlineStr">
        <is>
          <t>GÄVLEBORGS LÄN</t>
        </is>
      </c>
      <c r="G631" t="inlineStr">
        <is>
          <t>NORDANSTIG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46054</v>
      </c>
      <c r="E632" s="1" t="n">
        <v>46250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45303</v>
      </c>
      <c r="E633" s="1" t="n">
        <v>46250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46250</v>
      </c>
      <c r="F634" t="inlineStr">
        <is>
          <t>GÄVLEBORGS LÄN</t>
        </is>
      </c>
      <c r="G634" t="inlineStr">
        <is>
          <t>NORDANSTIG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45072</v>
      </c>
      <c r="E635" s="1" t="n">
        <v>46250</v>
      </c>
      <c r="F635" t="inlineStr">
        <is>
          <t>GÄVLEBORGS LÄN</t>
        </is>
      </c>
      <c r="G635" t="inlineStr">
        <is>
          <t>NORDANSTIG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46250</v>
      </c>
      <c r="F636" t="inlineStr">
        <is>
          <t>GÄVLEBORGS LÄN</t>
        </is>
      </c>
      <c r="G636" t="inlineStr">
        <is>
          <t>NORDANSTIG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21999-2023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46250</v>
      </c>
      <c r="F637" t="inlineStr">
        <is>
          <t>GÄVLEBORGS LÄN</t>
        </is>
      </c>
      <c r="G637" t="inlineStr">
        <is>
          <t>NORDANSTIG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46033</v>
      </c>
      <c r="E638" s="1" t="n">
        <v>46250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7783-2026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46250</v>
      </c>
      <c r="F639" t="inlineStr">
        <is>
          <t>GÄVLEBORGS LÄN</t>
        </is>
      </c>
      <c r="G639" t="inlineStr">
        <is>
          <t>NORDANSTIG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45297</v>
      </c>
      <c r="E640" s="1" t="n">
        <v>46250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46079</v>
      </c>
      <c r="E641" s="1" t="n">
        <v>46250</v>
      </c>
      <c r="F641" t="inlineStr">
        <is>
          <t>GÄVLEBORGS LÄN</t>
        </is>
      </c>
      <c r="G641" t="inlineStr">
        <is>
          <t>NORDANSTIG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7685-2026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46062</v>
      </c>
      <c r="E642" s="1" t="n">
        <v>46250</v>
      </c>
      <c r="F642" t="inlineStr">
        <is>
          <t>GÄVLEBORGS LÄN</t>
        </is>
      </c>
      <c r="G642" t="inlineStr">
        <is>
          <t>NORDANSTIG</t>
        </is>
      </c>
      <c r="I642" t="n">
        <v>7.3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7640-2026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46250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46250</v>
      </c>
      <c r="F644" t="inlineStr">
        <is>
          <t>GÄVLEBORGS LÄN</t>
        </is>
      </c>
      <c r="G644" t="inlineStr">
        <is>
          <t>NORDANSTIG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45667</v>
      </c>
      <c r="E645" s="1" t="n">
        <v>46250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46250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45670</v>
      </c>
      <c r="E647" s="1" t="n">
        <v>46250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46250</v>
      </c>
      <c r="F648" t="inlineStr">
        <is>
          <t>GÄVLEBORGS LÄN</t>
        </is>
      </c>
      <c r="G648" t="inlineStr">
        <is>
          <t>NORDANSTIG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45677</v>
      </c>
      <c r="E649" s="1" t="n">
        <v>46250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46250</v>
      </c>
      <c r="F650" t="inlineStr">
        <is>
          <t>GÄVLEBORGS LÄN</t>
        </is>
      </c>
      <c r="G650" t="inlineStr">
        <is>
          <t>NORDANSTIG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46250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46250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46064</v>
      </c>
      <c r="E653" s="1" t="n">
        <v>46250</v>
      </c>
      <c r="F653" t="inlineStr">
        <is>
          <t>GÄVLEBORGS LÄN</t>
        </is>
      </c>
      <c r="G653" t="inlineStr">
        <is>
          <t>NORDANSTIG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46250</v>
      </c>
      <c r="F654" t="inlineStr">
        <is>
          <t>GÄVLEBORGS LÄN</t>
        </is>
      </c>
      <c r="G654" t="inlineStr">
        <is>
          <t>NORDANSTIG</t>
        </is>
      </c>
      <c r="I654" t="n">
        <v>10.5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46064</v>
      </c>
      <c r="E655" s="1" t="n">
        <v>46250</v>
      </c>
      <c r="F655" t="inlineStr">
        <is>
          <t>GÄVLEBORGS LÄN</t>
        </is>
      </c>
      <c r="G655" t="inlineStr">
        <is>
          <t>NORDANSTIG</t>
        </is>
      </c>
      <c r="I655" t="n">
        <v>38.1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55276-2024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45621</v>
      </c>
      <c r="E656" s="1" t="n">
        <v>46250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19982-2026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46250</v>
      </c>
      <c r="F657" t="inlineStr">
        <is>
          <t>GÄVLEBORGS LÄN</t>
        </is>
      </c>
      <c r="G657" t="inlineStr">
        <is>
          <t>NORDANSTIG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46026</v>
      </c>
      <c r="E658" s="1" t="n">
        <v>46250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46250</v>
      </c>
      <c r="F659" t="inlineStr">
        <is>
          <t>GÄVLEBORGS LÄN</t>
        </is>
      </c>
      <c r="G659" t="inlineStr">
        <is>
          <t>NORDANSTIG</t>
        </is>
      </c>
      <c r="I659" t="n">
        <v>19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45231</v>
      </c>
      <c r="E660" s="1" t="n">
        <v>46250</v>
      </c>
      <c r="F660" t="inlineStr">
        <is>
          <t>GÄVLEBORGS LÄN</t>
        </is>
      </c>
      <c r="G660" t="inlineStr">
        <is>
          <t>NORDANSTIG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46250</v>
      </c>
      <c r="F661" t="inlineStr">
        <is>
          <t>GÄVLEBORGS LÄN</t>
        </is>
      </c>
      <c r="G661" t="inlineStr">
        <is>
          <t>NORDANSTIG</t>
        </is>
      </c>
      <c r="I661" t="n">
        <v>13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58749-2024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46250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46250</v>
      </c>
      <c r="F663" t="inlineStr">
        <is>
          <t>GÄVLEBORGS LÄN</t>
        </is>
      </c>
      <c r="G663" t="inlineStr">
        <is>
          <t>NORDANSTIG</t>
        </is>
      </c>
      <c r="H663" t="inlineStr">
        <is>
          <t>Naturvårdsverket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44960</v>
      </c>
      <c r="E664" s="1" t="n">
        <v>46250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8711-2026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46066</v>
      </c>
      <c r="E665" s="1" t="n">
        <v>46250</v>
      </c>
      <c r="F665" t="inlineStr">
        <is>
          <t>GÄVLEBORGS LÄN</t>
        </is>
      </c>
      <c r="G665" t="inlineStr">
        <is>
          <t>NORDANSTIG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46065</v>
      </c>
      <c r="E666" s="1" t="n">
        <v>46250</v>
      </c>
      <c r="F666" t="inlineStr">
        <is>
          <t>GÄVLEBORGS LÄN</t>
        </is>
      </c>
      <c r="G666" t="inlineStr">
        <is>
          <t>NORDANSTIG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44075-2025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46250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46250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46250</v>
      </c>
      <c r="F669" t="inlineStr">
        <is>
          <t>GÄVLEBORGS LÄN</t>
        </is>
      </c>
      <c r="G669" t="inlineStr">
        <is>
          <t>NORDANSTIG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41825-2025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46250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46250</v>
      </c>
      <c r="F671" t="inlineStr">
        <is>
          <t>GÄVLEBORGS LÄN</t>
        </is>
      </c>
      <c r="G671" t="inlineStr">
        <is>
          <t>NORDANSTIG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46070</v>
      </c>
      <c r="E672" s="1" t="n">
        <v>46250</v>
      </c>
      <c r="F672" t="inlineStr">
        <is>
          <t>GÄVLEBORGS LÄN</t>
        </is>
      </c>
      <c r="G672" t="inlineStr">
        <is>
          <t>NORDANSTIG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46250</v>
      </c>
      <c r="F673" t="inlineStr">
        <is>
          <t>GÄVLEBORGS LÄN</t>
        </is>
      </c>
      <c r="G673" t="inlineStr">
        <is>
          <t>NORDANSTIG</t>
        </is>
      </c>
      <c r="I673" t="n">
        <v>15.6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46250</v>
      </c>
      <c r="F674" t="inlineStr">
        <is>
          <t>GÄVLEBORGS LÄN</t>
        </is>
      </c>
      <c r="G674" t="inlineStr">
        <is>
          <t>NORDANSTIG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3764-2026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46043</v>
      </c>
      <c r="E675" s="1" t="n">
        <v>46250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46250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44573</v>
      </c>
      <c r="E677" s="1" t="n">
        <v>46250</v>
      </c>
      <c r="F677" t="inlineStr">
        <is>
          <t>GÄVLEBORGS LÄN</t>
        </is>
      </c>
      <c r="G677" t="inlineStr">
        <is>
          <t>NORDANSTIG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25631-2023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46250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45824</v>
      </c>
      <c r="E679" s="1" t="n">
        <v>46250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64034-2025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46021</v>
      </c>
      <c r="E680" s="1" t="n">
        <v>46250</v>
      </c>
      <c r="F680" t="inlineStr">
        <is>
          <t>GÄVLEBORGS LÄN</t>
        </is>
      </c>
      <c r="G680" t="inlineStr">
        <is>
          <t>NORDANSTIG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46250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46069</v>
      </c>
      <c r="E682" s="1" t="n">
        <v>46250</v>
      </c>
      <c r="F682" t="inlineStr">
        <is>
          <t>GÄVLEBORGS LÄN</t>
        </is>
      </c>
      <c r="G682" t="inlineStr">
        <is>
          <t>NORDANSTIG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9516-2026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46250</v>
      </c>
      <c r="F683" t="inlineStr">
        <is>
          <t>GÄVLEBORGS LÄN</t>
        </is>
      </c>
      <c r="G683" t="inlineStr">
        <is>
          <t>NORDANSTIG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46250</v>
      </c>
      <c r="F684" t="inlineStr">
        <is>
          <t>GÄVLEBORGS LÄN</t>
        </is>
      </c>
      <c r="G684" t="inlineStr">
        <is>
          <t>NORDANSTIG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46250</v>
      </c>
      <c r="F685" t="inlineStr">
        <is>
          <t>GÄVLEBORGS LÄN</t>
        </is>
      </c>
      <c r="G685" t="inlineStr">
        <is>
          <t>NORDANSTIG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46250</v>
      </c>
      <c r="F686" t="inlineStr">
        <is>
          <t>GÄVLEBORGS LÄN</t>
        </is>
      </c>
      <c r="G686" t="inlineStr">
        <is>
          <t>NORDANSTIG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46250</v>
      </c>
      <c r="F687" t="inlineStr">
        <is>
          <t>GÄVLEBORGS LÄN</t>
        </is>
      </c>
      <c r="G687" t="inlineStr">
        <is>
          <t>NORDANSTIG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46250</v>
      </c>
      <c r="F688" t="inlineStr">
        <is>
          <t>GÄVLEBORGS LÄN</t>
        </is>
      </c>
      <c r="G688" t="inlineStr">
        <is>
          <t>NORDANSTIG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46250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9425-2026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46250</v>
      </c>
      <c r="F690" t="inlineStr">
        <is>
          <t>GÄVLEBORGS LÄN</t>
        </is>
      </c>
      <c r="G690" t="inlineStr">
        <is>
          <t>NORDANSTIG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46250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46250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18933-2023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45044</v>
      </c>
      <c r="E693" s="1" t="n">
        <v>46250</v>
      </c>
      <c r="F693" t="inlineStr">
        <is>
          <t>GÄVLEBORGS LÄN</t>
        </is>
      </c>
      <c r="G693" t="inlineStr">
        <is>
          <t>NORDANSTIG</t>
        </is>
      </c>
      <c r="I693" t="n">
        <v>26.6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46048</v>
      </c>
      <c r="E694" s="1" t="n">
        <v>46250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46098</v>
      </c>
      <c r="E695" s="1" t="n">
        <v>46250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46250</v>
      </c>
      <c r="F696" t="inlineStr">
        <is>
          <t>GÄVLEBORGS LÄN</t>
        </is>
      </c>
      <c r="G696" t="inlineStr">
        <is>
          <t>NORDANSTIG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46250</v>
      </c>
      <c r="F697" t="inlineStr">
        <is>
          <t>GÄVLEBORGS LÄN</t>
        </is>
      </c>
      <c r="G697" t="inlineStr">
        <is>
          <t>NORDANSTIG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44788</v>
      </c>
      <c r="E698" s="1" t="n">
        <v>46250</v>
      </c>
      <c r="F698" t="inlineStr">
        <is>
          <t>GÄVLEBORGS LÄN</t>
        </is>
      </c>
      <c r="G698" t="inlineStr">
        <is>
          <t>NORDANSTIG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46250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51842-2024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46250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46250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17641-2025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45758</v>
      </c>
      <c r="E702" s="1" t="n">
        <v>46250</v>
      </c>
      <c r="F702" t="inlineStr">
        <is>
          <t>GÄVLEBORGS LÄN</t>
        </is>
      </c>
      <c r="G702" t="inlineStr">
        <is>
          <t>NORDANSTIG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46250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46250</v>
      </c>
      <c r="F704" t="inlineStr">
        <is>
          <t>GÄVLEBORGS LÄN</t>
        </is>
      </c>
      <c r="G704" t="inlineStr">
        <is>
          <t>NORDANSTIG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46250</v>
      </c>
      <c r="F705" t="inlineStr">
        <is>
          <t>GÄVLEBORGS LÄN</t>
        </is>
      </c>
      <c r="G705" t="inlineStr">
        <is>
          <t>NORDANSTIG</t>
        </is>
      </c>
      <c r="I705" t="n">
        <v>7.8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9971-2026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46250</v>
      </c>
      <c r="F706" t="inlineStr">
        <is>
          <t>GÄVLEBORGS LÄN</t>
        </is>
      </c>
      <c r="G706" t="inlineStr">
        <is>
          <t>NORDANSTIG</t>
        </is>
      </c>
      <c r="I706" t="n">
        <v>7.5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9031-2026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46250</v>
      </c>
      <c r="F707" t="inlineStr">
        <is>
          <t>GÄVLEBORGS LÄN</t>
        </is>
      </c>
      <c r="G707" t="inlineStr">
        <is>
          <t>NORDANSTIG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22784-2025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46250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55.6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45037</v>
      </c>
      <c r="E709" s="1" t="n">
        <v>46250</v>
      </c>
      <c r="F709" t="inlineStr">
        <is>
          <t>GÄVLEBORGS LÄN</t>
        </is>
      </c>
      <c r="G709" t="inlineStr">
        <is>
          <t>NORDANSTIG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46031</v>
      </c>
      <c r="E710" s="1" t="n">
        <v>46250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45541</v>
      </c>
      <c r="E711" s="1" t="n">
        <v>46250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54200-2023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45232</v>
      </c>
      <c r="E712" s="1" t="n">
        <v>46250</v>
      </c>
      <c r="F712" t="inlineStr">
        <is>
          <t>GÄVLEBORGS LÄN</t>
        </is>
      </c>
      <c r="G712" t="inlineStr">
        <is>
          <t>NORDANSTIG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51681-2025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45951</v>
      </c>
      <c r="E713" s="1" t="n">
        <v>46250</v>
      </c>
      <c r="F713" t="inlineStr">
        <is>
          <t>GÄVLEBORGS LÄN</t>
        </is>
      </c>
      <c r="G713" t="inlineStr">
        <is>
          <t>NORDANSTIG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45636</v>
      </c>
      <c r="E714" s="1" t="n">
        <v>46250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45719</v>
      </c>
      <c r="E715" s="1" t="n">
        <v>46250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61419-2024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45646</v>
      </c>
      <c r="E716" s="1" t="n">
        <v>46250</v>
      </c>
      <c r="F716" t="inlineStr">
        <is>
          <t>GÄVLEBORGS LÄN</t>
        </is>
      </c>
      <c r="G716" t="inlineStr">
        <is>
          <t>NORDANSTIG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40241-2023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45169</v>
      </c>
      <c r="E717" s="1" t="n">
        <v>46250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46250</v>
      </c>
      <c r="F718" t="inlineStr">
        <is>
          <t>GÄVLEBORGS LÄN</t>
        </is>
      </c>
      <c r="G718" t="inlineStr">
        <is>
          <t>NORDANSTIG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37640-2025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45880</v>
      </c>
      <c r="E719" s="1" t="n">
        <v>46250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46250</v>
      </c>
      <c r="F720" t="inlineStr">
        <is>
          <t>GÄVLEBORGS LÄN</t>
        </is>
      </c>
      <c r="G720" t="inlineStr">
        <is>
          <t>NORDANSTIG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46250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46250</v>
      </c>
      <c r="F722" t="inlineStr">
        <is>
          <t>GÄVLEBORGS LÄN</t>
        </is>
      </c>
      <c r="G722" t="inlineStr">
        <is>
          <t>NORDANSTIG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46250</v>
      </c>
      <c r="F723" t="inlineStr">
        <is>
          <t>GÄVLEBORGS LÄN</t>
        </is>
      </c>
      <c r="G723" t="inlineStr">
        <is>
          <t>NORDANSTIG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46250</v>
      </c>
      <c r="F724" t="inlineStr">
        <is>
          <t>GÄVLEBORGS LÄN</t>
        </is>
      </c>
      <c r="G724" t="inlineStr">
        <is>
          <t>NORDANSTIG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46250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46250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45726</v>
      </c>
      <c r="E727" s="1" t="n">
        <v>46250</v>
      </c>
      <c r="F727" t="inlineStr">
        <is>
          <t>GÄVLEBORGS LÄN</t>
        </is>
      </c>
      <c r="G727" t="inlineStr">
        <is>
          <t>NORDANSTIG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55523-2024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45622</v>
      </c>
      <c r="E728" s="1" t="n">
        <v>46250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21118-2026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46146</v>
      </c>
      <c r="E729" s="1" t="n">
        <v>46250</v>
      </c>
      <c r="F729" t="inlineStr">
        <is>
          <t>GÄVLEBORGS LÄN</t>
        </is>
      </c>
      <c r="G729" t="inlineStr">
        <is>
          <t>NORDANSTIG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46250</v>
      </c>
      <c r="F730" t="inlineStr">
        <is>
          <t>GÄVLEBORGS LÄN</t>
        </is>
      </c>
      <c r="G730" t="inlineStr">
        <is>
          <t>NORDANSTIG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46119</v>
      </c>
      <c r="E731" s="1" t="n">
        <v>46250</v>
      </c>
      <c r="F731" t="inlineStr">
        <is>
          <t>GÄVLEBORGS LÄN</t>
        </is>
      </c>
      <c r="G731" t="inlineStr">
        <is>
          <t>NORDANSTIG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46250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46038</v>
      </c>
      <c r="E733" s="1" t="n">
        <v>46250</v>
      </c>
      <c r="F733" t="inlineStr">
        <is>
          <t>GÄVLEBORGS LÄN</t>
        </is>
      </c>
      <c r="G733" t="inlineStr">
        <is>
          <t>NORDANSTIG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46250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58184-2022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44900</v>
      </c>
      <c r="E735" s="1" t="n">
        <v>46250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SCA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46250</v>
      </c>
      <c r="F736" t="inlineStr">
        <is>
          <t>GÄVLEBORGS LÄN</t>
        </is>
      </c>
      <c r="G736" t="inlineStr">
        <is>
          <t>NORDANSTIG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32350-2022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44781</v>
      </c>
      <c r="E737" s="1" t="n">
        <v>46250</v>
      </c>
      <c r="F737" t="inlineStr">
        <is>
          <t>GÄVLEBORGS LÄN</t>
        </is>
      </c>
      <c r="G737" t="inlineStr">
        <is>
          <t>NORDANSTIG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52206-2022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44869</v>
      </c>
      <c r="E738" s="1" t="n">
        <v>46250</v>
      </c>
      <c r="F738" t="inlineStr">
        <is>
          <t>GÄVLEBORGS LÄN</t>
        </is>
      </c>
      <c r="G738" t="inlineStr">
        <is>
          <t>NORDANSTIG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46250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46250</v>
      </c>
      <c r="F740" t="inlineStr">
        <is>
          <t>GÄVLEBORGS LÄN</t>
        </is>
      </c>
      <c r="G740" t="inlineStr">
        <is>
          <t>NORDANSTIG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45297</v>
      </c>
      <c r="E741" s="1" t="n">
        <v>46250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55948-2024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45623</v>
      </c>
      <c r="E742" s="1" t="n">
        <v>46250</v>
      </c>
      <c r="F742" t="inlineStr">
        <is>
          <t>GÄVLEBORGS LÄN</t>
        </is>
      </c>
      <c r="G742" t="inlineStr">
        <is>
          <t>NORDANSTIG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45124</v>
      </c>
      <c r="E743" s="1" t="n">
        <v>46250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46250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40477-2024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46250</v>
      </c>
      <c r="F745" t="inlineStr">
        <is>
          <t>GÄVLEBORGS LÄN</t>
        </is>
      </c>
      <c r="G745" t="inlineStr">
        <is>
          <t>NORDANSTIG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46250</v>
      </c>
      <c r="F746" t="inlineStr">
        <is>
          <t>GÄVLEBORGS LÄN</t>
        </is>
      </c>
      <c r="G746" t="inlineStr">
        <is>
          <t>NORDANSTIG</t>
        </is>
      </c>
      <c r="I746" t="n">
        <v>10.7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6099-2023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44964</v>
      </c>
      <c r="E747" s="1" t="n">
        <v>46250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44938</v>
      </c>
      <c r="E748" s="1" t="n">
        <v>46250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32635-2022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44783</v>
      </c>
      <c r="E749" s="1" t="n">
        <v>46250</v>
      </c>
      <c r="F749" t="inlineStr">
        <is>
          <t>GÄVLEBORGS LÄN</t>
        </is>
      </c>
      <c r="G749" t="inlineStr">
        <is>
          <t>NORDANSTIG</t>
        </is>
      </c>
      <c r="I749" t="n">
        <v>10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45103</v>
      </c>
      <c r="E750" s="1" t="n">
        <v>46250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46078</v>
      </c>
      <c r="E751" s="1" t="n">
        <v>46250</v>
      </c>
      <c r="F751" t="inlineStr">
        <is>
          <t>GÄVLEBORGS LÄN</t>
        </is>
      </c>
      <c r="G751" t="inlineStr">
        <is>
          <t>NORDANSTIG</t>
        </is>
      </c>
      <c r="I751" t="n">
        <v>10.9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43883-2021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44434</v>
      </c>
      <c r="E752" s="1" t="n">
        <v>46250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46250</v>
      </c>
      <c r="F753" t="inlineStr">
        <is>
          <t>GÄVLEBORGS LÄN</t>
        </is>
      </c>
      <c r="G753" t="inlineStr">
        <is>
          <t>NORDANSTIG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46250</v>
      </c>
      <c r="F754" t="inlineStr">
        <is>
          <t>GÄVLEBORGS LÄN</t>
        </is>
      </c>
      <c r="G754" t="inlineStr">
        <is>
          <t>NORDANSTIG</t>
        </is>
      </c>
      <c r="I754" t="n">
        <v>10.7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59799-2022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46250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46250</v>
      </c>
      <c r="F756" t="inlineStr">
        <is>
          <t>GÄVLEBORGS LÄN</t>
        </is>
      </c>
      <c r="G756" t="inlineStr">
        <is>
          <t>NORDANSTIG</t>
        </is>
      </c>
      <c r="I756" t="n">
        <v>15.6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18691-2026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46250</v>
      </c>
      <c r="F757" t="inlineStr">
        <is>
          <t>GÄVLEBORGS LÄN</t>
        </is>
      </c>
      <c r="G757" t="inlineStr">
        <is>
          <t>NORDANSTIG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45537</v>
      </c>
      <c r="E758" s="1" t="n">
        <v>46250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46052</v>
      </c>
      <c r="E759" s="1" t="n">
        <v>46250</v>
      </c>
      <c r="F759" t="inlineStr">
        <is>
          <t>GÄVLEBORGS LÄN</t>
        </is>
      </c>
      <c r="G759" t="inlineStr">
        <is>
          <t>NORDANSTIG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46026</v>
      </c>
      <c r="E760" s="1" t="n">
        <v>46250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59422-2022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44907</v>
      </c>
      <c r="E761" s="1" t="n">
        <v>46250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60869-2024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45644</v>
      </c>
      <c r="E762" s="1" t="n">
        <v>46250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64835-2021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44512</v>
      </c>
      <c r="E763" s="1" t="n">
        <v>46250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46250</v>
      </c>
      <c r="F764" t="inlineStr">
        <is>
          <t>GÄVLEBORGS LÄN</t>
        </is>
      </c>
      <c r="G764" t="inlineStr">
        <is>
          <t>NORDANSTIG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46119</v>
      </c>
      <c r="E765" s="1" t="n">
        <v>46250</v>
      </c>
      <c r="F765" t="inlineStr">
        <is>
          <t>GÄVLEBORGS LÄN</t>
        </is>
      </c>
      <c r="G765" t="inlineStr">
        <is>
          <t>NORDANSTIG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51560-2023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45222</v>
      </c>
      <c r="E766" s="1" t="n">
        <v>46250</v>
      </c>
      <c r="F766" t="inlineStr">
        <is>
          <t>GÄVLEBORGS LÄN</t>
        </is>
      </c>
      <c r="G766" t="inlineStr">
        <is>
          <t>NORDANSTIG</t>
        </is>
      </c>
      <c r="I766" t="n">
        <v>26.9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46250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14866-2024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45397</v>
      </c>
      <c r="E768" s="1" t="n">
        <v>46250</v>
      </c>
      <c r="F768" t="inlineStr">
        <is>
          <t>GÄVLEBORGS LÄN</t>
        </is>
      </c>
      <c r="G768" t="inlineStr">
        <is>
          <t>NORDANSTIG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46250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44713</v>
      </c>
      <c r="E770" s="1" t="n">
        <v>46250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38451-2024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45546</v>
      </c>
      <c r="E771" s="1" t="n">
        <v>46250</v>
      </c>
      <c r="F771" t="inlineStr">
        <is>
          <t>GÄVLEBORGS LÄN</t>
        </is>
      </c>
      <c r="G771" t="inlineStr">
        <is>
          <t>NORDANSTIG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46250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46250</v>
      </c>
      <c r="F773" t="inlineStr">
        <is>
          <t>GÄVLEBORGS LÄN</t>
        </is>
      </c>
      <c r="G773" t="inlineStr">
        <is>
          <t>NORDANSTIG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46250</v>
      </c>
      <c r="F774" t="inlineStr">
        <is>
          <t>GÄVLEBORGS LÄN</t>
        </is>
      </c>
      <c r="G774" t="inlineStr">
        <is>
          <t>NORDANSTIG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45551-2024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45579</v>
      </c>
      <c r="E775" s="1" t="n">
        <v>46250</v>
      </c>
      <c r="F775" t="inlineStr">
        <is>
          <t>GÄVLEBORGS LÄN</t>
        </is>
      </c>
      <c r="G775" t="inlineStr">
        <is>
          <t>NORDANSTIG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44952</v>
      </c>
      <c r="E776" s="1" t="n">
        <v>46250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46250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58162-2024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45632</v>
      </c>
      <c r="E778" s="1" t="n">
        <v>46250</v>
      </c>
      <c r="F778" t="inlineStr">
        <is>
          <t>GÄVLEBORGS LÄN</t>
        </is>
      </c>
      <c r="G778" t="inlineStr">
        <is>
          <t>NORDANSTIG</t>
        </is>
      </c>
      <c r="H778" t="inlineStr">
        <is>
          <t>Kyrkan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45455</v>
      </c>
      <c r="E779" s="1" t="n">
        <v>46250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46157</v>
      </c>
      <c r="E780" s="1" t="n">
        <v>46250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24106-2023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45079</v>
      </c>
      <c r="E781" s="1" t="n">
        <v>46250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46160</v>
      </c>
      <c r="E782" s="1" t="n">
        <v>46250</v>
      </c>
      <c r="F782" t="inlineStr">
        <is>
          <t>GÄVLEBORGS LÄN</t>
        </is>
      </c>
      <c r="G782" t="inlineStr">
        <is>
          <t>NORDANSTIG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58876-2024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45636</v>
      </c>
      <c r="E783" s="1" t="n">
        <v>46250</v>
      </c>
      <c r="F783" t="inlineStr">
        <is>
          <t>GÄVLEBORGS LÄN</t>
        </is>
      </c>
      <c r="G783" t="inlineStr">
        <is>
          <t>NORDANSTIG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62816-2023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45271</v>
      </c>
      <c r="E784" s="1" t="n">
        <v>46250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19906-2026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46250</v>
      </c>
      <c r="F785" t="inlineStr">
        <is>
          <t>GÄVLEBORGS LÄN</t>
        </is>
      </c>
      <c r="G785" t="inlineStr">
        <is>
          <t>NORDANSTIG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16434-2026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46250</v>
      </c>
      <c r="F786" t="inlineStr">
        <is>
          <t>GÄVLEBORGS LÄN</t>
        </is>
      </c>
      <c r="G786" t="inlineStr">
        <is>
          <t>NORDANSTIG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44938</v>
      </c>
      <c r="E787" s="1" t="n">
        <v>46250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46250</v>
      </c>
      <c r="F788" t="inlineStr">
        <is>
          <t>GÄVLEBORGS LÄN</t>
        </is>
      </c>
      <c r="G788" t="inlineStr">
        <is>
          <t>NORDANSTIG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46250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12095-2023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46250</v>
      </c>
      <c r="F790" t="inlineStr">
        <is>
          <t>GÄVLEBORGS LÄN</t>
        </is>
      </c>
      <c r="G790" t="inlineStr">
        <is>
          <t>NORDANSTIG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23039-2026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46161</v>
      </c>
      <c r="E791" s="1" t="n">
        <v>46250</v>
      </c>
      <c r="F791" t="inlineStr">
        <is>
          <t>GÄVLEBORGS LÄN</t>
        </is>
      </c>
      <c r="G791" t="inlineStr">
        <is>
          <t>NORDANSTIG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65208-2023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45289</v>
      </c>
      <c r="E792" s="1" t="n">
        <v>46250</v>
      </c>
      <c r="F792" t="inlineStr">
        <is>
          <t>GÄVLEBORGS LÄN</t>
        </is>
      </c>
      <c r="G792" t="inlineStr">
        <is>
          <t>NORDANSTIG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51380-2024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45604</v>
      </c>
      <c r="E793" s="1" t="n">
        <v>46250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20876-2025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45777</v>
      </c>
      <c r="E794" s="1" t="n">
        <v>46250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62089-2021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44502</v>
      </c>
      <c r="E795" s="1" t="n">
        <v>46250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20747-2023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45058</v>
      </c>
      <c r="E796" s="1" t="n">
        <v>46250</v>
      </c>
      <c r="F796" t="inlineStr">
        <is>
          <t>GÄVLEBORGS LÄN</t>
        </is>
      </c>
      <c r="G796" t="inlineStr">
        <is>
          <t>NORDANSTIG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46164</v>
      </c>
      <c r="E797" s="1" t="n">
        <v>46250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46250</v>
      </c>
      <c r="F798" t="inlineStr">
        <is>
          <t>GÄVLEBORGS LÄN</t>
        </is>
      </c>
      <c r="G798" t="inlineStr">
        <is>
          <t>NORDANSTIG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45041</v>
      </c>
      <c r="E799" s="1" t="n">
        <v>46250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23654-2026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46164</v>
      </c>
      <c r="E800" s="1" t="n">
        <v>46250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11087-2022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44628</v>
      </c>
      <c r="E801" s="1" t="n">
        <v>46250</v>
      </c>
      <c r="F801" t="inlineStr">
        <is>
          <t>GÄVLEBORGS LÄN</t>
        </is>
      </c>
      <c r="G801" t="inlineStr">
        <is>
          <t>NORDANSTIG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46250</v>
      </c>
      <c r="F802" t="inlineStr">
        <is>
          <t>GÄVLEBORGS LÄN</t>
        </is>
      </c>
      <c r="G802" t="inlineStr">
        <is>
          <t>NORDANSTIG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18716-2025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45763</v>
      </c>
      <c r="E803" s="1" t="n">
        <v>46250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50657-2024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46250</v>
      </c>
      <c r="F804" t="inlineStr">
        <is>
          <t>GÄVLEBORGS LÄN</t>
        </is>
      </c>
      <c r="G804" t="inlineStr">
        <is>
          <t>NORDANSTIG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46250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12389-2023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44999</v>
      </c>
      <c r="E806" s="1" t="n">
        <v>46250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21928-2025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46250</v>
      </c>
      <c r="F807" t="inlineStr">
        <is>
          <t>GÄVLEBORGS LÄN</t>
        </is>
      </c>
      <c r="G807" t="inlineStr">
        <is>
          <t>NORDANSTIG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24178-2026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46168</v>
      </c>
      <c r="E808" s="1" t="n">
        <v>46250</v>
      </c>
      <c r="F808" t="inlineStr">
        <is>
          <t>GÄVLEBORGS LÄN</t>
        </is>
      </c>
      <c r="G808" t="inlineStr">
        <is>
          <t>NORDANSTIG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45306</v>
      </c>
      <c r="E809" s="1" t="n">
        <v>46250</v>
      </c>
      <c r="F809" t="inlineStr">
        <is>
          <t>GÄVLEBORGS LÄN</t>
        </is>
      </c>
      <c r="G809" t="inlineStr">
        <is>
          <t>NORDANSTIG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34842-2023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45141</v>
      </c>
      <c r="E810" s="1" t="n">
        <v>46250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46167</v>
      </c>
      <c r="E811" s="1" t="n">
        <v>46250</v>
      </c>
      <c r="F811" t="inlineStr">
        <is>
          <t>GÄVLEBORGS LÄN</t>
        </is>
      </c>
      <c r="G811" t="inlineStr">
        <is>
          <t>NORDANSTIG</t>
        </is>
      </c>
      <c r="I811" t="n">
        <v>18.1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46250</v>
      </c>
      <c r="F812" t="inlineStr">
        <is>
          <t>GÄVLEBORGS LÄN</t>
        </is>
      </c>
      <c r="G812" t="inlineStr">
        <is>
          <t>NORDANSTIG</t>
        </is>
      </c>
      <c r="I812" t="n">
        <v>9.199999999999999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30391-2026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46250</v>
      </c>
      <c r="F813" t="inlineStr">
        <is>
          <t>GÄVLEBORGS LÄN</t>
        </is>
      </c>
      <c r="G813" t="inlineStr">
        <is>
          <t>NORDANSTIG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45343</v>
      </c>
      <c r="E814" s="1" t="n">
        <v>46250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6583-2022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44601</v>
      </c>
      <c r="E815" s="1" t="n">
        <v>46250</v>
      </c>
      <c r="F815" t="inlineStr">
        <is>
          <t>GÄVLEBORGS LÄN</t>
        </is>
      </c>
      <c r="G815" t="inlineStr">
        <is>
          <t>NORDANSTIG</t>
        </is>
      </c>
      <c r="I815" t="n">
        <v>8.800000000000001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30431-2026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46209</v>
      </c>
      <c r="E816" s="1" t="n">
        <v>46250</v>
      </c>
      <c r="F816" t="inlineStr">
        <is>
          <t>GÄVLEBORGS LÄN</t>
        </is>
      </c>
      <c r="G816" t="inlineStr">
        <is>
          <t>NORDANSTIG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45498</v>
      </c>
      <c r="E817" s="1" t="n">
        <v>46250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46250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23900-2026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46250</v>
      </c>
      <c r="F819" t="inlineStr">
        <is>
          <t>GÄVLEBORGS LÄN</t>
        </is>
      </c>
      <c r="G819" t="inlineStr">
        <is>
          <t>NORDANSTIG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46209</v>
      </c>
      <c r="E820" s="1" t="n">
        <v>46250</v>
      </c>
      <c r="F820" t="inlineStr">
        <is>
          <t>GÄVLEBORGS LÄN</t>
        </is>
      </c>
      <c r="G820" t="inlineStr">
        <is>
          <t>NORDANSTIG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32471-2023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45120</v>
      </c>
      <c r="E821" s="1" t="n">
        <v>46250</v>
      </c>
      <c r="F821" t="inlineStr">
        <is>
          <t>GÄVLEBORGS LÄN</t>
        </is>
      </c>
      <c r="G821" t="inlineStr">
        <is>
          <t>NORDANSTIG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25402-2024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45463</v>
      </c>
      <c r="E822" s="1" t="n">
        <v>46250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32470-2023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45120</v>
      </c>
      <c r="E823" s="1" t="n">
        <v>46250</v>
      </c>
      <c r="F823" t="inlineStr">
        <is>
          <t>GÄVLEBORGS LÄN</t>
        </is>
      </c>
      <c r="G823" t="inlineStr">
        <is>
          <t>NORDANSTIG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34370-2024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45525</v>
      </c>
      <c r="E824" s="1" t="n">
        <v>46250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24265-2026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46250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45566</v>
      </c>
      <c r="E826" s="1" t="n">
        <v>46250</v>
      </c>
      <c r="F826" t="inlineStr">
        <is>
          <t>GÄVLEBORGS LÄN</t>
        </is>
      </c>
      <c r="G826" t="inlineStr">
        <is>
          <t>NORDANSTIG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49455-2024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46250</v>
      </c>
      <c r="F827" t="inlineStr">
        <is>
          <t>GÄVLEBORGS LÄN</t>
        </is>
      </c>
      <c r="G827" t="inlineStr">
        <is>
          <t>NORDANSTIG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6581-2022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44601</v>
      </c>
      <c r="E828" s="1" t="n">
        <v>46250</v>
      </c>
      <c r="F828" t="inlineStr">
        <is>
          <t>GÄVLEBORGS LÄN</t>
        </is>
      </c>
      <c r="G828" t="inlineStr">
        <is>
          <t>NORDANSTIG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54713-2024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46250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22310-2025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45786</v>
      </c>
      <c r="E830" s="1" t="n">
        <v>46250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27.9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62646-2023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45271</v>
      </c>
      <c r="E831" s="1" t="n">
        <v>46250</v>
      </c>
      <c r="F831" t="inlineStr">
        <is>
          <t>GÄVLEBORGS LÄN</t>
        </is>
      </c>
      <c r="G831" t="inlineStr">
        <is>
          <t>NORDANSTIG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60193-2024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45642</v>
      </c>
      <c r="E832" s="1" t="n">
        <v>46250</v>
      </c>
      <c r="F832" t="inlineStr">
        <is>
          <t>GÄVLEBORGS LÄN</t>
        </is>
      </c>
      <c r="G832" t="inlineStr">
        <is>
          <t>NORDANSTIG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23417-2023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45076</v>
      </c>
      <c r="E833" s="1" t="n">
        <v>46250</v>
      </c>
      <c r="F833" t="inlineStr">
        <is>
          <t>GÄVLEBORGS LÄN</t>
        </is>
      </c>
      <c r="G833" t="inlineStr">
        <is>
          <t>NORDANSTIG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7149-2022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46250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67879-2021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44525</v>
      </c>
      <c r="E835" s="1" t="n">
        <v>46250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16616-2025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45754</v>
      </c>
      <c r="E836" s="1" t="n">
        <v>46250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9382-2022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44616</v>
      </c>
      <c r="E837" s="1" t="n">
        <v>46250</v>
      </c>
      <c r="F837" t="inlineStr">
        <is>
          <t>GÄVLEBORGS LÄN</t>
        </is>
      </c>
      <c r="G837" t="inlineStr">
        <is>
          <t>NORDANSTIG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22319-2025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45786</v>
      </c>
      <c r="E838" s="1" t="n">
        <v>46250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1034-2026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46250</v>
      </c>
      <c r="F839" t="inlineStr">
        <is>
          <t>GÄVLEBORGS LÄN</t>
        </is>
      </c>
      <c r="G839" t="inlineStr">
        <is>
          <t>NORDANSTIG</t>
        </is>
      </c>
      <c r="I839" t="n">
        <v>11.5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24612-2026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46250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46250</v>
      </c>
      <c r="F841" t="inlineStr">
        <is>
          <t>GÄVLEBORGS LÄN</t>
        </is>
      </c>
      <c r="G841" t="inlineStr">
        <is>
          <t>NORDANSTIG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23122-2025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45791</v>
      </c>
      <c r="E842" s="1" t="n">
        <v>46250</v>
      </c>
      <c r="F842" t="inlineStr">
        <is>
          <t>GÄVLEBORGS LÄN</t>
        </is>
      </c>
      <c r="G842" t="inlineStr">
        <is>
          <t>NORDANSTIG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17678-2025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45758</v>
      </c>
      <c r="E843" s="1" t="n">
        <v>46250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23623-2025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45792</v>
      </c>
      <c r="E844" s="1" t="n">
        <v>46250</v>
      </c>
      <c r="F844" t="inlineStr">
        <is>
          <t>GÄVLEBORGS LÄN</t>
        </is>
      </c>
      <c r="G844" t="inlineStr">
        <is>
          <t>NORDANSTIG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23154-2025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45791</v>
      </c>
      <c r="E845" s="1" t="n">
        <v>46250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20137-2023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45055</v>
      </c>
      <c r="E846" s="1" t="n">
        <v>46250</v>
      </c>
      <c r="F846" t="inlineStr">
        <is>
          <t>GÄVLEBORGS LÄN</t>
        </is>
      </c>
      <c r="G846" t="inlineStr">
        <is>
          <t>NORDANSTIG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54803-2023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45236</v>
      </c>
      <c r="E847" s="1" t="n">
        <v>46250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33414-2022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44788</v>
      </c>
      <c r="E848" s="1" t="n">
        <v>46250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23119-2025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46250</v>
      </c>
      <c r="F849" t="inlineStr">
        <is>
          <t>GÄVLEBORGS LÄN</t>
        </is>
      </c>
      <c r="G849" t="inlineStr">
        <is>
          <t>NORDANSTIG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45149</v>
      </c>
      <c r="E850" s="1" t="n">
        <v>46250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23072-2025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45790</v>
      </c>
      <c r="E851" s="1" t="n">
        <v>46250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46043</v>
      </c>
      <c r="E852" s="1" t="n">
        <v>46250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23993-2025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45796</v>
      </c>
      <c r="E853" s="1" t="n">
        <v>46250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41.3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45170</v>
      </c>
      <c r="E854" s="1" t="n">
        <v>46250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62465-2021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44503</v>
      </c>
      <c r="E855" s="1" t="n">
        <v>46250</v>
      </c>
      <c r="F855" t="inlineStr">
        <is>
          <t>GÄVLEBORGS LÄN</t>
        </is>
      </c>
      <c r="G855" t="inlineStr">
        <is>
          <t>NORDANSTIG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23791-2025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45793</v>
      </c>
      <c r="E856" s="1" t="n">
        <v>46250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30899-2026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46213</v>
      </c>
      <c r="E857" s="1" t="n">
        <v>46250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46250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24518-2026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46250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46250</v>
      </c>
      <c r="F860" t="inlineStr">
        <is>
          <t>GÄVLEBORGS LÄN</t>
        </is>
      </c>
      <c r="G860" t="inlineStr">
        <is>
          <t>NORDANSTIG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21473-2023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45063</v>
      </c>
      <c r="E861" s="1" t="n">
        <v>46250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24500-2026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46170</v>
      </c>
      <c r="E862" s="1" t="n">
        <v>46250</v>
      </c>
      <c r="F862" t="inlineStr">
        <is>
          <t>GÄVLEBORGS LÄN</t>
        </is>
      </c>
      <c r="G862" t="inlineStr">
        <is>
          <t>NORDANSTIG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54705-2024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45618</v>
      </c>
      <c r="E863" s="1" t="n">
        <v>46250</v>
      </c>
      <c r="F863" t="inlineStr">
        <is>
          <t>GÄVLEBORGS LÄN</t>
        </is>
      </c>
      <c r="G863" t="inlineStr">
        <is>
          <t>NORDANSTIG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46042</v>
      </c>
      <c r="E864" s="1" t="n">
        <v>46250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43523-2024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45569</v>
      </c>
      <c r="E865" s="1" t="n">
        <v>46250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36028-2024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45533</v>
      </c>
      <c r="E866" s="1" t="n">
        <v>46250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45312-2023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45191</v>
      </c>
      <c r="E867" s="1" t="n">
        <v>46250</v>
      </c>
      <c r="F867" t="inlineStr">
        <is>
          <t>GÄVLEBORGS LÄN</t>
        </is>
      </c>
      <c r="G867" t="inlineStr">
        <is>
          <t>NORDANSTIG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46175</v>
      </c>
      <c r="E868" s="1" t="n">
        <v>46250</v>
      </c>
      <c r="F868" t="inlineStr">
        <is>
          <t>GÄVLEBORGS LÄN</t>
        </is>
      </c>
      <c r="G868" t="inlineStr">
        <is>
          <t>NORDANSTIG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45545</v>
      </c>
      <c r="E869" s="1" t="n">
        <v>46250</v>
      </c>
      <c r="F869" t="inlineStr">
        <is>
          <t>GÄVLEBORGS LÄN</t>
        </is>
      </c>
      <c r="G869" t="inlineStr">
        <is>
          <t>NORDANSTIG</t>
        </is>
      </c>
      <c r="I869" t="n">
        <v>11.5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38346-2024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45545</v>
      </c>
      <c r="E870" s="1" t="n">
        <v>46250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18322-2024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45422</v>
      </c>
      <c r="E871" s="1" t="n">
        <v>46250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48636-2024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45593</v>
      </c>
      <c r="E872" s="1" t="n">
        <v>46250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45793</v>
      </c>
      <c r="E873" s="1" t="n">
        <v>46250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24101-2025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45796</v>
      </c>
      <c r="E874" s="1" t="n">
        <v>46250</v>
      </c>
      <c r="F874" t="inlineStr">
        <is>
          <t>GÄVLEBORGS LÄN</t>
        </is>
      </c>
      <c r="G874" t="inlineStr">
        <is>
          <t>NORDANSTIG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46035</v>
      </c>
      <c r="E875" s="1" t="n">
        <v>46250</v>
      </c>
      <c r="F875" t="inlineStr">
        <is>
          <t>GÄVLEBORGS LÄN</t>
        </is>
      </c>
      <c r="G875" t="inlineStr">
        <is>
          <t>NORDANSTIG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46175</v>
      </c>
      <c r="E876" s="1" t="n">
        <v>46250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25723-2024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45463</v>
      </c>
      <c r="E877" s="1" t="n">
        <v>46250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35741-2024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45532</v>
      </c>
      <c r="E878" s="1" t="n">
        <v>46250</v>
      </c>
      <c r="F878" t="inlineStr">
        <is>
          <t>GÄVLEBORGS LÄN</t>
        </is>
      </c>
      <c r="G878" t="inlineStr">
        <is>
          <t>NORDANSTIG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37031-2024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46250</v>
      </c>
      <c r="F879" t="inlineStr">
        <is>
          <t>GÄVLEBORGS LÄN</t>
        </is>
      </c>
      <c r="G879" t="inlineStr">
        <is>
          <t>NORDANSTIG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37294-2024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45540</v>
      </c>
      <c r="E880" s="1" t="n">
        <v>46250</v>
      </c>
      <c r="F880" t="inlineStr">
        <is>
          <t>GÄVLEBORGS LÄN</t>
        </is>
      </c>
      <c r="G880" t="inlineStr">
        <is>
          <t>NORDANSTIG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44500-2024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45574</v>
      </c>
      <c r="E881" s="1" t="n">
        <v>46250</v>
      </c>
      <c r="F881" t="inlineStr">
        <is>
          <t>GÄVLEBORGS LÄN</t>
        </is>
      </c>
      <c r="G881" t="inlineStr">
        <is>
          <t>NORDANSTIG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47238-2024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45586</v>
      </c>
      <c r="E882" s="1" t="n">
        <v>46250</v>
      </c>
      <c r="F882" t="inlineStr">
        <is>
          <t>GÄVLEBORGS LÄN</t>
        </is>
      </c>
      <c r="G882" t="inlineStr">
        <is>
          <t>NORDANSTIG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54685-2024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45618</v>
      </c>
      <c r="E883" s="1" t="n">
        <v>46250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31366-2026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46250</v>
      </c>
      <c r="F884" t="inlineStr">
        <is>
          <t>GÄVLEBORGS LÄN</t>
        </is>
      </c>
      <c r="G884" t="inlineStr">
        <is>
          <t>NORDANSTIG</t>
        </is>
      </c>
      <c r="I884" t="n">
        <v>9.6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46250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16.7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25406-2026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46176</v>
      </c>
      <c r="E886" s="1" t="n">
        <v>46250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44009-2023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45188</v>
      </c>
      <c r="E887" s="1" t="n">
        <v>46250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24938-2025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45799</v>
      </c>
      <c r="E888" s="1" t="n">
        <v>46250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73389-2021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44551</v>
      </c>
      <c r="E889" s="1" t="n">
        <v>46250</v>
      </c>
      <c r="F889" t="inlineStr">
        <is>
          <t>GÄVLEBORGS LÄN</t>
        </is>
      </c>
      <c r="G889" t="inlineStr">
        <is>
          <t>NORDANSTIG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12858-2025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45733</v>
      </c>
      <c r="E890" s="1" t="n">
        <v>46250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25080-2025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45799</v>
      </c>
      <c r="E891" s="1" t="n">
        <v>46250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46250</v>
      </c>
      <c r="F892" t="inlineStr">
        <is>
          <t>GÄVLEBORGS LÄN</t>
        </is>
      </c>
      <c r="G892" t="inlineStr">
        <is>
          <t>NORDANSTIG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46220</v>
      </c>
      <c r="E893" s="1" t="n">
        <v>46250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46250</v>
      </c>
      <c r="F894" t="inlineStr">
        <is>
          <t>GÄVLEBORGS LÄN</t>
        </is>
      </c>
      <c r="G894" t="inlineStr">
        <is>
          <t>NORDANSTIG</t>
        </is>
      </c>
      <c r="H894" t="inlineStr">
        <is>
          <t>SCA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25468-2025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45802</v>
      </c>
      <c r="E895" s="1" t="n">
        <v>46250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5892-2022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44596</v>
      </c>
      <c r="E896" s="1" t="n">
        <v>46250</v>
      </c>
      <c r="F896" t="inlineStr">
        <is>
          <t>GÄVLEBORGS LÄN</t>
        </is>
      </c>
      <c r="G896" t="inlineStr">
        <is>
          <t>NORDANSTIG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46220</v>
      </c>
      <c r="E897" s="1" t="n">
        <v>46250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46250</v>
      </c>
      <c r="F898" t="inlineStr">
        <is>
          <t>GÄVLEBORGS LÄN</t>
        </is>
      </c>
      <c r="G898" t="inlineStr">
        <is>
          <t>NORDANSTIG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46250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46220</v>
      </c>
      <c r="E900" s="1" t="n">
        <v>46250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45802</v>
      </c>
      <c r="E901" s="1" t="n">
        <v>46250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10042-2025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45719</v>
      </c>
      <c r="E902" s="1" t="n">
        <v>46250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6.6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57863-2024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45631</v>
      </c>
      <c r="E903" s="1" t="n">
        <v>46250</v>
      </c>
      <c r="F903" t="inlineStr">
        <is>
          <t>GÄVLEBORGS LÄN</t>
        </is>
      </c>
      <c r="G903" t="inlineStr">
        <is>
          <t>NORDANSTIG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57866-2024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45631</v>
      </c>
      <c r="E904" s="1" t="n">
        <v>46250</v>
      </c>
      <c r="F904" t="inlineStr">
        <is>
          <t>GÄVLEBORGS LÄN</t>
        </is>
      </c>
      <c r="G904" t="inlineStr">
        <is>
          <t>NORDANSTIG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41616-2023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45175</v>
      </c>
      <c r="E905" s="1" t="n">
        <v>46250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25469-2025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45802</v>
      </c>
      <c r="E906" s="1" t="n">
        <v>46250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41074-2023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45173</v>
      </c>
      <c r="E907" s="1" t="n">
        <v>46250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40613-2023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45170</v>
      </c>
      <c r="E908" s="1" t="n">
        <v>46250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4142-2023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44953</v>
      </c>
      <c r="E909" s="1" t="n">
        <v>46250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56733-2024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45628</v>
      </c>
      <c r="E910" s="1" t="n">
        <v>46250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13270-2022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44644</v>
      </c>
      <c r="E911" s="1" t="n">
        <v>46250</v>
      </c>
      <c r="F911" t="inlineStr">
        <is>
          <t>GÄVLEBORGS LÄN</t>
        </is>
      </c>
      <c r="G911" t="inlineStr">
        <is>
          <t>NORDANSTIG</t>
        </is>
      </c>
      <c r="I911" t="n">
        <v>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57977-2024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45631</v>
      </c>
      <c r="E912" s="1" t="n">
        <v>46250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46250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46079</v>
      </c>
      <c r="E914" s="1" t="n">
        <v>46250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25633-2026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46177</v>
      </c>
      <c r="E915" s="1" t="n">
        <v>46250</v>
      </c>
      <c r="F915" t="inlineStr">
        <is>
          <t>GÄVLEBORGS LÄN</t>
        </is>
      </c>
      <c r="G915" t="inlineStr">
        <is>
          <t>NORDANSTIG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16640-2025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45754</v>
      </c>
      <c r="E916" s="1" t="n">
        <v>46250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40261-2023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45169</v>
      </c>
      <c r="E917" s="1" t="n">
        <v>46250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46223</v>
      </c>
      <c r="E918" s="1" t="n">
        <v>46250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11627-2026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46250</v>
      </c>
      <c r="F919" t="inlineStr">
        <is>
          <t>GÄVLEBORGS LÄN</t>
        </is>
      </c>
      <c r="G919" t="inlineStr">
        <is>
          <t>NORDANSTIG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8646-2026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46066</v>
      </c>
      <c r="E920" s="1" t="n">
        <v>46250</v>
      </c>
      <c r="F920" t="inlineStr">
        <is>
          <t>GÄVLEBORGS LÄN</t>
        </is>
      </c>
      <c r="G920" t="inlineStr">
        <is>
          <t>NORDANSTIG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2141-2024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46250</v>
      </c>
      <c r="F921" t="inlineStr">
        <is>
          <t>GÄVLEBORGS LÄN</t>
        </is>
      </c>
      <c r="G921" t="inlineStr">
        <is>
          <t>NORDANSTIG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60285-2024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45642</v>
      </c>
      <c r="E922" s="1" t="n">
        <v>46250</v>
      </c>
      <c r="F922" t="inlineStr">
        <is>
          <t>GÄVLEBORGS LÄN</t>
        </is>
      </c>
      <c r="G922" t="inlineStr">
        <is>
          <t>NORDANSTIG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7012-2025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45701</v>
      </c>
      <c r="E923" s="1" t="n">
        <v>46250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55477-2024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45622</v>
      </c>
      <c r="E924" s="1" t="n">
        <v>46250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4445-2025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45686</v>
      </c>
      <c r="E925" s="1" t="n">
        <v>46250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1526-2024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45306</v>
      </c>
      <c r="E926" s="1" t="n">
        <v>46250</v>
      </c>
      <c r="F926" t="inlineStr">
        <is>
          <t>GÄVLEBORGS LÄN</t>
        </is>
      </c>
      <c r="G926" t="inlineStr">
        <is>
          <t>NORDANSTIG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52120-2022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44873</v>
      </c>
      <c r="E927" s="1" t="n">
        <v>46250</v>
      </c>
      <c r="F927" t="inlineStr">
        <is>
          <t>GÄVLEBORGS LÄN</t>
        </is>
      </c>
      <c r="G927" t="inlineStr">
        <is>
          <t>NORDANSTIG</t>
        </is>
      </c>
      <c r="I927" t="n">
        <v>6.9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31002-2024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45499</v>
      </c>
      <c r="E928" s="1" t="n">
        <v>46250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60675-2024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45644</v>
      </c>
      <c r="E929" s="1" t="n">
        <v>46250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5475-2023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44960</v>
      </c>
      <c r="E930" s="1" t="n">
        <v>46250</v>
      </c>
      <c r="F930" t="inlineStr">
        <is>
          <t>GÄVLEBORGS LÄN</t>
        </is>
      </c>
      <c r="G930" t="inlineStr">
        <is>
          <t>NORDANSTIG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26126-2026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46181</v>
      </c>
      <c r="E931" s="1" t="n">
        <v>46250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55498-2024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46250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7503-2022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44607</v>
      </c>
      <c r="E933" s="1" t="n">
        <v>46250</v>
      </c>
      <c r="F933" t="inlineStr">
        <is>
          <t>GÄVLEBORGS LÄN</t>
        </is>
      </c>
      <c r="G933" t="inlineStr">
        <is>
          <t>NORDANSTIG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26044-2026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46181</v>
      </c>
      <c r="E934" s="1" t="n">
        <v>46250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60520-2023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45259</v>
      </c>
      <c r="E935" s="1" t="n">
        <v>46250</v>
      </c>
      <c r="F935" t="inlineStr">
        <is>
          <t>GÄVLEBORGS LÄN</t>
        </is>
      </c>
      <c r="G935" t="inlineStr">
        <is>
          <t>NORDANSTIG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45309</v>
      </c>
      <c r="E936" s="1" t="n">
        <v>46250</v>
      </c>
      <c r="F936" t="inlineStr">
        <is>
          <t>GÄVLEBORGS LÄN</t>
        </is>
      </c>
      <c r="G936" t="inlineStr">
        <is>
          <t>NORDANSTIG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46250</v>
      </c>
      <c r="F937" t="inlineStr">
        <is>
          <t>GÄVLEBORGS LÄN</t>
        </is>
      </c>
      <c r="G937" t="inlineStr">
        <is>
          <t>NORDANSTIG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31538-2026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46223</v>
      </c>
      <c r="E938" s="1" t="n">
        <v>46250</v>
      </c>
      <c r="F938" t="inlineStr">
        <is>
          <t>GÄVLEBORGS LÄN</t>
        </is>
      </c>
      <c r="G938" t="inlineStr">
        <is>
          <t>NORDANSTIG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14051-2025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45740</v>
      </c>
      <c r="E939" s="1" t="n">
        <v>46250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3640-2026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46250</v>
      </c>
      <c r="F940" t="inlineStr">
        <is>
          <t>GÄVLEBORGS LÄN</t>
        </is>
      </c>
      <c r="G940" t="inlineStr">
        <is>
          <t>NORDANSTIG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25931-2026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46179</v>
      </c>
      <c r="E941" s="1" t="n">
        <v>46250</v>
      </c>
      <c r="F941" t="inlineStr">
        <is>
          <t>GÄVLEBORGS LÄN</t>
        </is>
      </c>
      <c r="G941" t="inlineStr">
        <is>
          <t>NORDANSTIG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25704-2026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46178</v>
      </c>
      <c r="E942" s="1" t="n">
        <v>46250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45812</v>
      </c>
      <c r="E943" s="1" t="n">
        <v>46250</v>
      </c>
      <c r="F943" t="inlineStr">
        <is>
          <t>GÄVLEBORGS LÄN</t>
        </is>
      </c>
      <c r="G943" t="inlineStr">
        <is>
          <t>NORDANSTIG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46226</v>
      </c>
      <c r="E944" s="1" t="n">
        <v>46250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47876-2023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45204</v>
      </c>
      <c r="E945" s="1" t="n">
        <v>46250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38298-2024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45545</v>
      </c>
      <c r="E946" s="1" t="n">
        <v>46250</v>
      </c>
      <c r="F946" t="inlineStr">
        <is>
          <t>GÄVLEBORGS LÄN</t>
        </is>
      </c>
      <c r="G946" t="inlineStr">
        <is>
          <t>NORDANSTIG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51091-2024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45603</v>
      </c>
      <c r="E947" s="1" t="n">
        <v>46250</v>
      </c>
      <c r="F947" t="inlineStr">
        <is>
          <t>GÄVLEBORGS LÄN</t>
        </is>
      </c>
      <c r="G947" t="inlineStr">
        <is>
          <t>NORDANSTIG</t>
        </is>
      </c>
      <c r="H947" t="inlineStr">
        <is>
          <t>SCA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33478-2023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45131</v>
      </c>
      <c r="E948" s="1" t="n">
        <v>46250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27203-2025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45812</v>
      </c>
      <c r="E949" s="1" t="n">
        <v>46250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31708-2026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46226</v>
      </c>
      <c r="E950" s="1" t="n">
        <v>46250</v>
      </c>
      <c r="F950" t="inlineStr">
        <is>
          <t>GÄVLEBORGS LÄN</t>
        </is>
      </c>
      <c r="G950" t="inlineStr">
        <is>
          <t>NORDANSTIG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61418-2024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45646</v>
      </c>
      <c r="E951" s="1" t="n">
        <v>46250</v>
      </c>
      <c r="F951" t="inlineStr">
        <is>
          <t>GÄVLEBORGS LÄN</t>
        </is>
      </c>
      <c r="G951" t="inlineStr">
        <is>
          <t>NORDANSTIG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71442-2021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44540</v>
      </c>
      <c r="E952" s="1" t="n">
        <v>46250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53691-2024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45615</v>
      </c>
      <c r="E953" s="1" t="n">
        <v>46250</v>
      </c>
      <c r="F953" t="inlineStr">
        <is>
          <t>GÄVLEBORGS LÄN</t>
        </is>
      </c>
      <c r="G953" t="inlineStr">
        <is>
          <t>NORDANSTIG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27447-2025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45813</v>
      </c>
      <c r="E954" s="1" t="n">
        <v>46250</v>
      </c>
      <c r="F954" t="inlineStr">
        <is>
          <t>GÄVLEBORGS LÄN</t>
        </is>
      </c>
      <c r="G954" t="inlineStr">
        <is>
          <t>NORDANSTIG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48832-2022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44859</v>
      </c>
      <c r="E955" s="1" t="n">
        <v>46250</v>
      </c>
      <c r="F955" t="inlineStr">
        <is>
          <t>GÄVLEBORGS LÄN</t>
        </is>
      </c>
      <c r="G955" t="inlineStr">
        <is>
          <t>NORDANSTIG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26486-2026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46183</v>
      </c>
      <c r="E956" s="1" t="n">
        <v>46250</v>
      </c>
      <c r="F956" t="inlineStr">
        <is>
          <t>GÄVLEBORGS LÄN</t>
        </is>
      </c>
      <c r="G956" t="inlineStr">
        <is>
          <t>NORDANSTIG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45671</v>
      </c>
      <c r="E957" s="1" t="n">
        <v>46250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411-2025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45663</v>
      </c>
      <c r="E958" s="1" t="n">
        <v>46250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5963-2025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45695</v>
      </c>
      <c r="E959" s="1" t="n">
        <v>46250</v>
      </c>
      <c r="F959" t="inlineStr">
        <is>
          <t>GÄVLEBORGS LÄN</t>
        </is>
      </c>
      <c r="G959" t="inlineStr">
        <is>
          <t>NORDANSTIG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26238-2026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46250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27894-2025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45817</v>
      </c>
      <c r="E961" s="1" t="n">
        <v>46250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46250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46250</v>
      </c>
      <c r="F963" t="inlineStr">
        <is>
          <t>GÄVLEBORGS LÄN</t>
        </is>
      </c>
      <c r="G963" t="inlineStr">
        <is>
          <t>NORDANSTIG</t>
        </is>
      </c>
      <c r="H963" t="inlineStr">
        <is>
          <t>SCA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27841-2025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45817</v>
      </c>
      <c r="E964" s="1" t="n">
        <v>46250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27804-2025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45817</v>
      </c>
      <c r="E965" s="1" t="n">
        <v>46250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26696-2026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46250</v>
      </c>
      <c r="F966" t="inlineStr">
        <is>
          <t>GÄVLEBORGS LÄN</t>
        </is>
      </c>
      <c r="G966" t="inlineStr">
        <is>
          <t>NORDANSTIG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26634-2026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46184</v>
      </c>
      <c r="E967" s="1" t="n">
        <v>46250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58891-2024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45636</v>
      </c>
      <c r="E968" s="1" t="n">
        <v>46250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46299-2023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45197</v>
      </c>
      <c r="E969" s="1" t="n">
        <v>46250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72820-2021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44547</v>
      </c>
      <c r="E970" s="1" t="n">
        <v>46250</v>
      </c>
      <c r="F970" t="inlineStr">
        <is>
          <t>GÄVLEBORGS LÄN</t>
        </is>
      </c>
      <c r="G970" t="inlineStr">
        <is>
          <t>NORDANSTIG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26893-2026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46185</v>
      </c>
      <c r="E971" s="1" t="n">
        <v>46250</v>
      </c>
      <c r="F971" t="inlineStr">
        <is>
          <t>GÄVLEBORGS LÄN</t>
        </is>
      </c>
      <c r="G971" t="inlineStr">
        <is>
          <t>NORDANSTIG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46250</v>
      </c>
      <c r="F972" t="inlineStr">
        <is>
          <t>GÄVLEBORGS LÄN</t>
        </is>
      </c>
      <c r="G972" t="inlineStr">
        <is>
          <t>NORDANSTIG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31732-2026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46227</v>
      </c>
      <c r="E973" s="1" t="n">
        <v>46250</v>
      </c>
      <c r="F973" t="inlineStr">
        <is>
          <t>GÄVLEBORGS LÄN</t>
        </is>
      </c>
      <c r="G973" t="inlineStr">
        <is>
          <t>NORDANSTIG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29275-2025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45824</v>
      </c>
      <c r="E974" s="1" t="n">
        <v>46250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26684-2026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46184</v>
      </c>
      <c r="E975" s="1" t="n">
        <v>46250</v>
      </c>
      <c r="F975" t="inlineStr">
        <is>
          <t>GÄVLEBORGS LÄN</t>
        </is>
      </c>
      <c r="G975" t="inlineStr">
        <is>
          <t>NORDANSTIG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59851-2024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45639</v>
      </c>
      <c r="E976" s="1" t="n">
        <v>46250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45691</v>
      </c>
      <c r="E977" s="1" t="n">
        <v>46250</v>
      </c>
      <c r="F977" t="inlineStr">
        <is>
          <t>GÄVLEBORGS LÄN</t>
        </is>
      </c>
      <c r="G977" t="inlineStr">
        <is>
          <t>NORDANSTIG</t>
        </is>
      </c>
      <c r="I977" t="n">
        <v>4.4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29878-2025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45826</v>
      </c>
      <c r="E978" s="1" t="n">
        <v>46250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30022-2025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45826</v>
      </c>
      <c r="E979" s="1" t="n">
        <v>46250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45687</v>
      </c>
      <c r="E980" s="1" t="n">
        <v>46250</v>
      </c>
      <c r="F980" t="inlineStr">
        <is>
          <t>GÄVLEBORGS LÄN</t>
        </is>
      </c>
      <c r="G980" t="inlineStr">
        <is>
          <t>NORDANSTIG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51740-2023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45222</v>
      </c>
      <c r="E981" s="1" t="n">
        <v>46250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51438-2023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45219</v>
      </c>
      <c r="E982" s="1" t="n">
        <v>46250</v>
      </c>
      <c r="F982" t="inlineStr">
        <is>
          <t>GÄVLEBORGS LÄN</t>
        </is>
      </c>
      <c r="G982" t="inlineStr">
        <is>
          <t>NORDANSTIG</t>
        </is>
      </c>
      <c r="H982" t="inlineStr">
        <is>
          <t>SCA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46250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36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27129-2026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46250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29741-2025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45825</v>
      </c>
      <c r="E985" s="1" t="n">
        <v>46250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41773-2025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45902</v>
      </c>
      <c r="E986" s="1" t="n">
        <v>46250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45622</v>
      </c>
      <c r="E987" s="1" t="n">
        <v>46250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55531-2024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46250</v>
      </c>
      <c r="F988" t="inlineStr">
        <is>
          <t>GÄVLEBORGS LÄN</t>
        </is>
      </c>
      <c r="G988" t="inlineStr">
        <is>
          <t>NORDANSTIG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27149-2026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46250</v>
      </c>
      <c r="F989" t="inlineStr">
        <is>
          <t>GÄVLEBORGS LÄN</t>
        </is>
      </c>
      <c r="G989" t="inlineStr">
        <is>
          <t>NORDANSTIG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27236-2026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46250</v>
      </c>
      <c r="F990" t="inlineStr">
        <is>
          <t>GÄVLEBORGS LÄN</t>
        </is>
      </c>
      <c r="G990" t="inlineStr">
        <is>
          <t>NORDANSTIG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30291-2025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45827</v>
      </c>
      <c r="E991" s="1" t="n">
        <v>46250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46250</v>
      </c>
      <c r="F992" t="inlineStr">
        <is>
          <t>GÄVLEBORGS LÄN</t>
        </is>
      </c>
      <c r="G992" t="inlineStr">
        <is>
          <t>NORDANSTIG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30870-2025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46250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20512-2022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44699</v>
      </c>
      <c r="E994" s="1" t="n">
        <v>46250</v>
      </c>
      <c r="F994" t="inlineStr">
        <is>
          <t>GÄVLEBORGS LÄN</t>
        </is>
      </c>
      <c r="G994" t="inlineStr">
        <is>
          <t>NORDANSTIG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17482-2022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44679</v>
      </c>
      <c r="E995" s="1" t="n">
        <v>46250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46250</v>
      </c>
      <c r="F996" t="inlineStr">
        <is>
          <t>GÄVLEBORGS LÄN</t>
        </is>
      </c>
      <c r="G996" t="inlineStr">
        <is>
          <t>NORDANSTIG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45832</v>
      </c>
      <c r="E997" s="1" t="n">
        <v>46250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31197-2025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45832</v>
      </c>
      <c r="E998" s="1" t="n">
        <v>46250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17271-2022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44678</v>
      </c>
      <c r="E999" s="1" t="n">
        <v>46250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36025-2023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45149</v>
      </c>
      <c r="E1000" s="1" t="n">
        <v>46250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50413-2023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45216</v>
      </c>
      <c r="E1001" s="1" t="n">
        <v>46250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46234</v>
      </c>
      <c r="E1002" s="1" t="n">
        <v>46250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18529-2022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44686</v>
      </c>
      <c r="E1003" s="1" t="n">
        <v>46250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32092-2025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45835</v>
      </c>
      <c r="E1004" s="1" t="n">
        <v>46250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32105-2025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45835</v>
      </c>
      <c r="E1005" s="1" t="n">
        <v>46250</v>
      </c>
      <c r="F1005" t="inlineStr">
        <is>
          <t>GÄVLEBORGS LÄN</t>
        </is>
      </c>
      <c r="G1005" t="inlineStr">
        <is>
          <t>NORDANSTIG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32082-2025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45835</v>
      </c>
      <c r="E1006" s="1" t="n">
        <v>46250</v>
      </c>
      <c r="F1006" t="inlineStr">
        <is>
          <t>GÄVLEBORGS LÄN</t>
        </is>
      </c>
      <c r="G1006" t="inlineStr">
        <is>
          <t>NORDANSTIG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46250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59930-2024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45642</v>
      </c>
      <c r="E1008" s="1" t="n">
        <v>46250</v>
      </c>
      <c r="F1008" t="inlineStr">
        <is>
          <t>GÄVLEBORGS LÄN</t>
        </is>
      </c>
      <c r="G1008" t="inlineStr">
        <is>
          <t>NORDANSTIG</t>
        </is>
      </c>
      <c r="I1008" t="n">
        <v>0.1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40104-2024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45554</v>
      </c>
      <c r="E1009" s="1" t="n">
        <v>46250</v>
      </c>
      <c r="F1009" t="inlineStr">
        <is>
          <t>GÄVLEBORGS LÄN</t>
        </is>
      </c>
      <c r="G1009" t="inlineStr">
        <is>
          <t>NORDANSTIG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32736-2025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45839</v>
      </c>
      <c r="E1010" s="1" t="n">
        <v>46250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33355-2025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45841</v>
      </c>
      <c r="E1011" s="1" t="n">
        <v>46250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27975-2026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46195</v>
      </c>
      <c r="E1012" s="1" t="n">
        <v>46250</v>
      </c>
      <c r="F1012" t="inlineStr">
        <is>
          <t>GÄVLEBORGS LÄN</t>
        </is>
      </c>
      <c r="G1012" t="inlineStr">
        <is>
          <t>NORDANSTIG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33339-2025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45841</v>
      </c>
      <c r="E1013" s="1" t="n">
        <v>46250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33532-2025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45841</v>
      </c>
      <c r="E1014" s="1" t="n">
        <v>46250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27976-2026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46250</v>
      </c>
      <c r="F1015" t="inlineStr">
        <is>
          <t>GÄVLEBORGS LÄN</t>
        </is>
      </c>
      <c r="G1015" t="inlineStr">
        <is>
          <t>NORDANSTIG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27981-2026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46195</v>
      </c>
      <c r="E1016" s="1" t="n">
        <v>46250</v>
      </c>
      <c r="F1016" t="inlineStr">
        <is>
          <t>GÄVLEBORGS LÄN</t>
        </is>
      </c>
      <c r="G1016" t="inlineStr">
        <is>
          <t>NORDANSTIG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32149-2024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45511</v>
      </c>
      <c r="E1017" s="1" t="n">
        <v>46250</v>
      </c>
      <c r="F1017" t="inlineStr">
        <is>
          <t>GÄVLEBORGS LÄN</t>
        </is>
      </c>
      <c r="G1017" t="inlineStr">
        <is>
          <t>NORDANSTIG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34311-2025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46250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34342-2025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46250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46238</v>
      </c>
      <c r="E1020" s="1" t="n">
        <v>46250</v>
      </c>
      <c r="F1020" t="inlineStr">
        <is>
          <t>GÄVLEBORGS LÄN</t>
        </is>
      </c>
      <c r="G1020" t="inlineStr">
        <is>
          <t>NORDANSTIG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30630-2022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44763</v>
      </c>
      <c r="E1021" s="1" t="n">
        <v>46250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31894-2026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46231</v>
      </c>
      <c r="E1022" s="1" t="n">
        <v>46250</v>
      </c>
      <c r="F1022" t="inlineStr">
        <is>
          <t>GÄVLEBORGS LÄN</t>
        </is>
      </c>
      <c r="G1022" t="inlineStr">
        <is>
          <t>NORDANSTIG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28711-2022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44748</v>
      </c>
      <c r="E1023" s="1" t="n">
        <v>46250</v>
      </c>
      <c r="F1023" t="inlineStr">
        <is>
          <t>GÄVLEBORGS LÄN</t>
        </is>
      </c>
      <c r="G1023" t="inlineStr">
        <is>
          <t>NORDANSTIG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14402-2025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45741</v>
      </c>
      <c r="E1024" s="1" t="n">
        <v>46250</v>
      </c>
      <c r="F1024" t="inlineStr">
        <is>
          <t>GÄVLEBORGS LÄN</t>
        </is>
      </c>
      <c r="G1024" t="inlineStr">
        <is>
          <t>NORDANSTIG</t>
        </is>
      </c>
      <c r="I1024" t="n">
        <v>17.1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34728-2025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45848</v>
      </c>
      <c r="E1025" s="1" t="n">
        <v>46250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34788-2025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45848</v>
      </c>
      <c r="E1026" s="1" t="n">
        <v>46250</v>
      </c>
      <c r="F1026" t="inlineStr">
        <is>
          <t>GÄVLEBORGS LÄN</t>
        </is>
      </c>
      <c r="G1026" t="inlineStr">
        <is>
          <t>NORDANSTIG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34694-2025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45848</v>
      </c>
      <c r="E1027" s="1" t="n">
        <v>46250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28529-2026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46250</v>
      </c>
      <c r="F1028" t="inlineStr">
        <is>
          <t>GÄVLEBORGS LÄN</t>
        </is>
      </c>
      <c r="G1028" t="inlineStr">
        <is>
          <t>NORDANSTIG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28370-2026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46196</v>
      </c>
      <c r="E1029" s="1" t="n">
        <v>46250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5968-2025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45695</v>
      </c>
      <c r="E1030" s="1" t="n">
        <v>46250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35707-2025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45860</v>
      </c>
      <c r="E1031" s="1" t="n">
        <v>46250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35652-2025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45859</v>
      </c>
      <c r="E1032" s="1" t="n">
        <v>46250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28391-2026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46196</v>
      </c>
      <c r="E1033" s="1" t="n">
        <v>46250</v>
      </c>
      <c r="F1033" t="inlineStr">
        <is>
          <t>GÄVLEBORGS LÄN</t>
        </is>
      </c>
      <c r="G1033" t="inlineStr">
        <is>
          <t>NORDANSTIG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35733-2025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45860</v>
      </c>
      <c r="E1034" s="1" t="n">
        <v>46250</v>
      </c>
      <c r="F1034" t="inlineStr">
        <is>
          <t>GÄVLEBORGS LÄN</t>
        </is>
      </c>
      <c r="G1034" t="inlineStr">
        <is>
          <t>NORDANSTIG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28226-2026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46250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28777-2026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46198</v>
      </c>
      <c r="E1036" s="1" t="n">
        <v>46250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25821-2026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46178</v>
      </c>
      <c r="E1037" s="1" t="n">
        <v>46250</v>
      </c>
      <c r="F1037" t="inlineStr">
        <is>
          <t>GÄVLEBORGS LÄN</t>
        </is>
      </c>
      <c r="G1037" t="inlineStr">
        <is>
          <t>NORDANSTIG</t>
        </is>
      </c>
      <c r="I1037" t="n">
        <v>11.2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32917-2026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46244</v>
      </c>
      <c r="E1038" s="1" t="n">
        <v>46250</v>
      </c>
      <c r="F1038" t="inlineStr">
        <is>
          <t>GÄVLEBORGS LÄN</t>
        </is>
      </c>
      <c r="G1038" t="inlineStr">
        <is>
          <t>NORDANSTIG</t>
        </is>
      </c>
      <c r="I1038" t="n">
        <v>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28739-2026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46198</v>
      </c>
      <c r="E1039" s="1" t="n">
        <v>46250</v>
      </c>
      <c r="F1039" t="inlineStr">
        <is>
          <t>GÄVLEBORGS LÄN</t>
        </is>
      </c>
      <c r="G1039" t="inlineStr">
        <is>
          <t>NORDANSTIG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32938-2026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46244</v>
      </c>
      <c r="E1040" s="1" t="n">
        <v>46250</v>
      </c>
      <c r="F1040" t="inlineStr">
        <is>
          <t>GÄVLEBORGS LÄN</t>
        </is>
      </c>
      <c r="G1040" t="inlineStr">
        <is>
          <t>NORDANSTIG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28724-2026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46198</v>
      </c>
      <c r="E1041" s="1" t="n">
        <v>46250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28734-2026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46198</v>
      </c>
      <c r="E1042" s="1" t="n">
        <v>46250</v>
      </c>
      <c r="F1042" t="inlineStr">
        <is>
          <t>GÄVLEBORGS LÄN</t>
        </is>
      </c>
      <c r="G1042" t="inlineStr">
        <is>
          <t>NORDANSTIG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32726-2026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46241</v>
      </c>
      <c r="E1043" s="1" t="n">
        <v>46250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46250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29371-2026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46203</v>
      </c>
      <c r="E1045" s="1" t="n">
        <v>46250</v>
      </c>
      <c r="F1045" t="inlineStr">
        <is>
          <t>GÄVLEBORGS LÄN</t>
        </is>
      </c>
      <c r="G1045" t="inlineStr">
        <is>
          <t>NORDANSTIG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29372-2026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46203</v>
      </c>
      <c r="E1046" s="1" t="n">
        <v>46250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30263-2026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46206</v>
      </c>
      <c r="E1047" s="1" t="n">
        <v>46250</v>
      </c>
      <c r="F1047" t="inlineStr">
        <is>
          <t>GÄVLEBORGS LÄN</t>
        </is>
      </c>
      <c r="G1047" t="inlineStr">
        <is>
          <t>NORDANSTIG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29733-2026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46204</v>
      </c>
      <c r="E1048" s="1" t="n">
        <v>46250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30259-2026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46206</v>
      </c>
      <c r="E1049" s="1" t="n">
        <v>46250</v>
      </c>
      <c r="F1049" t="inlineStr">
        <is>
          <t>GÄVLEBORGS LÄN</t>
        </is>
      </c>
      <c r="G1049" t="inlineStr">
        <is>
          <t>NORDANSTIG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30267-2026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46206</v>
      </c>
      <c r="E1050" s="1" t="n">
        <v>46250</v>
      </c>
      <c r="F1050" t="inlineStr">
        <is>
          <t>GÄVLEBORGS LÄN</t>
        </is>
      </c>
      <c r="G1050" t="inlineStr">
        <is>
          <t>NORDANSTIG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46250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46250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46250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46250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46250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46250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46250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46250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46250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46250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46250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46250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46250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46250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46250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46250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46250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46250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46250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2026-08-16T01:46:56Z</dcterms:created>
  <dcterms:modified xmlns:dcterms="http://purl.org/dc/terms/" xmlns:xsi="http://www.w3.org/2001/XMLSchema-instance" xsi:type="dcterms:W3CDTF">2026-08-16T01:46:57Z</dcterms:modified>
</cp:coreProperties>
</file>