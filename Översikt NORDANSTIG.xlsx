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46315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46315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46315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46315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46315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46315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46315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46315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6798-2026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46315</v>
      </c>
      <c r="F16" t="inlineStr">
        <is>
          <t>GÄVLEBORGS LÄN</t>
        </is>
      </c>
      <c r="G16" t="inlineStr">
        <is>
          <t>NORDANSTIG</t>
        </is>
      </c>
      <c r="I16" t="n">
        <v>5.6</v>
      </c>
      <c r="J16" t="n">
        <v>3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Knärot
Ögonpyrola
Blåsippa
Spillkråka</t>
        </is>
      </c>
      <c r="W16">
        <f>HYPERLINK("https://klasma.github.io/Logging_2132/artfynd/A 6798-2026 artfynd.xlsx", "A 6798-2026")</f>
        <v/>
      </c>
      <c r="X16">
        <f>HYPERLINK("https://klasma.github.io/Logging_2132/kartor/A 6798-2026 karta.png", "A 6798-2026")</f>
        <v/>
      </c>
      <c r="Y16">
        <f>HYPERLINK("https://klasma.github.io/Logging_2132/kartor_geotiff/A 6798-2026 georefererad karta.tif", "A 6798-2026")</f>
        <v/>
      </c>
      <c r="Z16">
        <f>HYPERLINK("https://klasma.github.io/Logging_2132/knärot/A 6798-2026 karta knärot.png", "A 6798-2026")</f>
        <v/>
      </c>
      <c r="AA16">
        <f>HYPERLINK("https://klasma.github.io/Logging_2132/klagomål/A 6798-2026 FSC-klagomål.docx", "A 6798-2026")</f>
        <v/>
      </c>
      <c r="AB16">
        <f>HYPERLINK("https://klasma.github.io/Logging_2132/klagomålsmail/A 6798-2026 FSC-klagomål mail.docx", "A 6798-2026")</f>
        <v/>
      </c>
      <c r="AC16">
        <f>HYPERLINK("https://klasma.github.io/Logging_2132/tillsyn/A 6798-2026 tillsynsbegäran.docx", "A 6798-2026")</f>
        <v/>
      </c>
      <c r="AD16">
        <f>HYPERLINK("https://klasma.github.io/Logging_2132/tillsynsmail/A 6798-2026 tillsynsbegäran mail.docx", "A 6798-2026")</f>
        <v/>
      </c>
      <c r="AE16">
        <f>HYPERLINK("https://klasma.github.io/Logging_2132/fåglar/A 6798-2026 prioriterade fågelarter.docx", "A 6798-2026")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46315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46315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46315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46315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46315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46315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46315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46315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46315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46315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46315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46315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46315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62767-2022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44884</v>
      </c>
      <c r="E33" s="1" t="n">
        <v>46315</v>
      </c>
      <c r="F33" t="inlineStr">
        <is>
          <t>GÄVLEBORGS LÄN</t>
        </is>
      </c>
      <c r="G33" t="inlineStr">
        <is>
          <t>NORDANSTIG</t>
        </is>
      </c>
      <c r="H33" t="inlineStr">
        <is>
          <t>SCA</t>
        </is>
      </c>
      <c r="I33" t="n">
        <v>13.3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26</v>
      </c>
      <c r="U33" t="n">
        <v>1</v>
      </c>
      <c r="V33" s="2" t="inlineStr">
        <is>
          <t>Skogsknipprot
Törnskata</t>
        </is>
      </c>
      <c r="W33">
        <f>HYPERLINK("https://klasma.github.io/Logging_2132/artfynd/A 62767-2022 artfynd.xlsx", "A 62767-2022")</f>
        <v/>
      </c>
      <c r="X33">
        <f>HYPERLINK("https://klasma.github.io/Logging_2132/kartor/A 62767-2022 karta.png", "A 62767-2022")</f>
        <v/>
      </c>
      <c r="Y33">
        <f>HYPERLINK("https://klasma.github.io/Logging_2132/kartor_geotiff/A 62767-2022 georefererad karta.tif", "A 62767-2022")</f>
        <v/>
      </c>
      <c r="AA33">
        <f>HYPERLINK("https://klasma.github.io/Logging_2132/klagomål/A 62767-2022 FSC-klagomål.docx", "A 62767-2022")</f>
        <v/>
      </c>
      <c r="AB33">
        <f>HYPERLINK("https://klasma.github.io/Logging_2132/klagomålsmail/A 62767-2022 FSC-klagomål mail.docx", "A 62767-2022")</f>
        <v/>
      </c>
      <c r="AC33">
        <f>HYPERLINK("https://klasma.github.io/Logging_2132/tillsyn/A 62767-2022 tillsynsbegäran.docx", "A 62767-2022")</f>
        <v/>
      </c>
      <c r="AD33">
        <f>HYPERLINK("https://klasma.github.io/Logging_2132/tillsynsmail/A 62767-2022 tillsynsbegäran mail.docx", "A 62767-2022")</f>
        <v/>
      </c>
      <c r="AE33">
        <f>HYPERLINK("https://klasma.github.io/Logging_2132/fåglar/A 62767-2022 prioriterade fågelarter.docx", "A 62767-2022")</f>
        <v/>
      </c>
    </row>
    <row r="34" ht="15" customHeight="1">
      <c r="A34" t="inlineStr">
        <is>
          <t>A 18926-2022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44690</v>
      </c>
      <c r="E34" s="1" t="n">
        <v>46315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11.4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Trana</t>
        </is>
      </c>
      <c r="W34">
        <f>HYPERLINK("https://klasma.github.io/Logging_2132/artfynd/A 18926-2022 artfynd.xlsx", "A 18926-2022")</f>
        <v/>
      </c>
      <c r="X34">
        <f>HYPERLINK("https://klasma.github.io/Logging_2132/kartor/A 18926-2022 karta.png", "A 18926-2022")</f>
        <v/>
      </c>
      <c r="Y34">
        <f>HYPERLINK("https://klasma.github.io/Logging_2132/kartor_geotiff/A 18926-2022 georefererad karta.tif", "A 18926-2022")</f>
        <v/>
      </c>
      <c r="AA34">
        <f>HYPERLINK("https://klasma.github.io/Logging_2132/klagomål/A 18926-2022 FSC-klagomål.docx", "A 18926-2022")</f>
        <v/>
      </c>
      <c r="AB34">
        <f>HYPERLINK("https://klasma.github.io/Logging_2132/klagomålsmail/A 18926-2022 FSC-klagomål mail.docx", "A 18926-2022")</f>
        <v/>
      </c>
      <c r="AC34">
        <f>HYPERLINK("https://klasma.github.io/Logging_2132/tillsyn/A 18926-2022 tillsynsbegäran.docx", "A 18926-2022")</f>
        <v/>
      </c>
      <c r="AD34">
        <f>HYPERLINK("https://klasma.github.io/Logging_2132/tillsynsmail/A 18926-2022 tillsynsbegäran mail.docx", "A 18926-2022")</f>
        <v/>
      </c>
      <c r="AE34">
        <f>HYPERLINK("https://klasma.github.io/Logging_2132/fåglar/A 18926-2022 prioriterade fågelarter.docx", "A 18926-2022")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46315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46315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46315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46315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46315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Smal svampklubba
Fläcknycklar</t>
        </is>
      </c>
      <c r="W39">
        <f>HYPERLINK("https://klasma.github.io/Logging_2132/artfynd/A 31053-2024 artfynd.xlsx", "A 31053-2024")</f>
        <v/>
      </c>
      <c r="X39">
        <f>HYPERLINK("https://klasma.github.io/Logging_2132/kartor/A 31053-2024 karta.png", "A 31053-2024")</f>
        <v/>
      </c>
      <c r="Y39">
        <f>HYPERLINK("https://klasma.github.io/Logging_2132/kartor_geotiff/A 31053-2024 georefererad karta.tif", "A 31053-2024")</f>
        <v/>
      </c>
      <c r="AA39">
        <f>HYPERLINK("https://klasma.github.io/Logging_2132/klagomål/A 31053-2024 FSC-klagomål.docx", "A 31053-2024")</f>
        <v/>
      </c>
      <c r="AB39">
        <f>HYPERLINK("https://klasma.github.io/Logging_2132/klagomålsmail/A 31053-2024 FSC-klagomål mail.docx", "A 31053-2024")</f>
        <v/>
      </c>
      <c r="AC39">
        <f>HYPERLINK("https://klasma.github.io/Logging_2132/tillsyn/A 31053-2024 tillsynsbegäran.docx", "A 31053-2024")</f>
        <v/>
      </c>
      <c r="AD39">
        <f>HYPERLINK("https://klasma.github.io/Logging_2132/tillsynsmail/A 31053-2024 tillsynsbegäran mail.docx", "A 31053-2024")</f>
        <v/>
      </c>
    </row>
    <row r="40" ht="15" customHeight="1">
      <c r="A40" t="inlineStr">
        <is>
          <t>A 3781-2026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46315</v>
      </c>
      <c r="F40" t="inlineStr">
        <is>
          <t>GÄVLEBORGS LÄN</t>
        </is>
      </c>
      <c r="G40" t="inlineStr">
        <is>
          <t>NORDANSTIG</t>
        </is>
      </c>
      <c r="I40" t="n">
        <v>31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Fläcknycklar</t>
        </is>
      </c>
      <c r="W40">
        <f>HYPERLINK("https://klasma.github.io/Logging_2132/artfynd/A 3781-2026 artfynd.xlsx", "A 3781-2026")</f>
        <v/>
      </c>
      <c r="X40">
        <f>HYPERLINK("https://klasma.github.io/Logging_2132/kartor/A 3781-2026 karta.png", "A 3781-2026")</f>
        <v/>
      </c>
      <c r="Y40">
        <f>HYPERLINK("https://klasma.github.io/Logging_2132/kartor_geotiff/A 3781-2026 georefererad karta.tif", "A 3781-2026")</f>
        <v/>
      </c>
      <c r="AA40">
        <f>HYPERLINK("https://klasma.github.io/Logging_2132/klagomål/A 3781-2026 FSC-klagomål.docx", "A 3781-2026")</f>
        <v/>
      </c>
      <c r="AB40">
        <f>HYPERLINK("https://klasma.github.io/Logging_2132/klagomålsmail/A 3781-2026 FSC-klagomål mail.docx", "A 3781-2026")</f>
        <v/>
      </c>
      <c r="AC40">
        <f>HYPERLINK("https://klasma.github.io/Logging_2132/tillsyn/A 3781-2026 tillsynsbegäran.docx", "A 3781-2026")</f>
        <v/>
      </c>
      <c r="AD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46315</v>
      </c>
      <c r="F41" t="inlineStr">
        <is>
          <t>GÄVLEBORGS LÄN</t>
        </is>
      </c>
      <c r="G41" t="inlineStr">
        <is>
          <t>NORDANSTIG</t>
        </is>
      </c>
      <c r="I41" t="n">
        <v>3.4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Aspgelélav
Skinnlav</t>
        </is>
      </c>
      <c r="W41">
        <f>HYPERLINK("https://klasma.github.io/Logging_2132/artfynd/A 3760-2026 artfynd.xlsx", "A 3760-2026")</f>
        <v/>
      </c>
      <c r="X41">
        <f>HYPERLINK("https://klasma.github.io/Logging_2132/kartor/A 3760-2026 karta.png", "A 3760-2026")</f>
        <v/>
      </c>
      <c r="Y41">
        <f>HYPERLINK("https://klasma.github.io/Logging_2132/kartor_geotiff/A 3760-2026 georefererad karta.tif", "A 3760-2026")</f>
        <v/>
      </c>
      <c r="AA41">
        <f>HYPERLINK("https://klasma.github.io/Logging_2132/klagomål/A 3760-2026 FSC-klagomål.docx", "A 3760-2026")</f>
        <v/>
      </c>
      <c r="AB41">
        <f>HYPERLINK("https://klasma.github.io/Logging_2132/klagomålsmail/A 3760-2026 FSC-klagomål mail.docx", "A 3760-2026")</f>
        <v/>
      </c>
      <c r="AC41">
        <f>HYPERLINK("https://klasma.github.io/Logging_2132/tillsyn/A 3760-2026 tillsynsbegäran.docx", "A 3760-2026")</f>
        <v/>
      </c>
      <c r="AD41">
        <f>HYPERLINK("https://klasma.github.io/Logging_2132/tillsynsmail/A 3760-2026 tillsynsbegäran mail.docx", "A 3760-2026")</f>
        <v/>
      </c>
    </row>
    <row r="42" ht="15" customHeight="1">
      <c r="A42" t="inlineStr">
        <is>
          <t>A 4409-2025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45686</v>
      </c>
      <c r="E42" s="1" t="n">
        <v>46315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Lunglav
Luddlav</t>
        </is>
      </c>
      <c r="W42">
        <f>HYPERLINK("https://klasma.github.io/Logging_2132/artfynd/A 4409-2025 artfynd.xlsx", "A 4409-2025")</f>
        <v/>
      </c>
      <c r="X42">
        <f>HYPERLINK("https://klasma.github.io/Logging_2132/kartor/A 4409-2025 karta.png", "A 4409-2025")</f>
        <v/>
      </c>
      <c r="Y42">
        <f>HYPERLINK("https://klasma.github.io/Logging_2132/kartor_geotiff/A 4409-2025 georefererad karta.tif", "A 4409-2025")</f>
        <v/>
      </c>
      <c r="AA42">
        <f>HYPERLINK("https://klasma.github.io/Logging_2132/klagomål/A 4409-2025 FSC-klagomål.docx", "A 4409-2025")</f>
        <v/>
      </c>
      <c r="AB42">
        <f>HYPERLINK("https://klasma.github.io/Logging_2132/klagomålsmail/A 4409-2025 FSC-klagomål mail.docx", "A 4409-2025")</f>
        <v/>
      </c>
      <c r="AC42">
        <f>HYPERLINK("https://klasma.github.io/Logging_2132/tillsyn/A 4409-2025 tillsynsbegäran.docx", "A 4409-2025")</f>
        <v/>
      </c>
      <c r="AD42">
        <f>HYPERLINK("https://klasma.github.io/Logging_2132/tillsynsmail/A 4409-2025 tillsynsbegäran mail.docx", "A 4409-2025")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46315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17006-2026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46114</v>
      </c>
      <c r="E44" s="1" t="n">
        <v>46315</v>
      </c>
      <c r="F44" t="inlineStr">
        <is>
          <t>GÄVLEBORGS LÄN</t>
        </is>
      </c>
      <c r="G44" t="inlineStr">
        <is>
          <t>NORDANSTIG</t>
        </is>
      </c>
      <c r="I44" t="n">
        <v>3.1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13</v>
      </c>
      <c r="U44" t="n">
        <v>0</v>
      </c>
      <c r="V44" s="2" t="inlineStr">
        <is>
          <t>Tjäder
Fläcknycklar</t>
        </is>
      </c>
      <c r="W44">
        <f>HYPERLINK("https://klasma.github.io/Logging_2132/artfynd/A 17006-2026 artfynd.xlsx", "A 17006-2026")</f>
        <v/>
      </c>
      <c r="X44">
        <f>HYPERLINK("https://klasma.github.io/Logging_2132/kartor/A 17006-2026 karta.png", "A 17006-2026")</f>
        <v/>
      </c>
      <c r="Y44">
        <f>HYPERLINK("https://klasma.github.io/Logging_2132/kartor_geotiff/A 17006-2026 georefererad karta.tif", "A 17006-2026")</f>
        <v/>
      </c>
      <c r="AA44">
        <f>HYPERLINK("https://klasma.github.io/Logging_2132/klagomål/A 17006-2026 FSC-klagomål.docx", "A 17006-2026")</f>
        <v/>
      </c>
      <c r="AB44">
        <f>HYPERLINK("https://klasma.github.io/Logging_2132/klagomålsmail/A 17006-2026 FSC-klagomål mail.docx", "A 17006-2026")</f>
        <v/>
      </c>
      <c r="AC44">
        <f>HYPERLINK("https://klasma.github.io/Logging_2132/tillsyn/A 17006-2026 tillsynsbegäran.docx", "A 17006-2026")</f>
        <v/>
      </c>
      <c r="AD44">
        <f>HYPERLINK("https://klasma.github.io/Logging_2132/tillsynsmail/A 17006-2026 tillsynsbegäran mail.docx", "A 17006-2026")</f>
        <v/>
      </c>
      <c r="AE44">
        <f>HYPERLINK("https://klasma.github.io/Logging_2132/fåglar/A 17006-2026 prioriterade fågelarter.docx", "A 17006-2026")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46315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46315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46315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46315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46315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46315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46315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46315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46315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16515-2023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45029</v>
      </c>
      <c r="E54" s="1" t="n">
        <v>46315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HYPERLINK("https://klasma.github.io/Logging_2132/artfynd/A 16515-2023 artfynd.xlsx", "A 16515-2023")</f>
        <v/>
      </c>
      <c r="X54">
        <f>HYPERLINK("https://klasma.github.io/Logging_2132/kartor/A 16515-2023 karta.png", "A 16515-2023")</f>
        <v/>
      </c>
      <c r="Y54">
        <f>HYPERLINK("https://klasma.github.io/Logging_2132/kartor_geotiff/A 16515-2023 georefererad karta.tif", "A 16515-2023")</f>
        <v/>
      </c>
      <c r="AA54">
        <f>HYPERLINK("https://klasma.github.io/Logging_2132/klagomål/A 16515-2023 FSC-klagomål.docx", "A 16515-2023")</f>
        <v/>
      </c>
      <c r="AB54">
        <f>HYPERLINK("https://klasma.github.io/Logging_2132/klagomålsmail/A 16515-2023 FSC-klagomål mail.docx", "A 16515-2023")</f>
        <v/>
      </c>
      <c r="AC54">
        <f>HYPERLINK("https://klasma.github.io/Logging_2132/tillsyn/A 16515-2023 tillsynsbegäran.docx", "A 16515-2023")</f>
        <v/>
      </c>
      <c r="AD54">
        <f>HYPERLINK("https://klasma.github.io/Logging_2132/tillsynsmail/A 16515-2023 tillsynsbegäran mail.docx", "A 16515-2023")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46315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46315</v>
      </c>
      <c r="F56" t="inlineStr">
        <is>
          <t>GÄVLEBORGS LÄN</t>
        </is>
      </c>
      <c r="G56" t="inlineStr">
        <is>
          <t>NORDANSTIG</t>
        </is>
      </c>
      <c r="I56" t="n">
        <v>4.4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HYPERLINK("https://klasma.github.io/Logging_2132/artfynd/A 16809-2022 artfynd.xlsx", "A 16809-2022")</f>
        <v/>
      </c>
      <c r="X56">
        <f>HYPERLINK("https://klasma.github.io/Logging_2132/kartor/A 16809-2022 karta.png", "A 16809-2022")</f>
        <v/>
      </c>
      <c r="Y56">
        <f>HYPERLINK("https://klasma.github.io/Logging_2132/kartor_geotiff/A 16809-2022 georefererad karta.tif", "A 16809-2022")</f>
        <v/>
      </c>
      <c r="AA56">
        <f>HYPERLINK("https://klasma.github.io/Logging_2132/klagomål/A 16809-2022 FSC-klagomål.docx", "A 16809-2022")</f>
        <v/>
      </c>
      <c r="AB56">
        <f>HYPERLINK("https://klasma.github.io/Logging_2132/klagomålsmail/A 16809-2022 FSC-klagomål mail.docx", "A 16809-2022")</f>
        <v/>
      </c>
      <c r="AC56">
        <f>HYPERLINK("https://klasma.github.io/Logging_2132/tillsyn/A 16809-2022 tillsynsbegäran.docx", "A 16809-2022")</f>
        <v/>
      </c>
      <c r="AD56">
        <f>HYPERLINK("https://klasma.github.io/Logging_2132/tillsynsmail/A 16809-2022 tillsynsbegäran mail.docx", "A 16809-2022")</f>
        <v/>
      </c>
    </row>
    <row r="57" ht="15" customHeight="1">
      <c r="A57" t="inlineStr">
        <is>
          <t>A 22041-2022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46315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6.2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Svavelriska</t>
        </is>
      </c>
      <c r="W57">
        <f>HYPERLINK("https://klasma.github.io/Logging_2132/artfynd/A 22041-2022 artfynd.xlsx", "A 22041-2022")</f>
        <v/>
      </c>
      <c r="X57">
        <f>HYPERLINK("https://klasma.github.io/Logging_2132/kartor/A 22041-2022 karta.png", "A 22041-2022")</f>
        <v/>
      </c>
      <c r="Y57">
        <f>HYPERLINK("https://klasma.github.io/Logging_2132/kartor_geotiff/A 22041-2022 georefererad karta.tif", "A 22041-2022")</f>
        <v/>
      </c>
      <c r="AA57">
        <f>HYPERLINK("https://klasma.github.io/Logging_2132/klagomål/A 22041-2022 FSC-klagomål.docx", "A 22041-2022")</f>
        <v/>
      </c>
      <c r="AB57">
        <f>HYPERLINK("https://klasma.github.io/Logging_2132/klagomålsmail/A 22041-2022 FSC-klagomål mail.docx", "A 22041-2022")</f>
        <v/>
      </c>
      <c r="AC57">
        <f>HYPERLINK("https://klasma.github.io/Logging_2132/tillsyn/A 22041-2022 tillsynsbegäran.docx", "A 22041-2022")</f>
        <v/>
      </c>
      <c r="AD57">
        <f>HYPERLINK("https://klasma.github.io/Logging_2132/tillsynsmail/A 22041-2022 tillsynsbegäran mail.docx", "A 22041-2022")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46315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20566-2025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45775</v>
      </c>
      <c r="E59" s="1" t="n">
        <v>46315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HYPERLINK("https://klasma.github.io/Logging_2132/artfynd/A 20566-2025 artfynd.xlsx", "A 20566-2025")</f>
        <v/>
      </c>
      <c r="X59">
        <f>HYPERLINK("https://klasma.github.io/Logging_2132/kartor/A 20566-2025 karta.png", "A 20566-2025")</f>
        <v/>
      </c>
      <c r="Y59">
        <f>HYPERLINK("https://klasma.github.io/Logging_2132/kartor_geotiff/A 20566-2025 georefererad karta.tif", "A 20566-2025")</f>
        <v/>
      </c>
      <c r="AA59">
        <f>HYPERLINK("https://klasma.github.io/Logging_2132/klagomål/A 20566-2025 FSC-klagomål.docx", "A 20566-2025")</f>
        <v/>
      </c>
      <c r="AB59">
        <f>HYPERLINK("https://klasma.github.io/Logging_2132/klagomålsmail/A 20566-2025 FSC-klagomål mail.docx", "A 20566-2025")</f>
        <v/>
      </c>
      <c r="AC59">
        <f>HYPERLINK("https://klasma.github.io/Logging_2132/tillsyn/A 20566-2025 tillsynsbegäran.docx", "A 20566-2025")</f>
        <v/>
      </c>
      <c r="AD59">
        <f>HYPERLINK("https://klasma.github.io/Logging_2132/tillsynsmail/A 20566-2025 tillsynsbegäran mail.docx", "A 20566-2025")</f>
        <v/>
      </c>
    </row>
    <row r="60" ht="15" customHeight="1">
      <c r="A60" t="inlineStr">
        <is>
          <t>A 13089-2025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45734</v>
      </c>
      <c r="E60" s="1" t="n">
        <v>46315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5.5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HYPERLINK("https://klasma.github.io/Logging_2132/artfynd/A 13089-2025 artfynd.xlsx", "A 13089-2025")</f>
        <v/>
      </c>
      <c r="X60">
        <f>HYPERLINK("https://klasma.github.io/Logging_2132/kartor/A 13089-2025 karta.png", "A 13089-2025")</f>
        <v/>
      </c>
      <c r="Y60">
        <f>HYPERLINK("https://klasma.github.io/Logging_2132/kartor_geotiff/A 13089-2025 georefererad karta.tif", "A 13089-2025")</f>
        <v/>
      </c>
      <c r="AA60">
        <f>HYPERLINK("https://klasma.github.io/Logging_2132/klagomål/A 13089-2025 FSC-klagomål.docx", "A 13089-2025")</f>
        <v/>
      </c>
      <c r="AB60">
        <f>HYPERLINK("https://klasma.github.io/Logging_2132/klagomålsmail/A 13089-2025 FSC-klagomål mail.docx", "A 13089-2025")</f>
        <v/>
      </c>
      <c r="AC60">
        <f>HYPERLINK("https://klasma.github.io/Logging_2132/tillsyn/A 13089-2025 tillsynsbegäran.docx", "A 13089-2025")</f>
        <v/>
      </c>
      <c r="AD60">
        <f>HYPERLINK("https://klasma.github.io/Logging_2132/tillsynsmail/A 13089-2025 tillsynsbegäran mail.docx", "A 13089-2025")</f>
        <v/>
      </c>
      <c r="AE60">
        <f>HYPERLINK("https://klasma.github.io/Logging_2132/fåglar/A 13089-2025 prioriterade fågelarter.docx", "A 13089-2025")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46315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46315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46315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46315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46315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11895-2026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46315</v>
      </c>
      <c r="F66" t="inlineStr">
        <is>
          <t>GÄVLEBORGS LÄN</t>
        </is>
      </c>
      <c r="G66" t="inlineStr">
        <is>
          <t>NORDANSTIG</t>
        </is>
      </c>
      <c r="I66" t="n">
        <v>21.2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Sötgräs</t>
        </is>
      </c>
      <c r="W66">
        <f>HYPERLINK("https://klasma.github.io/Logging_2132/artfynd/A 11895-2026 artfynd.xlsx", "A 11895-2026")</f>
        <v/>
      </c>
      <c r="X66">
        <f>HYPERLINK("https://klasma.github.io/Logging_2132/kartor/A 11895-2026 karta.png", "A 11895-2026")</f>
        <v/>
      </c>
      <c r="Y66">
        <f>HYPERLINK("https://klasma.github.io/Logging_2132/kartor_geotiff/A 11895-2026 georefererad karta.tif", "A 11895-2026")</f>
        <v/>
      </c>
      <c r="AA66">
        <f>HYPERLINK("https://klasma.github.io/Logging_2132/klagomål/A 11895-2026 FSC-klagomål.docx", "A 11895-2026")</f>
        <v/>
      </c>
      <c r="AB66">
        <f>HYPERLINK("https://klasma.github.io/Logging_2132/klagomålsmail/A 11895-2026 FSC-klagomål mail.docx", "A 11895-2026")</f>
        <v/>
      </c>
      <c r="AC66">
        <f>HYPERLINK("https://klasma.github.io/Logging_2132/tillsyn/A 11895-2026 tillsynsbegäran.docx", "A 11895-2026")</f>
        <v/>
      </c>
      <c r="AD66">
        <f>HYPERLINK("https://klasma.github.io/Logging_2132/tillsynsmail/A 11895-2026 tillsynsbegäran mail.docx", "A 11895-2026")</f>
        <v/>
      </c>
    </row>
    <row r="67" ht="15" customHeight="1">
      <c r="A67" t="inlineStr">
        <is>
          <t>A 57806-2024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46315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HYPERLINK("https://klasma.github.io/Logging_2132/artfynd/A 57806-2024 artfynd.xlsx", "A 57806-2024")</f>
        <v/>
      </c>
      <c r="X67">
        <f>HYPERLINK("https://klasma.github.io/Logging_2132/kartor/A 57806-2024 karta.png", "A 57806-2024")</f>
        <v/>
      </c>
      <c r="Y67">
        <f>HYPERLINK("https://klasma.github.io/Logging_2132/kartor_geotiff/A 57806-2024 georefererad karta.tif", "A 57806-2024")</f>
        <v/>
      </c>
      <c r="Z67">
        <f>HYPERLINK("https://klasma.github.io/Logging_2132/knärot/A 57806-2024 karta knärot.png", "A 57806-2024")</f>
        <v/>
      </c>
      <c r="AA67">
        <f>HYPERLINK("https://klasma.github.io/Logging_2132/klagomål/A 57806-2024 FSC-klagomål.docx", "A 57806-2024")</f>
        <v/>
      </c>
      <c r="AB67">
        <f>HYPERLINK("https://klasma.github.io/Logging_2132/klagomålsmail/A 57806-2024 FSC-klagomål mail.docx", "A 57806-2024")</f>
        <v/>
      </c>
      <c r="AC67">
        <f>HYPERLINK("https://klasma.github.io/Logging_2132/tillsyn/A 57806-2024 tillsynsbegäran.docx", "A 57806-2024")</f>
        <v/>
      </c>
      <c r="AD67">
        <f>HYPERLINK("https://klasma.github.io/Logging_2132/tillsynsmail/A 57806-2024 tillsynsbegäran mail.docx", "A 57806-2024")</f>
        <v/>
      </c>
    </row>
    <row r="68" ht="15" customHeight="1">
      <c r="A68" t="inlineStr">
        <is>
          <t>A 25625-2026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46315</v>
      </c>
      <c r="F68" t="inlineStr">
        <is>
          <t>GÄVLEBORGS LÄN</t>
        </is>
      </c>
      <c r="G68" t="inlineStr">
        <is>
          <t>NORDANSTIG</t>
        </is>
      </c>
      <c r="H68" t="inlineStr">
        <is>
          <t>SCA</t>
        </is>
      </c>
      <c r="I68" t="n">
        <v>0.7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13</v>
      </c>
      <c r="U68" t="n">
        <v>0</v>
      </c>
      <c r="V68" s="2" t="inlineStr">
        <is>
          <t>Skogsknipprot</t>
        </is>
      </c>
      <c r="W68">
        <f>HYPERLINK("https://klasma.github.io/Logging_2132/artfynd/A 25625-2026 artfynd.xlsx", "A 25625-2026")</f>
        <v/>
      </c>
      <c r="X68">
        <f>HYPERLINK("https://klasma.github.io/Logging_2132/kartor/A 25625-2026 karta.png", "A 25625-2026")</f>
        <v/>
      </c>
      <c r="Y68">
        <f>HYPERLINK("https://klasma.github.io/Logging_2132/kartor_geotiff/A 25625-2026 georefererad karta.tif", "A 25625-2026")</f>
        <v/>
      </c>
      <c r="AA68">
        <f>HYPERLINK("https://klasma.github.io/Logging_2132/klagomål/A 25625-2026 FSC-klagomål.docx", "A 25625-2026")</f>
        <v/>
      </c>
      <c r="AB68">
        <f>HYPERLINK("https://klasma.github.io/Logging_2132/klagomålsmail/A 25625-2026 FSC-klagomål mail.docx", "A 25625-2026")</f>
        <v/>
      </c>
      <c r="AC68">
        <f>HYPERLINK("https://klasma.github.io/Logging_2132/tillsyn/A 25625-2026 tillsynsbegäran.docx", "A 25625-2026")</f>
        <v/>
      </c>
      <c r="AD68">
        <f>HYPERLINK("https://klasma.github.io/Logging_2132/tillsynsmail/A 25625-2026 tillsynsbegäran mail.docx", "A 25625-2026")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46315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46315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46315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3474-2024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46315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0</v>
      </c>
      <c r="V72" s="2" t="inlineStr">
        <is>
          <t>Bredgentiana</t>
        </is>
      </c>
      <c r="W72">
        <f>HYPERLINK("https://klasma.github.io/Logging_2132/artfynd/A 3474-2024 artfynd.xlsx", "A 3474-2024")</f>
        <v/>
      </c>
      <c r="X72">
        <f>HYPERLINK("https://klasma.github.io/Logging_2132/kartor/A 3474-2024 karta.png", "A 3474-2024")</f>
        <v/>
      </c>
      <c r="Y72">
        <f>HYPERLINK("https://klasma.github.io/Logging_2132/kartor_geotiff/A 3474-2024 georefererad karta.tif", "A 3474-2024")</f>
        <v/>
      </c>
      <c r="AA72">
        <f>HYPERLINK("https://klasma.github.io/Logging_2132/klagomål/A 3474-2024 FSC-klagomål.docx", "A 3474-2024")</f>
        <v/>
      </c>
      <c r="AB72">
        <f>HYPERLINK("https://klasma.github.io/Logging_2132/klagomålsmail/A 3474-2024 FSC-klagomål mail.docx", "A 3474-2024")</f>
        <v/>
      </c>
      <c r="AC72">
        <f>HYPERLINK("https://klasma.github.io/Logging_2132/tillsyn/A 3474-2024 tillsynsbegäran.docx", "A 3474-2024")</f>
        <v/>
      </c>
      <c r="AD72">
        <f>HYPERLINK("https://klasma.github.io/Logging_2132/tillsynsmail/A 3474-2024 tillsynsbegäran mail.docx", "A 3474-2024")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46315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14392-2025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46315</v>
      </c>
      <c r="F74" t="inlineStr">
        <is>
          <t>GÄVLEBORGS LÄN</t>
        </is>
      </c>
      <c r="G74" t="inlineStr">
        <is>
          <t>NORDANSTIG</t>
        </is>
      </c>
      <c r="I74" t="n">
        <v>28.6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Violettgrå tagellav</t>
        </is>
      </c>
      <c r="W74">
        <f>HYPERLINK("https://klasma.github.io/Logging_2132/artfynd/A 14392-2025 artfynd.xlsx", "A 14392-2025")</f>
        <v/>
      </c>
      <c r="X74">
        <f>HYPERLINK("https://klasma.github.io/Logging_2132/kartor/A 14392-2025 karta.png", "A 14392-2025")</f>
        <v/>
      </c>
      <c r="Y74">
        <f>HYPERLINK("https://klasma.github.io/Logging_2132/kartor_geotiff/A 14392-2025 georefererad karta.tif", "A 14392-2025")</f>
        <v/>
      </c>
      <c r="AA74">
        <f>HYPERLINK("https://klasma.github.io/Logging_2132/klagomål/A 14392-2025 FSC-klagomål.docx", "A 14392-2025")</f>
        <v/>
      </c>
      <c r="AB74">
        <f>HYPERLINK("https://klasma.github.io/Logging_2132/klagomålsmail/A 14392-2025 FSC-klagomål mail.docx", "A 14392-2025")</f>
        <v/>
      </c>
      <c r="AC74">
        <f>HYPERLINK("https://klasma.github.io/Logging_2132/tillsyn/A 14392-2025 tillsynsbegäran.docx", "A 14392-2025")</f>
        <v/>
      </c>
      <c r="AD74">
        <f>HYPERLINK("https://klasma.github.io/Logging_2132/tillsynsmail/A 14392-2025 tillsynsbegäran mail.docx", "A 14392-2025")</f>
        <v/>
      </c>
    </row>
    <row r="75" ht="15" customHeight="1">
      <c r="A75" t="inlineStr">
        <is>
          <t>A 377-2024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45296</v>
      </c>
      <c r="E75" s="1" t="n">
        <v>46315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HYPERLINK("https://klasma.github.io/Logging_2132/artfynd/A 377-2024 artfynd.xlsx", "A 377-2024")</f>
        <v/>
      </c>
      <c r="X75">
        <f>HYPERLINK("https://klasma.github.io/Logging_2132/kartor/A 377-2024 karta.png", "A 377-2024")</f>
        <v/>
      </c>
      <c r="Y75">
        <f>HYPERLINK("https://klasma.github.io/Logging_2132/kartor_geotiff/A 377-2024 georefererad karta.tif", "A 377-2024")</f>
        <v/>
      </c>
      <c r="AA75">
        <f>HYPERLINK("https://klasma.github.io/Logging_2132/klagomål/A 377-2024 FSC-klagomål.docx", "A 377-2024")</f>
        <v/>
      </c>
      <c r="AB75">
        <f>HYPERLINK("https://klasma.github.io/Logging_2132/klagomålsmail/A 377-2024 FSC-klagomål mail.docx", "A 377-2024")</f>
        <v/>
      </c>
      <c r="AC75">
        <f>HYPERLINK("https://klasma.github.io/Logging_2132/tillsyn/A 377-2024 tillsynsbegäran.docx", "A 377-2024")</f>
        <v/>
      </c>
      <c r="AD75">
        <f>HYPERLINK("https://klasma.github.io/Logging_2132/tillsynsmail/A 377-2024 tillsynsbegäran mail.docx", "A 377-2024")</f>
        <v/>
      </c>
      <c r="AE75">
        <f>HYPERLINK("https://klasma.github.io/Logging_2132/fåglar/A 377-2024 prioriterade fågelarter.docx", "A 377-2024")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46315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46315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46315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46315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46315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46315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44767</v>
      </c>
      <c r="E85" s="1" t="n">
        <v>46315</v>
      </c>
      <c r="F85" t="inlineStr">
        <is>
          <t>GÄVLEBORGS LÄN</t>
        </is>
      </c>
      <c r="G85" t="inlineStr">
        <is>
          <t>NORDANSTIG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46315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46315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46315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46315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46315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46315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46315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46315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46315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46315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46315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46315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46315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46315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46315</v>
      </c>
      <c r="F100" t="inlineStr">
        <is>
          <t>GÄVLEBORGS LÄN</t>
        </is>
      </c>
      <c r="G100" t="inlineStr">
        <is>
          <t>NORDANSTIG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46315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46315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46315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46315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46315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46315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46315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46315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46315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46315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46315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46315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46315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46315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46315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46315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46315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46315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46315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46315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46315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46315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46315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46315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46315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46315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46315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46315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46315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46315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46315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46315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46315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46315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44785</v>
      </c>
      <c r="E137" s="1" t="n">
        <v>46315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46315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46315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46315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46315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46315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46315</v>
      </c>
      <c r="F143" t="inlineStr">
        <is>
          <t>GÄVLEBORGS LÄN</t>
        </is>
      </c>
      <c r="G143" t="inlineStr">
        <is>
          <t>NORDANSTIG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46315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46315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44704</v>
      </c>
      <c r="E146" s="1" t="n">
        <v>46315</v>
      </c>
      <c r="F146" t="inlineStr">
        <is>
          <t>GÄVLEBORGS LÄN</t>
        </is>
      </c>
      <c r="G146" t="inlineStr">
        <is>
          <t>NORDANSTIG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45712</v>
      </c>
      <c r="E147" s="1" t="n">
        <v>46315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46315</v>
      </c>
      <c r="F148" t="inlineStr">
        <is>
          <t>GÄVLEBORGS LÄN</t>
        </is>
      </c>
      <c r="G148" t="inlineStr">
        <is>
          <t>NORDANSTIG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44765</v>
      </c>
      <c r="E149" s="1" t="n">
        <v>46315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45043</v>
      </c>
      <c r="E150" s="1" t="n">
        <v>46315</v>
      </c>
      <c r="F150" t="inlineStr">
        <is>
          <t>GÄVLEBORGS LÄN</t>
        </is>
      </c>
      <c r="G150" t="inlineStr">
        <is>
          <t>NORDANSTIG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46315</v>
      </c>
      <c r="F151" t="inlineStr">
        <is>
          <t>GÄVLEBORGS LÄN</t>
        </is>
      </c>
      <c r="G151" t="inlineStr">
        <is>
          <t>NORDANSTIG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46315</v>
      </c>
      <c r="F152" t="inlineStr">
        <is>
          <t>GÄVLEBORGS LÄN</t>
        </is>
      </c>
      <c r="G152" t="inlineStr">
        <is>
          <t>NORDANSTIG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46315</v>
      </c>
      <c r="F153" t="inlineStr">
        <is>
          <t>GÄVLEBORGS LÄN</t>
        </is>
      </c>
      <c r="G153" t="inlineStr">
        <is>
          <t>NORDANSTIG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46315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46315</v>
      </c>
      <c r="F155" t="inlineStr">
        <is>
          <t>GÄVLEBORGS LÄN</t>
        </is>
      </c>
      <c r="G155" t="inlineStr">
        <is>
          <t>NORDANSTIG</t>
        </is>
      </c>
      <c r="I155" t="n">
        <v>16.7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46315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46315</v>
      </c>
      <c r="F157" t="inlineStr">
        <is>
          <t>GÄVLEBORGS LÄN</t>
        </is>
      </c>
      <c r="G157" t="inlineStr">
        <is>
          <t>NORDANSTIG</t>
        </is>
      </c>
      <c r="H157" t="inlineStr">
        <is>
          <t>SCA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46315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46315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46315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46315</v>
      </c>
      <c r="F161" t="inlineStr">
        <is>
          <t>GÄVLEBORGS LÄN</t>
        </is>
      </c>
      <c r="G161" t="inlineStr">
        <is>
          <t>NORDANSTIG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45566</v>
      </c>
      <c r="E162" s="1" t="n">
        <v>46315</v>
      </c>
      <c r="F162" t="inlineStr">
        <is>
          <t>GÄVLEBORGS LÄN</t>
        </is>
      </c>
      <c r="G162" t="inlineStr">
        <is>
          <t>NORDANSTIG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46315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44945</v>
      </c>
      <c r="E164" s="1" t="n">
        <v>46315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44832</v>
      </c>
      <c r="E165" s="1" t="n">
        <v>46315</v>
      </c>
      <c r="F165" t="inlineStr">
        <is>
          <t>GÄVLEBORGS LÄN</t>
        </is>
      </c>
      <c r="G165" t="inlineStr">
        <is>
          <t>NORDANSTIG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46315</v>
      </c>
      <c r="F166" t="inlineStr">
        <is>
          <t>GÄVLEBORGS LÄN</t>
        </is>
      </c>
      <c r="G166" t="inlineStr">
        <is>
          <t>NORDANSTIG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34339-2023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46315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46315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73748-2021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46315</v>
      </c>
      <c r="F169" t="inlineStr">
        <is>
          <t>GÄVLEBORGS LÄN</t>
        </is>
      </c>
      <c r="G169" t="inlineStr">
        <is>
          <t>NORDANSTIG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46315</v>
      </c>
      <c r="F170" t="inlineStr">
        <is>
          <t>GÄVLEBORGS LÄN</t>
        </is>
      </c>
      <c r="G170" t="inlineStr">
        <is>
          <t>NORDANSTIG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45489</v>
      </c>
      <c r="E171" s="1" t="n">
        <v>46315</v>
      </c>
      <c r="F171" t="inlineStr">
        <is>
          <t>GÄVLEBORGS LÄN</t>
        </is>
      </c>
      <c r="G171" t="inlineStr">
        <is>
          <t>NORDANSTIG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44862</v>
      </c>
      <c r="E172" s="1" t="n">
        <v>46315</v>
      </c>
      <c r="F172" t="inlineStr">
        <is>
          <t>GÄVLEBORGS LÄN</t>
        </is>
      </c>
      <c r="G172" t="inlineStr">
        <is>
          <t>NORDANSTIG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46315</v>
      </c>
      <c r="F173" t="inlineStr">
        <is>
          <t>GÄVLEBORGS LÄN</t>
        </is>
      </c>
      <c r="G173" t="inlineStr">
        <is>
          <t>NORDANSTIG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46315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46315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45504</v>
      </c>
      <c r="E176" s="1" t="n">
        <v>46315</v>
      </c>
      <c r="F176" t="inlineStr">
        <is>
          <t>GÄVLEBORGS LÄN</t>
        </is>
      </c>
      <c r="G176" t="inlineStr">
        <is>
          <t>NORDANSTIG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45499</v>
      </c>
      <c r="E177" s="1" t="n">
        <v>46315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46315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46315</v>
      </c>
      <c r="F179" t="inlineStr">
        <is>
          <t>GÄVLEBORGS LÄN</t>
        </is>
      </c>
      <c r="G179" t="inlineStr">
        <is>
          <t>NORDANSTIG</t>
        </is>
      </c>
      <c r="I179" t="n">
        <v>15.1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45603</v>
      </c>
      <c r="E180" s="1" t="n">
        <v>46315</v>
      </c>
      <c r="F180" t="inlineStr">
        <is>
          <t>GÄVLEBORGS LÄN</t>
        </is>
      </c>
      <c r="G180" t="inlineStr">
        <is>
          <t>NORDANSTIG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46315</v>
      </c>
      <c r="F181" t="inlineStr">
        <is>
          <t>GÄVLEBORGS LÄN</t>
        </is>
      </c>
      <c r="G181" t="inlineStr">
        <is>
          <t>NORDANSTIG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44945</v>
      </c>
      <c r="E182" s="1" t="n">
        <v>46315</v>
      </c>
      <c r="F182" t="inlineStr">
        <is>
          <t>GÄVLEBORGS LÄN</t>
        </is>
      </c>
      <c r="G182" t="inlineStr">
        <is>
          <t>NORDANSTIG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44930</v>
      </c>
      <c r="E183" s="1" t="n">
        <v>46315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46315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46315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46315</v>
      </c>
      <c r="F186" t="inlineStr">
        <is>
          <t>GÄVLEBORGS LÄN</t>
        </is>
      </c>
      <c r="G186" t="inlineStr">
        <is>
          <t>NORDANSTIG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45618</v>
      </c>
      <c r="E187" s="1" t="n">
        <v>46315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45042</v>
      </c>
      <c r="E188" s="1" t="n">
        <v>46315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36464-2024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45537</v>
      </c>
      <c r="E189" s="1" t="n">
        <v>46315</v>
      </c>
      <c r="F189" t="inlineStr">
        <is>
          <t>GÄVLEBORGS LÄN</t>
        </is>
      </c>
      <c r="G189" t="inlineStr">
        <is>
          <t>NORDANSTIG</t>
        </is>
      </c>
      <c r="H189" t="inlineStr">
        <is>
          <t>SCA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46315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46315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74460-2021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44560</v>
      </c>
      <c r="E192" s="1" t="n">
        <v>46315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46315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46315</v>
      </c>
      <c r="F194" t="inlineStr">
        <is>
          <t>GÄVLEBORGS LÄN</t>
        </is>
      </c>
      <c r="G194" t="inlineStr">
        <is>
          <t>NORDANSTIG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46315</v>
      </c>
      <c r="F195" t="inlineStr">
        <is>
          <t>GÄVLEBORGS LÄN</t>
        </is>
      </c>
      <c r="G195" t="inlineStr">
        <is>
          <t>NORDANSTIG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46315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46315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46315</v>
      </c>
      <c r="F198" t="inlineStr">
        <is>
          <t>GÄVLEBORGS LÄN</t>
        </is>
      </c>
      <c r="G198" t="inlineStr">
        <is>
          <t>NORDANSTIG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60839-2023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46315</v>
      </c>
      <c r="F199" t="inlineStr">
        <is>
          <t>GÄVLEBORGS LÄN</t>
        </is>
      </c>
      <c r="G199" t="inlineStr">
        <is>
          <t>NORDANSTIG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45462</v>
      </c>
      <c r="E200" s="1" t="n">
        <v>46315</v>
      </c>
      <c r="F200" t="inlineStr">
        <is>
          <t>GÄVLEBORGS LÄN</t>
        </is>
      </c>
      <c r="G200" t="inlineStr">
        <is>
          <t>NORDANSTIG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46315</v>
      </c>
      <c r="F201" t="inlineStr">
        <is>
          <t>GÄVLEBORGS LÄN</t>
        </is>
      </c>
      <c r="G201" t="inlineStr">
        <is>
          <t>NORDANSTIG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44599</v>
      </c>
      <c r="E202" s="1" t="n">
        <v>46315</v>
      </c>
      <c r="F202" t="inlineStr">
        <is>
          <t>GÄVLEBORGS LÄN</t>
        </is>
      </c>
      <c r="G202" t="inlineStr">
        <is>
          <t>NORDANSTIG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44664</v>
      </c>
      <c r="E203" s="1" t="n">
        <v>46315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SCA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46315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45579</v>
      </c>
      <c r="E205" s="1" t="n">
        <v>46315</v>
      </c>
      <c r="F205" t="inlineStr">
        <is>
          <t>GÄVLEBORGS LÄN</t>
        </is>
      </c>
      <c r="G205" t="inlineStr">
        <is>
          <t>NORDANSTIG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45671</v>
      </c>
      <c r="E206" s="1" t="n">
        <v>46315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45506</v>
      </c>
      <c r="E207" s="1" t="n">
        <v>46315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46315</v>
      </c>
      <c r="F208" t="inlineStr">
        <is>
          <t>GÄVLEBORGS LÄN</t>
        </is>
      </c>
      <c r="G208" t="inlineStr">
        <is>
          <t>NORDANSTIG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45687</v>
      </c>
      <c r="E209" s="1" t="n">
        <v>46315</v>
      </c>
      <c r="F209" t="inlineStr">
        <is>
          <t>GÄVLEBORGS LÄN</t>
        </is>
      </c>
      <c r="G209" t="inlineStr">
        <is>
          <t>NORDANSTIG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44692</v>
      </c>
      <c r="E210" s="1" t="n">
        <v>46315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44659</v>
      </c>
      <c r="E211" s="1" t="n">
        <v>46315</v>
      </c>
      <c r="F211" t="inlineStr">
        <is>
          <t>GÄVLEBORGS LÄN</t>
        </is>
      </c>
      <c r="G211" t="inlineStr">
        <is>
          <t>NORDANSTIG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46315</v>
      </c>
      <c r="F212" t="inlineStr">
        <is>
          <t>GÄVLEBORGS LÄN</t>
        </is>
      </c>
      <c r="G212" t="inlineStr">
        <is>
          <t>NORDANSTIG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46315</v>
      </c>
      <c r="F213" t="inlineStr">
        <is>
          <t>GÄVLEBORGS LÄN</t>
        </is>
      </c>
      <c r="G213" t="inlineStr">
        <is>
          <t>NORDANSTIG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46315</v>
      </c>
      <c r="F214" t="inlineStr">
        <is>
          <t>GÄVLEBORGS LÄN</t>
        </is>
      </c>
      <c r="G214" t="inlineStr">
        <is>
          <t>NORDANSTIG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46315</v>
      </c>
      <c r="F215" t="inlineStr">
        <is>
          <t>GÄVLEBORGS LÄN</t>
        </is>
      </c>
      <c r="G215" t="inlineStr">
        <is>
          <t>NORDANSTIG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46315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46315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44589</v>
      </c>
      <c r="E218" s="1" t="n">
        <v>46315</v>
      </c>
      <c r="F218" t="inlineStr">
        <is>
          <t>GÄVLEBORGS LÄN</t>
        </is>
      </c>
      <c r="G218" t="inlineStr">
        <is>
          <t>NORDANSTIG</t>
        </is>
      </c>
      <c r="I218" t="n">
        <v>12.6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46315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46315</v>
      </c>
      <c r="F220" t="inlineStr">
        <is>
          <t>GÄVLEBORGS LÄN</t>
        </is>
      </c>
      <c r="G220" t="inlineStr">
        <is>
          <t>NORDANSTIG</t>
        </is>
      </c>
      <c r="I220" t="n">
        <v>12.5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45176</v>
      </c>
      <c r="E221" s="1" t="n">
        <v>46315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46315</v>
      </c>
      <c r="F222" t="inlineStr">
        <is>
          <t>GÄVLEBORGS LÄN</t>
        </is>
      </c>
      <c r="G222" t="inlineStr">
        <is>
          <t>NORDANSTIG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46315</v>
      </c>
      <c r="F223" t="inlineStr">
        <is>
          <t>GÄVLEBORGS LÄN</t>
        </is>
      </c>
      <c r="G223" t="inlineStr">
        <is>
          <t>NORDANSTIG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46315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46315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46315</v>
      </c>
      <c r="F226" t="inlineStr">
        <is>
          <t>GÄVLEBORGS LÄN</t>
        </is>
      </c>
      <c r="G226" t="inlineStr">
        <is>
          <t>NORDANSTIG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46315</v>
      </c>
      <c r="F227" t="inlineStr">
        <is>
          <t>GÄVLEBORGS LÄN</t>
        </is>
      </c>
      <c r="G227" t="inlineStr">
        <is>
          <t>NORDANSTIG</t>
        </is>
      </c>
      <c r="H227" t="inlineStr">
        <is>
          <t>SCA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45624</v>
      </c>
      <c r="E228" s="1" t="n">
        <v>46315</v>
      </c>
      <c r="F228" t="inlineStr">
        <is>
          <t>GÄVLEBORGS LÄN</t>
        </is>
      </c>
      <c r="G228" t="inlineStr">
        <is>
          <t>NORDANSTIG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55538-2024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46315</v>
      </c>
      <c r="F229" t="inlineStr">
        <is>
          <t>GÄVLEBORGS LÄN</t>
        </is>
      </c>
      <c r="G229" t="inlineStr">
        <is>
          <t>NORDANSTIG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45582</v>
      </c>
      <c r="E230" s="1" t="n">
        <v>46315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45549-2024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45579</v>
      </c>
      <c r="E231" s="1" t="n">
        <v>46315</v>
      </c>
      <c r="F231" t="inlineStr">
        <is>
          <t>GÄVLEBORGS LÄN</t>
        </is>
      </c>
      <c r="G231" t="inlineStr">
        <is>
          <t>NORDANSTIG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46315</v>
      </c>
      <c r="F232" t="inlineStr">
        <is>
          <t>GÄVLEBORGS LÄN</t>
        </is>
      </c>
      <c r="G232" t="inlineStr">
        <is>
          <t>NORDANSTIG</t>
        </is>
      </c>
      <c r="I232" t="n">
        <v>9.4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45121</v>
      </c>
      <c r="E233" s="1" t="n">
        <v>46315</v>
      </c>
      <c r="F233" t="inlineStr">
        <is>
          <t>GÄVLEBORGS LÄN</t>
        </is>
      </c>
      <c r="G233" t="inlineStr">
        <is>
          <t>NORDANSTIG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46315</v>
      </c>
      <c r="F234" t="inlineStr">
        <is>
          <t>GÄVLEBORGS LÄN</t>
        </is>
      </c>
      <c r="G234" t="inlineStr">
        <is>
          <t>NORDANSTIG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46315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46315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45020</v>
      </c>
      <c r="E237" s="1" t="n">
        <v>46315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46315</v>
      </c>
      <c r="F238" t="inlineStr">
        <is>
          <t>GÄVLEBORGS LÄN</t>
        </is>
      </c>
      <c r="G238" t="inlineStr">
        <is>
          <t>NORDANSTIG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46315</v>
      </c>
      <c r="F239" t="inlineStr">
        <is>
          <t>GÄVLEBORGS LÄN</t>
        </is>
      </c>
      <c r="G239" t="inlineStr">
        <is>
          <t>NORDANSTIG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46315</v>
      </c>
      <c r="F240" t="inlineStr">
        <is>
          <t>GÄVLEBORGS LÄN</t>
        </is>
      </c>
      <c r="G240" t="inlineStr">
        <is>
          <t>NORDANSTIG</t>
        </is>
      </c>
      <c r="I240" t="n">
        <v>17.6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46315</v>
      </c>
      <c r="F241" t="inlineStr">
        <is>
          <t>GÄVLEBORGS LÄN</t>
        </is>
      </c>
      <c r="G241" t="inlineStr">
        <is>
          <t>NORDANSTIG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46315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46315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45140</v>
      </c>
      <c r="E244" s="1" t="n">
        <v>46315</v>
      </c>
      <c r="F244" t="inlineStr">
        <is>
          <t>GÄVLEBORGS LÄN</t>
        </is>
      </c>
      <c r="G244" t="inlineStr">
        <is>
          <t>NORDANSTIG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44704</v>
      </c>
      <c r="E245" s="1" t="n">
        <v>46315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21187-2022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44704</v>
      </c>
      <c r="E246" s="1" t="n">
        <v>46315</v>
      </c>
      <c r="F246" t="inlineStr">
        <is>
          <t>GÄVLEBORGS LÄN</t>
        </is>
      </c>
      <c r="G246" t="inlineStr">
        <is>
          <t>NORDANSTIG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45020</v>
      </c>
      <c r="E247" s="1" t="n">
        <v>46315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59930-2024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45642</v>
      </c>
      <c r="E248" s="1" t="n">
        <v>46315</v>
      </c>
      <c r="F248" t="inlineStr">
        <is>
          <t>GÄVLEBORGS LÄN</t>
        </is>
      </c>
      <c r="G248" t="inlineStr">
        <is>
          <t>NORDANSTIG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38610-2025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45884</v>
      </c>
      <c r="E249" s="1" t="n">
        <v>46315</v>
      </c>
      <c r="F249" t="inlineStr">
        <is>
          <t>GÄVLEBORGS LÄN</t>
        </is>
      </c>
      <c r="G249" t="inlineStr">
        <is>
          <t>NORDANSTIG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46315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46315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46315</v>
      </c>
      <c r="F252" t="inlineStr">
        <is>
          <t>GÄVLEBORGS LÄN</t>
        </is>
      </c>
      <c r="G252" t="inlineStr">
        <is>
          <t>NORDANSTIG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45062</v>
      </c>
      <c r="E253" s="1" t="n">
        <v>46315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46315</v>
      </c>
      <c r="F254" t="inlineStr">
        <is>
          <t>GÄVLEBORGS LÄN</t>
        </is>
      </c>
      <c r="G254" t="inlineStr">
        <is>
          <t>NORDANSTIG</t>
        </is>
      </c>
      <c r="I254" t="n">
        <v>10.8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46315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45439</v>
      </c>
      <c r="E256" s="1" t="n">
        <v>46315</v>
      </c>
      <c r="F256" t="inlineStr">
        <is>
          <t>GÄVLEBORGS LÄN</t>
        </is>
      </c>
      <c r="G256" t="inlineStr">
        <is>
          <t>NORDANSTIG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46315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46315</v>
      </c>
      <c r="F258" t="inlineStr">
        <is>
          <t>GÄVLEBORGS LÄN</t>
        </is>
      </c>
      <c r="G258" t="inlineStr">
        <is>
          <t>NORDANSTIG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46315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46315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38295-2025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45883</v>
      </c>
      <c r="E261" s="1" t="n">
        <v>46315</v>
      </c>
      <c r="F261" t="inlineStr">
        <is>
          <t>GÄVLEBORGS LÄN</t>
        </is>
      </c>
      <c r="G261" t="inlineStr">
        <is>
          <t>NORDANSTIG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45610</v>
      </c>
      <c r="E262" s="1" t="n">
        <v>46315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46315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46315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46315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63786-2025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46019</v>
      </c>
      <c r="E266" s="1" t="n">
        <v>46315</v>
      </c>
      <c r="F266" t="inlineStr">
        <is>
          <t>GÄVLEBORGS LÄN</t>
        </is>
      </c>
      <c r="G266" t="inlineStr">
        <is>
          <t>NORDANSTIG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54156-2024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45616</v>
      </c>
      <c r="E267" s="1" t="n">
        <v>46315</v>
      </c>
      <c r="F267" t="inlineStr">
        <is>
          <t>GÄVLEBORGS LÄN</t>
        </is>
      </c>
      <c r="G267" t="inlineStr">
        <is>
          <t>NORDANSTIG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46315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45509</v>
      </c>
      <c r="E269" s="1" t="n">
        <v>46315</v>
      </c>
      <c r="F269" t="inlineStr">
        <is>
          <t>GÄVLEBORGS LÄN</t>
        </is>
      </c>
      <c r="G269" t="inlineStr">
        <is>
          <t>NORDANSTIG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46030</v>
      </c>
      <c r="E270" s="1" t="n">
        <v>46315</v>
      </c>
      <c r="F270" t="inlineStr">
        <is>
          <t>GÄVLEBORGS LÄN</t>
        </is>
      </c>
      <c r="G270" t="inlineStr">
        <is>
          <t>NORDANSTIG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44999</v>
      </c>
      <c r="E271" s="1" t="n">
        <v>46315</v>
      </c>
      <c r="F271" t="inlineStr">
        <is>
          <t>GÄVLEBORGS LÄN</t>
        </is>
      </c>
      <c r="G271" t="inlineStr">
        <is>
          <t>NORDANSTIG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46315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46315</v>
      </c>
      <c r="F273" t="inlineStr">
        <is>
          <t>GÄVLEBORGS LÄN</t>
        </is>
      </c>
      <c r="G273" t="inlineStr">
        <is>
          <t>NORDANSTIG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46315</v>
      </c>
      <c r="F274" t="inlineStr">
        <is>
          <t>GÄVLEBORGS LÄN</t>
        </is>
      </c>
      <c r="G274" t="inlineStr">
        <is>
          <t>NORDANSTIG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46021</v>
      </c>
      <c r="E275" s="1" t="n">
        <v>46315</v>
      </c>
      <c r="F275" t="inlineStr">
        <is>
          <t>GÄVLEBORGS LÄN</t>
        </is>
      </c>
      <c r="G275" t="inlineStr">
        <is>
          <t>NORDANSTIG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44795</v>
      </c>
      <c r="E276" s="1" t="n">
        <v>46315</v>
      </c>
      <c r="F276" t="inlineStr">
        <is>
          <t>GÄVLEBORGS LÄN</t>
        </is>
      </c>
      <c r="G276" t="inlineStr">
        <is>
          <t>NORDANSTIG</t>
        </is>
      </c>
      <c r="I276" t="n">
        <v>7.8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46315</v>
      </c>
      <c r="F277" t="inlineStr">
        <is>
          <t>GÄVLEBORGS LÄN</t>
        </is>
      </c>
      <c r="G277" t="inlineStr">
        <is>
          <t>NORDANSTIG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46315</v>
      </c>
      <c r="F278" t="inlineStr">
        <is>
          <t>GÄVLEBORGS LÄN</t>
        </is>
      </c>
      <c r="G278" t="inlineStr">
        <is>
          <t>NORDANSTIG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46315</v>
      </c>
      <c r="F279" t="inlineStr">
        <is>
          <t>GÄVLEBORGS LÄN</t>
        </is>
      </c>
      <c r="G279" t="inlineStr">
        <is>
          <t>NORDANSTIG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39597-2025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45890</v>
      </c>
      <c r="E280" s="1" t="n">
        <v>46315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46054</v>
      </c>
      <c r="E281" s="1" t="n">
        <v>46315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45034</v>
      </c>
      <c r="E282" s="1" t="n">
        <v>46315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46315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46033</v>
      </c>
      <c r="E284" s="1" t="n">
        <v>46315</v>
      </c>
      <c r="F284" t="inlineStr">
        <is>
          <t>GÄVLEBORGS LÄN</t>
        </is>
      </c>
      <c r="G284" t="inlineStr">
        <is>
          <t>NORDANSTIG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46315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46315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46315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46315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46315</v>
      </c>
      <c r="F289" t="inlineStr">
        <is>
          <t>GÄVLEBORGS LÄN</t>
        </is>
      </c>
      <c r="G289" t="inlineStr">
        <is>
          <t>NORDANSTIG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46315</v>
      </c>
      <c r="F290" t="inlineStr">
        <is>
          <t>GÄVLEBORGS LÄN</t>
        </is>
      </c>
      <c r="G290" t="inlineStr">
        <is>
          <t>NORDANSTIG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46315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37563-2025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45880</v>
      </c>
      <c r="E292" s="1" t="n">
        <v>46315</v>
      </c>
      <c r="F292" t="inlineStr">
        <is>
          <t>GÄVLEBORGS LÄN</t>
        </is>
      </c>
      <c r="G292" t="inlineStr">
        <is>
          <t>NORDANSTIG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38048-2024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45544</v>
      </c>
      <c r="E293" s="1" t="n">
        <v>46315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45041</v>
      </c>
      <c r="E294" s="1" t="n">
        <v>46315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46315</v>
      </c>
      <c r="F295" t="inlineStr">
        <is>
          <t>GÄVLEBORGS LÄN</t>
        </is>
      </c>
      <c r="G295" t="inlineStr">
        <is>
          <t>NORDANSTIG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46315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19982-2026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46315</v>
      </c>
      <c r="F297" t="inlineStr">
        <is>
          <t>GÄVLEBORGS LÄN</t>
        </is>
      </c>
      <c r="G297" t="inlineStr">
        <is>
          <t>NORDANSTIG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46026</v>
      </c>
      <c r="E298" s="1" t="n">
        <v>46315</v>
      </c>
      <c r="F298" t="inlineStr">
        <is>
          <t>GÄVLEBORGS LÄN</t>
        </is>
      </c>
      <c r="G298" t="inlineStr">
        <is>
          <t>NORDANSTIG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46315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44987</v>
      </c>
      <c r="E300" s="1" t="n">
        <v>46315</v>
      </c>
      <c r="F300" t="inlineStr">
        <is>
          <t>GÄVLEBORGS LÄN</t>
        </is>
      </c>
      <c r="G300" t="inlineStr">
        <is>
          <t>NORDANSTIG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45904</v>
      </c>
      <c r="E301" s="1" t="n">
        <v>46315</v>
      </c>
      <c r="F301" t="inlineStr">
        <is>
          <t>GÄVLEBORGS LÄN</t>
        </is>
      </c>
      <c r="G301" t="inlineStr">
        <is>
          <t>NORDANSTIG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44797</v>
      </c>
      <c r="E302" s="1" t="n">
        <v>46315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46315</v>
      </c>
      <c r="F303" t="inlineStr">
        <is>
          <t>GÄVLEBORGS LÄN</t>
        </is>
      </c>
      <c r="G303" t="inlineStr">
        <is>
          <t>NORDANSTIG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46315</v>
      </c>
      <c r="F304" t="inlineStr">
        <is>
          <t>GÄVLEBORGS LÄN</t>
        </is>
      </c>
      <c r="G304" t="inlineStr">
        <is>
          <t>NORDANSTIG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46315</v>
      </c>
      <c r="F305" t="inlineStr">
        <is>
          <t>GÄVLEBORGS LÄN</t>
        </is>
      </c>
      <c r="G305" t="inlineStr">
        <is>
          <t>NORDANSTIG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46315</v>
      </c>
      <c r="F306" t="inlineStr">
        <is>
          <t>GÄVLEBORGS LÄN</t>
        </is>
      </c>
      <c r="G306" t="inlineStr">
        <is>
          <t>NORDANSTIG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46315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46315</v>
      </c>
      <c r="F308" t="inlineStr">
        <is>
          <t>GÄVLEBORGS LÄN</t>
        </is>
      </c>
      <c r="G308" t="inlineStr">
        <is>
          <t>NORDANSTIG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46315</v>
      </c>
      <c r="F309" t="inlineStr">
        <is>
          <t>GÄVLEBORGS LÄN</t>
        </is>
      </c>
      <c r="G309" t="inlineStr">
        <is>
          <t>NORDANSTIG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46315</v>
      </c>
      <c r="F310" t="inlineStr">
        <is>
          <t>GÄVLEBORGS LÄN</t>
        </is>
      </c>
      <c r="G310" t="inlineStr">
        <is>
          <t>NORDANSTIG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46315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46315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46315</v>
      </c>
      <c r="F313" t="inlineStr">
        <is>
          <t>GÄVLEBORGS LÄN</t>
        </is>
      </c>
      <c r="G313" t="inlineStr">
        <is>
          <t>NORDANSTIG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46315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46315</v>
      </c>
      <c r="F315" t="inlineStr">
        <is>
          <t>GÄVLEBORGS LÄN</t>
        </is>
      </c>
      <c r="G315" t="inlineStr">
        <is>
          <t>NORDANSTIG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46315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46315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42118-2022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44830</v>
      </c>
      <c r="E318" s="1" t="n">
        <v>46315</v>
      </c>
      <c r="F318" t="inlineStr">
        <is>
          <t>GÄVLEBORGS LÄN</t>
        </is>
      </c>
      <c r="G318" t="inlineStr">
        <is>
          <t>NORDANSTIG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45489</v>
      </c>
      <c r="E319" s="1" t="n">
        <v>46315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46315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46315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46315</v>
      </c>
      <c r="F322" t="inlineStr">
        <is>
          <t>GÄVLEBORGS LÄN</t>
        </is>
      </c>
      <c r="G322" t="inlineStr">
        <is>
          <t>NORDANSTIG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44789</v>
      </c>
      <c r="E323" s="1" t="n">
        <v>46315</v>
      </c>
      <c r="F323" t="inlineStr">
        <is>
          <t>GÄVLEBORGS LÄN</t>
        </is>
      </c>
      <c r="G323" t="inlineStr">
        <is>
          <t>NORDANSTIG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44603-2025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46315</v>
      </c>
      <c r="F324" t="inlineStr">
        <is>
          <t>GÄVLEBORGS LÄN</t>
        </is>
      </c>
      <c r="G324" t="inlineStr">
        <is>
          <t>NORDANSTIG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46315</v>
      </c>
      <c r="F325" t="inlineStr">
        <is>
          <t>GÄVLEBORGS LÄN</t>
        </is>
      </c>
      <c r="G325" t="inlineStr">
        <is>
          <t>NORDANSTIG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46315</v>
      </c>
      <c r="F326" t="inlineStr">
        <is>
          <t>GÄVLEBORGS LÄN</t>
        </is>
      </c>
      <c r="G326" t="inlineStr">
        <is>
          <t>NORDANSTIG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46315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46315</v>
      </c>
      <c r="F328" t="inlineStr">
        <is>
          <t>GÄVLEBORGS LÄN</t>
        </is>
      </c>
      <c r="G328" t="inlineStr">
        <is>
          <t>NORDANSTIG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46315</v>
      </c>
      <c r="F329" t="inlineStr">
        <is>
          <t>GÄVLEBORGS LÄN</t>
        </is>
      </c>
      <c r="G329" t="inlineStr">
        <is>
          <t>NORDANSTIG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46315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46315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63145-2023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45273</v>
      </c>
      <c r="E332" s="1" t="n">
        <v>46315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45919</v>
      </c>
      <c r="E333" s="1" t="n">
        <v>46315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46315</v>
      </c>
      <c r="F334" t="inlineStr">
        <is>
          <t>GÄVLEBORGS LÄN</t>
        </is>
      </c>
      <c r="G334" t="inlineStr">
        <is>
          <t>NORDANSTIG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45170</v>
      </c>
      <c r="E335" s="1" t="n">
        <v>46315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46315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46315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46315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46315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44788</v>
      </c>
      <c r="E340" s="1" t="n">
        <v>46315</v>
      </c>
      <c r="F340" t="inlineStr">
        <is>
          <t>GÄVLEBORGS LÄN</t>
        </is>
      </c>
      <c r="G340" t="inlineStr">
        <is>
          <t>NORDANSTIG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46315</v>
      </c>
      <c r="F341" t="inlineStr">
        <is>
          <t>GÄVLEBORGS LÄN</t>
        </is>
      </c>
      <c r="G341" t="inlineStr">
        <is>
          <t>NORDANSTIG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45525</v>
      </c>
      <c r="E342" s="1" t="n">
        <v>46315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46315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45177</v>
      </c>
      <c r="E344" s="1" t="n">
        <v>46315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46315</v>
      </c>
      <c r="F345" t="inlineStr">
        <is>
          <t>GÄVLEBORGS LÄN</t>
        </is>
      </c>
      <c r="G345" t="inlineStr">
        <is>
          <t>NORDANSTIG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45789</v>
      </c>
      <c r="E346" s="1" t="n">
        <v>46315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55.6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46315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46315</v>
      </c>
      <c r="F348" t="inlineStr">
        <is>
          <t>GÄVLEBORGS LÄN</t>
        </is>
      </c>
      <c r="G348" t="inlineStr">
        <is>
          <t>NORDANSTIG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46315</v>
      </c>
      <c r="F349" t="inlineStr">
        <is>
          <t>GÄVLEBORGS LÄN</t>
        </is>
      </c>
      <c r="G349" t="inlineStr">
        <is>
          <t>NORDANSTIG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45912</v>
      </c>
      <c r="E350" s="1" t="n">
        <v>46315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46315</v>
      </c>
      <c r="F351" t="inlineStr">
        <is>
          <t>GÄVLEBORGS LÄN</t>
        </is>
      </c>
      <c r="G351" t="inlineStr">
        <is>
          <t>NORDANSTIG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47544-2025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46315</v>
      </c>
      <c r="F352" t="inlineStr">
        <is>
          <t>GÄVLEBORGS LÄN</t>
        </is>
      </c>
      <c r="G352" t="inlineStr">
        <is>
          <t>NORDANSTIG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46315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46315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46315</v>
      </c>
      <c r="F355" t="inlineStr">
        <is>
          <t>GÄVLEBORGS LÄN</t>
        </is>
      </c>
      <c r="G355" t="inlineStr">
        <is>
          <t>NORDANSTIG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48566-2025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46315</v>
      </c>
      <c r="F356" t="inlineStr">
        <is>
          <t>GÄVLEBORGS LÄN</t>
        </is>
      </c>
      <c r="G356" t="inlineStr">
        <is>
          <t>NORDANSTIG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46315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48724-2025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45936</v>
      </c>
      <c r="E358" s="1" t="n">
        <v>46315</v>
      </c>
      <c r="F358" t="inlineStr">
        <is>
          <t>GÄVLEBORGS LÄN</t>
        </is>
      </c>
      <c r="G358" t="inlineStr">
        <is>
          <t>NORDANSTIG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46315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46315</v>
      </c>
      <c r="F360" t="inlineStr">
        <is>
          <t>GÄVLEBORGS LÄN</t>
        </is>
      </c>
      <c r="G360" t="inlineStr">
        <is>
          <t>NORDANSTIG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38514-2025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45884</v>
      </c>
      <c r="E361" s="1" t="n">
        <v>46315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46315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21118-2026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46146</v>
      </c>
      <c r="E363" s="1" t="n">
        <v>46315</v>
      </c>
      <c r="F363" t="inlineStr">
        <is>
          <t>GÄVLEBORGS LÄN</t>
        </is>
      </c>
      <c r="G363" t="inlineStr">
        <is>
          <t>NORDANSTIG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46315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46315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44573</v>
      </c>
      <c r="E366" s="1" t="n">
        <v>46315</v>
      </c>
      <c r="F366" t="inlineStr">
        <is>
          <t>GÄVLEBORGS LÄN</t>
        </is>
      </c>
      <c r="G366" t="inlineStr">
        <is>
          <t>NORDANSTIG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46315</v>
      </c>
      <c r="F367" t="inlineStr">
        <is>
          <t>GÄVLEBORGS LÄN</t>
        </is>
      </c>
      <c r="G367" t="inlineStr">
        <is>
          <t>NORDANSTIG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46315</v>
      </c>
      <c r="F368" t="inlineStr">
        <is>
          <t>GÄVLEBORGS LÄN</t>
        </is>
      </c>
      <c r="G368" t="inlineStr">
        <is>
          <t>NORDANSTIG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46315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46315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46315</v>
      </c>
      <c r="F371" t="inlineStr">
        <is>
          <t>GÄVLEBORGS LÄN</t>
        </is>
      </c>
      <c r="G371" t="inlineStr">
        <is>
          <t>NORDANSTIG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46315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46315</v>
      </c>
      <c r="F373" t="inlineStr">
        <is>
          <t>GÄVLEBORGS LÄN</t>
        </is>
      </c>
      <c r="G373" t="inlineStr">
        <is>
          <t>NORDANSTIG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46315</v>
      </c>
      <c r="F374" t="inlineStr">
        <is>
          <t>GÄVLEBORGS LÄN</t>
        </is>
      </c>
      <c r="G374" t="inlineStr">
        <is>
          <t>NORDANSTIG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46315</v>
      </c>
      <c r="F375" t="inlineStr">
        <is>
          <t>GÄVLEBORGS LÄN</t>
        </is>
      </c>
      <c r="G375" t="inlineStr">
        <is>
          <t>NORDANSTIG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45044</v>
      </c>
      <c r="E376" s="1" t="n">
        <v>46315</v>
      </c>
      <c r="F376" t="inlineStr">
        <is>
          <t>GÄVLEBORGS LÄN</t>
        </is>
      </c>
      <c r="G376" t="inlineStr">
        <is>
          <t>NORDANSTIG</t>
        </is>
      </c>
      <c r="I376" t="n">
        <v>26.6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46315</v>
      </c>
      <c r="F377" t="inlineStr">
        <is>
          <t>GÄVLEBORGS LÄN</t>
        </is>
      </c>
      <c r="G377" t="inlineStr">
        <is>
          <t>NORDANSTIG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46315</v>
      </c>
      <c r="F378" t="inlineStr">
        <is>
          <t>GÄVLEBORGS LÄN</t>
        </is>
      </c>
      <c r="G378" t="inlineStr">
        <is>
          <t>NORDANSTIG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46119</v>
      </c>
      <c r="E379" s="1" t="n">
        <v>46315</v>
      </c>
      <c r="F379" t="inlineStr">
        <is>
          <t>GÄVLEBORGS LÄN</t>
        </is>
      </c>
      <c r="G379" t="inlineStr">
        <is>
          <t>NORDANSTIG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46315</v>
      </c>
      <c r="F380" t="inlineStr">
        <is>
          <t>GÄVLEBORGS LÄN</t>
        </is>
      </c>
      <c r="G380" t="inlineStr">
        <is>
          <t>NORDANSTIG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46315</v>
      </c>
      <c r="F381" t="inlineStr">
        <is>
          <t>GÄVLEBORGS LÄN</t>
        </is>
      </c>
      <c r="G381" t="inlineStr">
        <is>
          <t>NORDANSTIG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46315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46315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46315</v>
      </c>
      <c r="F384" t="inlineStr">
        <is>
          <t>GÄVLEBORGS LÄN</t>
        </is>
      </c>
      <c r="G384" t="inlineStr">
        <is>
          <t>NORDANSTIG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46315</v>
      </c>
      <c r="F385" t="inlineStr">
        <is>
          <t>GÄVLEBORGS LÄN</t>
        </is>
      </c>
      <c r="G385" t="inlineStr">
        <is>
          <t>NORDANSTIG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46315</v>
      </c>
      <c r="F386" t="inlineStr">
        <is>
          <t>GÄVLEBORGS LÄN</t>
        </is>
      </c>
      <c r="G386" t="inlineStr">
        <is>
          <t>NORDANSTIG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46315</v>
      </c>
      <c r="F387" t="inlineStr">
        <is>
          <t>GÄVLEBORGS LÄN</t>
        </is>
      </c>
      <c r="G387" t="inlineStr">
        <is>
          <t>NORDANSTIG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46315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46315</v>
      </c>
      <c r="F389" t="inlineStr">
        <is>
          <t>GÄVLEBORGS LÄN</t>
        </is>
      </c>
      <c r="G389" t="inlineStr">
        <is>
          <t>NORDANSTIG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46315</v>
      </c>
      <c r="F390" t="inlineStr">
        <is>
          <t>GÄVLEBORGS LÄN</t>
        </is>
      </c>
      <c r="G390" t="inlineStr">
        <is>
          <t>NORDANSTIG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45148</v>
      </c>
      <c r="E391" s="1" t="n">
        <v>46315</v>
      </c>
      <c r="F391" t="inlineStr">
        <is>
          <t>GÄVLEBORGS LÄN</t>
        </is>
      </c>
      <c r="G391" t="inlineStr">
        <is>
          <t>NORDANSTIG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45037</v>
      </c>
      <c r="E392" s="1" t="n">
        <v>46315</v>
      </c>
      <c r="F392" t="inlineStr">
        <is>
          <t>GÄVLEBORGS LÄN</t>
        </is>
      </c>
      <c r="G392" t="inlineStr">
        <is>
          <t>NORDANSTIG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46315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46315</v>
      </c>
      <c r="F394" t="inlineStr">
        <is>
          <t>GÄVLEBORGS LÄN</t>
        </is>
      </c>
      <c r="G394" t="inlineStr">
        <is>
          <t>NORDANSTIG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61419-2024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45646</v>
      </c>
      <c r="E395" s="1" t="n">
        <v>46315</v>
      </c>
      <c r="F395" t="inlineStr">
        <is>
          <t>GÄVLEBORGS LÄN</t>
        </is>
      </c>
      <c r="G395" t="inlineStr">
        <is>
          <t>NORDANSTIG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46315</v>
      </c>
      <c r="F396" t="inlineStr">
        <is>
          <t>GÄVLEBORGS LÄN</t>
        </is>
      </c>
      <c r="G396" t="inlineStr">
        <is>
          <t>NORDANSTIG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46315</v>
      </c>
      <c r="F397" t="inlineStr">
        <is>
          <t>GÄVLEBORGS LÄN</t>
        </is>
      </c>
      <c r="G397" t="inlineStr">
        <is>
          <t>NORDANSTIG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45947</v>
      </c>
      <c r="E398" s="1" t="n">
        <v>46315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46315</v>
      </c>
      <c r="F399" t="inlineStr">
        <is>
          <t>GÄVLEBORGS LÄN</t>
        </is>
      </c>
      <c r="G399" t="inlineStr">
        <is>
          <t>NORDANSTIG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46315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44900</v>
      </c>
      <c r="E401" s="1" t="n">
        <v>46315</v>
      </c>
      <c r="F401" t="inlineStr">
        <is>
          <t>GÄVLEBORGS LÄN</t>
        </is>
      </c>
      <c r="G401" t="inlineStr">
        <is>
          <t>NORDANSTIG</t>
        </is>
      </c>
      <c r="H401" t="inlineStr">
        <is>
          <t>SCA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46315</v>
      </c>
      <c r="F402" t="inlineStr">
        <is>
          <t>GÄVLEBORGS LÄN</t>
        </is>
      </c>
      <c r="G402" t="inlineStr">
        <is>
          <t>NORDANSTIG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44869</v>
      </c>
      <c r="E403" s="1" t="n">
        <v>46315</v>
      </c>
      <c r="F403" t="inlineStr">
        <is>
          <t>GÄVLEBORGS LÄN</t>
        </is>
      </c>
      <c r="G403" t="inlineStr">
        <is>
          <t>NORDANSTIG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46315</v>
      </c>
      <c r="F404" t="inlineStr">
        <is>
          <t>GÄVLEBORGS LÄN</t>
        </is>
      </c>
      <c r="G404" t="inlineStr">
        <is>
          <t>NORDANSTIG</t>
        </is>
      </c>
      <c r="I404" t="n">
        <v>30.9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51464-2025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45950</v>
      </c>
      <c r="E405" s="1" t="n">
        <v>46315</v>
      </c>
      <c r="F405" t="inlineStr">
        <is>
          <t>GÄVLEBORGS LÄN</t>
        </is>
      </c>
      <c r="G405" t="inlineStr">
        <is>
          <t>NORDANSTIG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45297</v>
      </c>
      <c r="E406" s="1" t="n">
        <v>46315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45951</v>
      </c>
      <c r="E407" s="1" t="n">
        <v>46315</v>
      </c>
      <c r="F407" t="inlineStr">
        <is>
          <t>GÄVLEBORGS LÄN</t>
        </is>
      </c>
      <c r="G407" t="inlineStr">
        <is>
          <t>NORDANSTIG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46315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46315</v>
      </c>
      <c r="F409" t="inlineStr">
        <is>
          <t>GÄVLEBORGS LÄN</t>
        </is>
      </c>
      <c r="G409" t="inlineStr">
        <is>
          <t>NORDANSTIG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45573</v>
      </c>
      <c r="E410" s="1" t="n">
        <v>46315</v>
      </c>
      <c r="F410" t="inlineStr">
        <is>
          <t>GÄVLEBORGS LÄN</t>
        </is>
      </c>
      <c r="G410" t="inlineStr">
        <is>
          <t>NORDANSTIG</t>
        </is>
      </c>
      <c r="I410" t="n">
        <v>10.7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46315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32635-2022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44783</v>
      </c>
      <c r="E412" s="1" t="n">
        <v>46315</v>
      </c>
      <c r="F412" t="inlineStr">
        <is>
          <t>GÄVLEBORGS LÄN</t>
        </is>
      </c>
      <c r="G412" t="inlineStr">
        <is>
          <t>NORDANSTIG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46315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46315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46149</v>
      </c>
      <c r="E415" s="1" t="n">
        <v>46315</v>
      </c>
      <c r="F415" t="inlineStr">
        <is>
          <t>GÄVLEBORGS LÄN</t>
        </is>
      </c>
      <c r="G415" t="inlineStr">
        <is>
          <t>NORDANSTIG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21661-2026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46149</v>
      </c>
      <c r="E416" s="1" t="n">
        <v>46315</v>
      </c>
      <c r="F416" t="inlineStr">
        <is>
          <t>GÄVLEBORGS LÄN</t>
        </is>
      </c>
      <c r="G416" t="inlineStr">
        <is>
          <t>NORDANSTIG</t>
        </is>
      </c>
      <c r="I416" t="n">
        <v>10.7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46315</v>
      </c>
      <c r="F417" t="inlineStr">
        <is>
          <t>GÄVLEBORGS LÄN</t>
        </is>
      </c>
      <c r="G417" t="inlineStr">
        <is>
          <t>NORDANSTIG</t>
        </is>
      </c>
      <c r="I417" t="n">
        <v>15.6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46315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46052</v>
      </c>
      <c r="E419" s="1" t="n">
        <v>46315</v>
      </c>
      <c r="F419" t="inlineStr">
        <is>
          <t>GÄVLEBORGS LÄN</t>
        </is>
      </c>
      <c r="G419" t="inlineStr">
        <is>
          <t>NORDANSTIG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46026</v>
      </c>
      <c r="E420" s="1" t="n">
        <v>46315</v>
      </c>
      <c r="F420" t="inlineStr">
        <is>
          <t>GÄVLEBORGS LÄN</t>
        </is>
      </c>
      <c r="G420" t="inlineStr">
        <is>
          <t>NORDANSTIG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46315</v>
      </c>
      <c r="F421" t="inlineStr">
        <is>
          <t>GÄVLEBORGS LÄN</t>
        </is>
      </c>
      <c r="G421" t="inlineStr">
        <is>
          <t>NORDANSTIG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46315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45959</v>
      </c>
      <c r="E423" s="1" t="n">
        <v>46315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46315</v>
      </c>
      <c r="F424" t="inlineStr">
        <is>
          <t>GÄVLEBORGS LÄN</t>
        </is>
      </c>
      <c r="G424" t="inlineStr">
        <is>
          <t>NORDANSTIG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46315</v>
      </c>
      <c r="F425" t="inlineStr">
        <is>
          <t>GÄVLEBORGS LÄN</t>
        </is>
      </c>
      <c r="G425" t="inlineStr">
        <is>
          <t>NORDANSTIG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51560-2023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46315</v>
      </c>
      <c r="F426" t="inlineStr">
        <is>
          <t>GÄVLEBORGS LÄN</t>
        </is>
      </c>
      <c r="G426" t="inlineStr">
        <is>
          <t>NORDANSTIG</t>
        </is>
      </c>
      <c r="I426" t="n">
        <v>26.9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46315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60869-2024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45644</v>
      </c>
      <c r="E428" s="1" t="n">
        <v>46315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64835-2021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44512</v>
      </c>
      <c r="E429" s="1" t="n">
        <v>46315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46315</v>
      </c>
      <c r="F430" t="inlineStr">
        <is>
          <t>GÄVLEBORGS LÄN</t>
        </is>
      </c>
      <c r="G430" t="inlineStr">
        <is>
          <t>NORDANSTIG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46315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46315</v>
      </c>
      <c r="F432" t="inlineStr">
        <is>
          <t>GÄVLEBORGS LÄN</t>
        </is>
      </c>
      <c r="G432" t="inlineStr">
        <is>
          <t>NORDANSTIG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14866-2024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45397</v>
      </c>
      <c r="E433" s="1" t="n">
        <v>46315</v>
      </c>
      <c r="F433" t="inlineStr">
        <is>
          <t>GÄVLEBORGS LÄN</t>
        </is>
      </c>
      <c r="G433" t="inlineStr">
        <is>
          <t>NORDANSTIG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55186-2025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45968</v>
      </c>
      <c r="E434" s="1" t="n">
        <v>46315</v>
      </c>
      <c r="F434" t="inlineStr">
        <is>
          <t>GÄVLEBORGS LÄN</t>
        </is>
      </c>
      <c r="G434" t="inlineStr">
        <is>
          <t>NORDANSTIG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65039-2023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45287</v>
      </c>
      <c r="E435" s="1" t="n">
        <v>46315</v>
      </c>
      <c r="F435" t="inlineStr">
        <is>
          <t>GÄVLEBORGS LÄN</t>
        </is>
      </c>
      <c r="G435" t="inlineStr">
        <is>
          <t>NORDANSTIG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46315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46315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46315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46315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46315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46315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46315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46315</v>
      </c>
      <c r="F443" t="inlineStr">
        <is>
          <t>GÄVLEBORGS LÄN</t>
        </is>
      </c>
      <c r="G443" t="inlineStr">
        <is>
          <t>NORDANSTIG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46157</v>
      </c>
      <c r="E444" s="1" t="n">
        <v>46315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55964-2025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46315</v>
      </c>
      <c r="F445" t="inlineStr">
        <is>
          <t>GÄVLEBORGS LÄN</t>
        </is>
      </c>
      <c r="G445" t="inlineStr">
        <is>
          <t>NORDANSTIG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56056-2025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46315</v>
      </c>
      <c r="F446" t="inlineStr">
        <is>
          <t>GÄVLEBORGS LÄN</t>
        </is>
      </c>
      <c r="G446" t="inlineStr">
        <is>
          <t>NORDANSTIG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24106-2023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45079</v>
      </c>
      <c r="E447" s="1" t="n">
        <v>46315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46315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46315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46315</v>
      </c>
      <c r="F450" t="inlineStr">
        <is>
          <t>GÄVLEBORGS LÄN</t>
        </is>
      </c>
      <c r="G450" t="inlineStr">
        <is>
          <t>NORDANSTIG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62816-2023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46315</v>
      </c>
      <c r="F451" t="inlineStr">
        <is>
          <t>GÄVLEBORGS LÄN</t>
        </is>
      </c>
      <c r="G451" t="inlineStr">
        <is>
          <t>NORDANSTIG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46315</v>
      </c>
      <c r="F452" t="inlineStr">
        <is>
          <t>GÄVLEBORGS LÄN</t>
        </is>
      </c>
      <c r="G452" t="inlineStr">
        <is>
          <t>NORDANSTIG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44938</v>
      </c>
      <c r="E453" s="1" t="n">
        <v>46315</v>
      </c>
      <c r="F453" t="inlineStr">
        <is>
          <t>GÄVLEBORGS LÄN</t>
        </is>
      </c>
      <c r="G453" t="inlineStr">
        <is>
          <t>NORDANSTIG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23002-2026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46160</v>
      </c>
      <c r="E454" s="1" t="n">
        <v>46315</v>
      </c>
      <c r="F454" t="inlineStr">
        <is>
          <t>GÄVLEBORGS LÄN</t>
        </is>
      </c>
      <c r="G454" t="inlineStr">
        <is>
          <t>NORDANSTIG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46315</v>
      </c>
      <c r="F455" t="inlineStr">
        <is>
          <t>GÄVLEBORGS LÄN</t>
        </is>
      </c>
      <c r="G455" t="inlineStr">
        <is>
          <t>NORDANSTIG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65208-2023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45289</v>
      </c>
      <c r="E456" s="1" t="n">
        <v>46315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57559-2025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45980</v>
      </c>
      <c r="E457" s="1" t="n">
        <v>46315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57558-2025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45980</v>
      </c>
      <c r="E458" s="1" t="n">
        <v>46315</v>
      </c>
      <c r="F458" t="inlineStr">
        <is>
          <t>GÄVLEBORGS LÄN</t>
        </is>
      </c>
      <c r="G458" t="inlineStr">
        <is>
          <t>NORDANSTIG</t>
        </is>
      </c>
      <c r="H458" t="inlineStr">
        <is>
          <t>SCA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46315</v>
      </c>
      <c r="F459" t="inlineStr">
        <is>
          <t>GÄVLEBORGS LÄN</t>
        </is>
      </c>
      <c r="G459" t="inlineStr">
        <is>
          <t>NORDANSTIG</t>
        </is>
      </c>
      <c r="H459" t="inlineStr">
        <is>
          <t>SCA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45604</v>
      </c>
      <c r="E460" s="1" t="n">
        <v>46315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19906-2026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46136</v>
      </c>
      <c r="E461" s="1" t="n">
        <v>46315</v>
      </c>
      <c r="F461" t="inlineStr">
        <is>
          <t>GÄVLEBORGS LÄN</t>
        </is>
      </c>
      <c r="G461" t="inlineStr">
        <is>
          <t>NORDANSTIG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46315</v>
      </c>
      <c r="F462" t="inlineStr">
        <is>
          <t>GÄVLEBORGS LÄN</t>
        </is>
      </c>
      <c r="G462" t="inlineStr">
        <is>
          <t>NORDANSTIG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57875-2025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46315</v>
      </c>
      <c r="F463" t="inlineStr">
        <is>
          <t>GÄVLEBORGS LÄN</t>
        </is>
      </c>
      <c r="G463" t="inlineStr">
        <is>
          <t>NORDANSTIG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62089-2021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44502</v>
      </c>
      <c r="E464" s="1" t="n">
        <v>46315</v>
      </c>
      <c r="F464" t="inlineStr">
        <is>
          <t>GÄVLEBORGS LÄN</t>
        </is>
      </c>
      <c r="G464" t="inlineStr">
        <is>
          <t>NORDANSTIG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20747-2023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45058</v>
      </c>
      <c r="E465" s="1" t="n">
        <v>46315</v>
      </c>
      <c r="F465" t="inlineStr">
        <is>
          <t>GÄVLEBORGS LÄN</t>
        </is>
      </c>
      <c r="G465" t="inlineStr">
        <is>
          <t>NORDANSTIG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46051</v>
      </c>
      <c r="E466" s="1" t="n">
        <v>46315</v>
      </c>
      <c r="F466" t="inlineStr">
        <is>
          <t>GÄVLEBORGS LÄN</t>
        </is>
      </c>
      <c r="G466" t="inlineStr">
        <is>
          <t>NORDANSTIG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46315</v>
      </c>
      <c r="F467" t="inlineStr">
        <is>
          <t>GÄVLEBORGS LÄN</t>
        </is>
      </c>
      <c r="G467" t="inlineStr">
        <is>
          <t>NORDANSTIG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45041</v>
      </c>
      <c r="E468" s="1" t="n">
        <v>46315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46315</v>
      </c>
      <c r="F469" t="inlineStr">
        <is>
          <t>GÄVLEBORGS LÄN</t>
        </is>
      </c>
      <c r="G469" t="inlineStr">
        <is>
          <t>NORDANSTIG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46315</v>
      </c>
      <c r="F470" t="inlineStr">
        <is>
          <t>GÄVLEBORGS LÄN</t>
        </is>
      </c>
      <c r="G470" t="inlineStr">
        <is>
          <t>NORDANSTIG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11087-2022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44628</v>
      </c>
      <c r="E471" s="1" t="n">
        <v>46315</v>
      </c>
      <c r="F471" t="inlineStr">
        <is>
          <t>GÄVLEBORGS LÄN</t>
        </is>
      </c>
      <c r="G471" t="inlineStr">
        <is>
          <t>NORDANSTIG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46315</v>
      </c>
      <c r="F472" t="inlineStr">
        <is>
          <t>GÄVLEBORGS LÄN</t>
        </is>
      </c>
      <c r="G472" t="inlineStr">
        <is>
          <t>NORDANSTIG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46315</v>
      </c>
      <c r="F473" t="inlineStr">
        <is>
          <t>GÄVLEBORGS LÄN</t>
        </is>
      </c>
      <c r="G473" t="inlineStr">
        <is>
          <t>NORDANSTIG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45985</v>
      </c>
      <c r="E474" s="1" t="n">
        <v>46315</v>
      </c>
      <c r="F474" t="inlineStr">
        <is>
          <t>GÄVLEBORGS LÄN</t>
        </is>
      </c>
      <c r="G474" t="inlineStr">
        <is>
          <t>NORDANSTIG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46315</v>
      </c>
      <c r="F475" t="inlineStr">
        <is>
          <t>GÄVLEBORGS LÄN</t>
        </is>
      </c>
      <c r="G475" t="inlineStr">
        <is>
          <t>NORDANSTIG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45601</v>
      </c>
      <c r="E476" s="1" t="n">
        <v>46315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23039-2026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46315</v>
      </c>
      <c r="F477" t="inlineStr">
        <is>
          <t>GÄVLEBORGS LÄN</t>
        </is>
      </c>
      <c r="G477" t="inlineStr">
        <is>
          <t>NORDANSTIG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46315</v>
      </c>
      <c r="F478" t="inlineStr">
        <is>
          <t>GÄVLEBORGS LÄN</t>
        </is>
      </c>
      <c r="G478" t="inlineStr">
        <is>
          <t>NORDANSTIG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45141</v>
      </c>
      <c r="E479" s="1" t="n">
        <v>46315</v>
      </c>
      <c r="F479" t="inlineStr">
        <is>
          <t>GÄVLEBORGS LÄN</t>
        </is>
      </c>
      <c r="G479" t="inlineStr">
        <is>
          <t>NORDANSTIG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45343</v>
      </c>
      <c r="E480" s="1" t="n">
        <v>46315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59008-2025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45987</v>
      </c>
      <c r="E481" s="1" t="n">
        <v>46315</v>
      </c>
      <c r="F481" t="inlineStr">
        <is>
          <t>GÄVLEBORGS LÄN</t>
        </is>
      </c>
      <c r="G481" t="inlineStr">
        <is>
          <t>NORDANSTIG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44601</v>
      </c>
      <c r="E482" s="1" t="n">
        <v>46315</v>
      </c>
      <c r="F482" t="inlineStr">
        <is>
          <t>GÄVLEBORGS LÄN</t>
        </is>
      </c>
      <c r="G482" t="inlineStr">
        <is>
          <t>NORDANSTIG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45120</v>
      </c>
      <c r="E483" s="1" t="n">
        <v>46315</v>
      </c>
      <c r="F483" t="inlineStr">
        <is>
          <t>GÄVLEBORGS LÄN</t>
        </is>
      </c>
      <c r="G483" t="inlineStr">
        <is>
          <t>NORDANSTIG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25402-2024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45463</v>
      </c>
      <c r="E484" s="1" t="n">
        <v>46315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45525</v>
      </c>
      <c r="E485" s="1" t="n">
        <v>46315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42796-2024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46315</v>
      </c>
      <c r="F486" t="inlineStr">
        <is>
          <t>GÄVLEBORGS LÄN</t>
        </is>
      </c>
      <c r="G486" t="inlineStr">
        <is>
          <t>NORDANSTIG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49455-2024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46315</v>
      </c>
      <c r="F487" t="inlineStr">
        <is>
          <t>GÄVLEBORGS LÄN</t>
        </is>
      </c>
      <c r="G487" t="inlineStr">
        <is>
          <t>NORDANSTIG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44601</v>
      </c>
      <c r="E488" s="1" t="n">
        <v>46315</v>
      </c>
      <c r="F488" t="inlineStr">
        <is>
          <t>GÄVLEBORGS LÄN</t>
        </is>
      </c>
      <c r="G488" t="inlineStr">
        <is>
          <t>NORDANSTIG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59997-2025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46315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46315</v>
      </c>
      <c r="F490" t="inlineStr">
        <is>
          <t>GÄVLEBORGS LÄN</t>
        </is>
      </c>
      <c r="G490" t="inlineStr">
        <is>
          <t>NORDANSTIG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45618</v>
      </c>
      <c r="E491" s="1" t="n">
        <v>46315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46315</v>
      </c>
      <c r="F492" t="inlineStr">
        <is>
          <t>GÄVLEBORGS LÄN</t>
        </is>
      </c>
      <c r="G492" t="inlineStr">
        <is>
          <t>NORDANSTIG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62646-2023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46315</v>
      </c>
      <c r="F493" t="inlineStr">
        <is>
          <t>GÄVLEBORGS LÄN</t>
        </is>
      </c>
      <c r="G493" t="inlineStr">
        <is>
          <t>NORDANSTIG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60193-2024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46315</v>
      </c>
      <c r="F494" t="inlineStr">
        <is>
          <t>GÄVLEBORGS LÄN</t>
        </is>
      </c>
      <c r="G494" t="inlineStr">
        <is>
          <t>NORDANSTIG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23764-2026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46164</v>
      </c>
      <c r="E495" s="1" t="n">
        <v>46315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46315</v>
      </c>
      <c r="F496" t="inlineStr">
        <is>
          <t>GÄVLEBORGS LÄN</t>
        </is>
      </c>
      <c r="G496" t="inlineStr">
        <is>
          <t>NORDANSTIG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23506-2026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46315</v>
      </c>
      <c r="F497" t="inlineStr">
        <is>
          <t>GÄVLEBORGS LÄN</t>
        </is>
      </c>
      <c r="G497" t="inlineStr">
        <is>
          <t>NORDANSTIG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44603</v>
      </c>
      <c r="E498" s="1" t="n">
        <v>46315</v>
      </c>
      <c r="F498" t="inlineStr">
        <is>
          <t>GÄVLEBORGS LÄN</t>
        </is>
      </c>
      <c r="G498" t="inlineStr">
        <is>
          <t>NORDANSTIG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46164</v>
      </c>
      <c r="E499" s="1" t="n">
        <v>46315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46315</v>
      </c>
      <c r="F500" t="inlineStr">
        <is>
          <t>GÄVLEBORGS LÄN</t>
        </is>
      </c>
      <c r="G500" t="inlineStr">
        <is>
          <t>NORDANSTIG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9382-2022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44616</v>
      </c>
      <c r="E501" s="1" t="n">
        <v>46315</v>
      </c>
      <c r="F501" t="inlineStr">
        <is>
          <t>GÄVLEBORGS LÄN</t>
        </is>
      </c>
      <c r="G501" t="inlineStr">
        <is>
          <t>NORDANSTIG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24178-2026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46168</v>
      </c>
      <c r="E502" s="1" t="n">
        <v>46315</v>
      </c>
      <c r="F502" t="inlineStr">
        <is>
          <t>GÄVLEBORGS LÄN</t>
        </is>
      </c>
      <c r="G502" t="inlineStr">
        <is>
          <t>NORDANSTIG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46315</v>
      </c>
      <c r="F503" t="inlineStr">
        <is>
          <t>GÄVLEBORGS LÄN</t>
        </is>
      </c>
      <c r="G503" t="inlineStr">
        <is>
          <t>NORDANSTIG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46315</v>
      </c>
      <c r="F504" t="inlineStr">
        <is>
          <t>GÄVLEBORGS LÄN</t>
        </is>
      </c>
      <c r="G504" t="inlineStr">
        <is>
          <t>NORDANSTIG</t>
        </is>
      </c>
      <c r="I504" t="n">
        <v>18.1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46315</v>
      </c>
      <c r="F505" t="inlineStr">
        <is>
          <t>GÄVLEBORGS LÄN</t>
        </is>
      </c>
      <c r="G505" t="inlineStr">
        <is>
          <t>NORDANSTIG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45149</v>
      </c>
      <c r="E506" s="1" t="n">
        <v>46315</v>
      </c>
      <c r="F506" t="inlineStr">
        <is>
          <t>GÄVLEBORGS LÄN</t>
        </is>
      </c>
      <c r="G506" t="inlineStr">
        <is>
          <t>NORDANSTIG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46315</v>
      </c>
      <c r="F507" t="inlineStr">
        <is>
          <t>GÄVLEBORGS LÄN</t>
        </is>
      </c>
      <c r="G507" t="inlineStr">
        <is>
          <t>NORDANSTIG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40738-2023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45170</v>
      </c>
      <c r="E508" s="1" t="n">
        <v>46315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9.5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46315</v>
      </c>
      <c r="F509" t="inlineStr">
        <is>
          <t>GÄVLEBORGS LÄN</t>
        </is>
      </c>
      <c r="G509" t="inlineStr">
        <is>
          <t>NORDANSTIG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46315</v>
      </c>
      <c r="F510" t="inlineStr">
        <is>
          <t>GÄVLEBORGS LÄN</t>
        </is>
      </c>
      <c r="G510" t="inlineStr">
        <is>
          <t>NORDANSTIG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62465-2021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44503</v>
      </c>
      <c r="E511" s="1" t="n">
        <v>46315</v>
      </c>
      <c r="F511" t="inlineStr">
        <is>
          <t>GÄVLEBORGS LÄN</t>
        </is>
      </c>
      <c r="G511" t="inlineStr">
        <is>
          <t>NORDANSTIG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46315</v>
      </c>
      <c r="F512" t="inlineStr">
        <is>
          <t>GÄVLEBORGS LÄN</t>
        </is>
      </c>
      <c r="G512" t="inlineStr">
        <is>
          <t>NORDANSTIG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45063</v>
      </c>
      <c r="E513" s="1" t="n">
        <v>46315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54705-2024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46315</v>
      </c>
      <c r="F514" t="inlineStr">
        <is>
          <t>GÄVLEBORGS LÄN</t>
        </is>
      </c>
      <c r="G514" t="inlineStr">
        <is>
          <t>NORDANSTIG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45533</v>
      </c>
      <c r="E515" s="1" t="n">
        <v>46315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46315</v>
      </c>
      <c r="F516" t="inlineStr">
        <is>
          <t>GÄVLEBORGS LÄN</t>
        </is>
      </c>
      <c r="G516" t="inlineStr">
        <is>
          <t>NORDANSTIG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46315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18322-2024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45422</v>
      </c>
      <c r="E518" s="1" t="n">
        <v>46315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62833-2025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46315</v>
      </c>
      <c r="F519" t="inlineStr">
        <is>
          <t>GÄVLEBORGS LÄN</t>
        </is>
      </c>
      <c r="G519" t="inlineStr">
        <is>
          <t>NORDANSTIG</t>
        </is>
      </c>
      <c r="H519" t="inlineStr">
        <is>
          <t>SCA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48636-2024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45593</v>
      </c>
      <c r="E520" s="1" t="n">
        <v>46315</v>
      </c>
      <c r="F520" t="inlineStr">
        <is>
          <t>GÄVLEBORGS LÄN</t>
        </is>
      </c>
      <c r="G520" t="inlineStr">
        <is>
          <t>NORDANSTIG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46315</v>
      </c>
      <c r="F521" t="inlineStr">
        <is>
          <t>GÄVLEBORGS LÄN</t>
        </is>
      </c>
      <c r="G521" t="inlineStr">
        <is>
          <t>NORDANSTIG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46315</v>
      </c>
      <c r="F522" t="inlineStr">
        <is>
          <t>GÄVLEBORGS LÄN</t>
        </is>
      </c>
      <c r="G522" t="inlineStr">
        <is>
          <t>NORDANSTIG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45539</v>
      </c>
      <c r="E523" s="1" t="n">
        <v>46315</v>
      </c>
      <c r="F523" t="inlineStr">
        <is>
          <t>GÄVLEBORGS LÄN</t>
        </is>
      </c>
      <c r="G523" t="inlineStr">
        <is>
          <t>NORDANSTIG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46315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46315</v>
      </c>
      <c r="F525" t="inlineStr">
        <is>
          <t>GÄVLEBORGS LÄN</t>
        </is>
      </c>
      <c r="G525" t="inlineStr">
        <is>
          <t>NORDANSTIG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46315</v>
      </c>
      <c r="F526" t="inlineStr">
        <is>
          <t>GÄVLEBORGS LÄN</t>
        </is>
      </c>
      <c r="G526" t="inlineStr">
        <is>
          <t>NORDANSTIG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46315</v>
      </c>
      <c r="F527" t="inlineStr">
        <is>
          <t>GÄVLEBORGS LÄN</t>
        </is>
      </c>
      <c r="G527" t="inlineStr">
        <is>
          <t>NORDANSTIG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46315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46315</v>
      </c>
      <c r="F529" t="inlineStr">
        <is>
          <t>GÄVLEBORGS LÄN</t>
        </is>
      </c>
      <c r="G529" t="inlineStr">
        <is>
          <t>NORDANSTIG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46315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24623-2026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46315</v>
      </c>
      <c r="F531" t="inlineStr">
        <is>
          <t>GÄVLEBORGS LÄN</t>
        </is>
      </c>
      <c r="G531" t="inlineStr">
        <is>
          <t>NORDANSTIG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45950</v>
      </c>
      <c r="E532" s="1" t="n">
        <v>46315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46315</v>
      </c>
      <c r="F533" t="inlineStr">
        <is>
          <t>GÄVLEBORGS LÄN</t>
        </is>
      </c>
      <c r="G533" t="inlineStr">
        <is>
          <t>NORDANSTIG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45188</v>
      </c>
      <c r="E534" s="1" t="n">
        <v>46315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46315</v>
      </c>
      <c r="F535" t="inlineStr">
        <is>
          <t>GÄVLEBORGS LÄN</t>
        </is>
      </c>
      <c r="G535" t="inlineStr">
        <is>
          <t>NORDANSTIG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46315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7.8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46024</v>
      </c>
      <c r="E537" s="1" t="n">
        <v>46315</v>
      </c>
      <c r="F537" t="inlineStr">
        <is>
          <t>GÄVLEBORGS LÄN</t>
        </is>
      </c>
      <c r="G537" t="inlineStr">
        <is>
          <t>NORDANSTIG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73389-2021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44551</v>
      </c>
      <c r="E538" s="1" t="n">
        <v>46315</v>
      </c>
      <c r="F538" t="inlineStr">
        <is>
          <t>GÄVLEBORGS LÄN</t>
        </is>
      </c>
      <c r="G538" t="inlineStr">
        <is>
          <t>NORDANSTIG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45733</v>
      </c>
      <c r="E539" s="1" t="n">
        <v>46315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46315</v>
      </c>
      <c r="F540" t="inlineStr">
        <is>
          <t>GÄVLEBORGS LÄN</t>
        </is>
      </c>
      <c r="G540" t="inlineStr">
        <is>
          <t>NORDANSTIG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46026</v>
      </c>
      <c r="E541" s="1" t="n">
        <v>46315</v>
      </c>
      <c r="F541" t="inlineStr">
        <is>
          <t>GÄVLEBORGS LÄN</t>
        </is>
      </c>
      <c r="G541" t="inlineStr">
        <is>
          <t>NORDANSTIG</t>
        </is>
      </c>
      <c r="I541" t="n">
        <v>7.5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44596</v>
      </c>
      <c r="E542" s="1" t="n">
        <v>46315</v>
      </c>
      <c r="F542" t="inlineStr">
        <is>
          <t>GÄVLEBORGS LÄN</t>
        </is>
      </c>
      <c r="G542" t="inlineStr">
        <is>
          <t>NORDANSTIG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46315</v>
      </c>
      <c r="F543" t="inlineStr">
        <is>
          <t>GÄVLEBORGS LÄN</t>
        </is>
      </c>
      <c r="G543" t="inlineStr">
        <is>
          <t>NORDANSTIG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46315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45719</v>
      </c>
      <c r="E545" s="1" t="n">
        <v>46315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57863-2024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45631</v>
      </c>
      <c r="E546" s="1" t="n">
        <v>46315</v>
      </c>
      <c r="F546" t="inlineStr">
        <is>
          <t>GÄVLEBORGS LÄN</t>
        </is>
      </c>
      <c r="G546" t="inlineStr">
        <is>
          <t>NORDANSTIG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45631</v>
      </c>
      <c r="E547" s="1" t="n">
        <v>46315</v>
      </c>
      <c r="F547" t="inlineStr">
        <is>
          <t>GÄVLEBORGS LÄN</t>
        </is>
      </c>
      <c r="G547" t="inlineStr">
        <is>
          <t>NORDANSTIG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41616-2023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45175</v>
      </c>
      <c r="E548" s="1" t="n">
        <v>46315</v>
      </c>
      <c r="F548" t="inlineStr">
        <is>
          <t>GÄVLEBORGS LÄN</t>
        </is>
      </c>
      <c r="G548" t="inlineStr">
        <is>
          <t>NORDANSTIG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46315</v>
      </c>
      <c r="F549" t="inlineStr">
        <is>
          <t>GÄVLEBORGS LÄN</t>
        </is>
      </c>
      <c r="G549" t="inlineStr">
        <is>
          <t>NORDANSTIG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41074-2023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46315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46315</v>
      </c>
      <c r="F551" t="inlineStr">
        <is>
          <t>GÄVLEBORGS LÄN</t>
        </is>
      </c>
      <c r="G551" t="inlineStr">
        <is>
          <t>NORDANSTIG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45170</v>
      </c>
      <c r="E552" s="1" t="n">
        <v>46315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45628</v>
      </c>
      <c r="E553" s="1" t="n">
        <v>46315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13270-2022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44644</v>
      </c>
      <c r="E554" s="1" t="n">
        <v>46315</v>
      </c>
      <c r="F554" t="inlineStr">
        <is>
          <t>GÄVLEBORGS LÄN</t>
        </is>
      </c>
      <c r="G554" t="inlineStr">
        <is>
          <t>NORDANSTIG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57977-2024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45631</v>
      </c>
      <c r="E555" s="1" t="n">
        <v>46315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45309</v>
      </c>
      <c r="E556" s="1" t="n">
        <v>46315</v>
      </c>
      <c r="F556" t="inlineStr">
        <is>
          <t>GÄVLEBORGS LÄN</t>
        </is>
      </c>
      <c r="G556" t="inlineStr">
        <is>
          <t>NORDANSTIG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60285-2024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45642</v>
      </c>
      <c r="E557" s="1" t="n">
        <v>46315</v>
      </c>
      <c r="F557" t="inlineStr">
        <is>
          <t>GÄVLEBORGS LÄN</t>
        </is>
      </c>
      <c r="G557" t="inlineStr">
        <is>
          <t>NORDANSTIG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45701</v>
      </c>
      <c r="E558" s="1" t="n">
        <v>46315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55477-2024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45622</v>
      </c>
      <c r="E559" s="1" t="n">
        <v>46315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45686</v>
      </c>
      <c r="E560" s="1" t="n">
        <v>46315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13.4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45499</v>
      </c>
      <c r="E561" s="1" t="n">
        <v>46315</v>
      </c>
      <c r="F561" t="inlineStr">
        <is>
          <t>GÄVLEBORGS LÄN</t>
        </is>
      </c>
      <c r="G561" t="inlineStr">
        <is>
          <t>NORDANSTIG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46034</v>
      </c>
      <c r="E562" s="1" t="n">
        <v>46315</v>
      </c>
      <c r="F562" t="inlineStr">
        <is>
          <t>GÄVLEBORGS LÄN</t>
        </is>
      </c>
      <c r="G562" t="inlineStr">
        <is>
          <t>NORDANSTIG</t>
        </is>
      </c>
      <c r="I562" t="n">
        <v>12.7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46315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46315</v>
      </c>
      <c r="F564" t="inlineStr">
        <is>
          <t>GÄVLEBORGS LÄN</t>
        </is>
      </c>
      <c r="G564" t="inlineStr">
        <is>
          <t>NORDANSTIG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46315</v>
      </c>
      <c r="F565" t="inlineStr">
        <is>
          <t>GÄVLEBORGS LÄN</t>
        </is>
      </c>
      <c r="G565" t="inlineStr">
        <is>
          <t>NORDANSTIG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55498-2024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45622</v>
      </c>
      <c r="E566" s="1" t="n">
        <v>46315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46315</v>
      </c>
      <c r="F567" t="inlineStr">
        <is>
          <t>GÄVLEBORGS LÄN</t>
        </is>
      </c>
      <c r="G567" t="inlineStr">
        <is>
          <t>NORDANSTIG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44607</v>
      </c>
      <c r="E568" s="1" t="n">
        <v>46315</v>
      </c>
      <c r="F568" t="inlineStr">
        <is>
          <t>GÄVLEBORGS LÄN</t>
        </is>
      </c>
      <c r="G568" t="inlineStr">
        <is>
          <t>NORDANSTIG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46038</v>
      </c>
      <c r="E569" s="1" t="n">
        <v>46315</v>
      </c>
      <c r="F569" t="inlineStr">
        <is>
          <t>GÄVLEBORGS LÄN</t>
        </is>
      </c>
      <c r="G569" t="inlineStr">
        <is>
          <t>NORDANSTIG</t>
        </is>
      </c>
      <c r="I569" t="n">
        <v>21.1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46315</v>
      </c>
      <c r="F570" t="inlineStr">
        <is>
          <t>GÄVLEBORGS LÄN</t>
        </is>
      </c>
      <c r="G570" t="inlineStr">
        <is>
          <t>NORDANSTIG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46315</v>
      </c>
      <c r="F571" t="inlineStr">
        <is>
          <t>GÄVLEBORGS LÄN</t>
        </is>
      </c>
      <c r="G571" t="inlineStr">
        <is>
          <t>NORDANSTIG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46315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46037</v>
      </c>
      <c r="E573" s="1" t="n">
        <v>46315</v>
      </c>
      <c r="F573" t="inlineStr">
        <is>
          <t>GÄVLEBORGS LÄN</t>
        </is>
      </c>
      <c r="G573" t="inlineStr">
        <is>
          <t>NORDANSTIG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46315</v>
      </c>
      <c r="F574" t="inlineStr">
        <is>
          <t>GÄVLEBORGS LÄN</t>
        </is>
      </c>
      <c r="G574" t="inlineStr">
        <is>
          <t>NORDANSTIG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46315</v>
      </c>
      <c r="F575" t="inlineStr">
        <is>
          <t>GÄVLEBORGS LÄN</t>
        </is>
      </c>
      <c r="G575" t="inlineStr">
        <is>
          <t>NORDANSTIG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47876-2023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45204</v>
      </c>
      <c r="E576" s="1" t="n">
        <v>46315</v>
      </c>
      <c r="F576" t="inlineStr">
        <is>
          <t>GÄVLEBORGS LÄN</t>
        </is>
      </c>
      <c r="G576" t="inlineStr">
        <is>
          <t>NORDANSTIG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38298-2024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45545</v>
      </c>
      <c r="E577" s="1" t="n">
        <v>46315</v>
      </c>
      <c r="F577" t="inlineStr">
        <is>
          <t>GÄVLEBORGS LÄN</t>
        </is>
      </c>
      <c r="G577" t="inlineStr">
        <is>
          <t>NORDANSTIG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46042</v>
      </c>
      <c r="E578" s="1" t="n">
        <v>46315</v>
      </c>
      <c r="F578" t="inlineStr">
        <is>
          <t>GÄVLEBORGS LÄN</t>
        </is>
      </c>
      <c r="G578" t="inlineStr">
        <is>
          <t>NORDANSTIG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51091-2024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45603</v>
      </c>
      <c r="E579" s="1" t="n">
        <v>46315</v>
      </c>
      <c r="F579" t="inlineStr">
        <is>
          <t>GÄVLEBORGS LÄN</t>
        </is>
      </c>
      <c r="G579" t="inlineStr">
        <is>
          <t>NORDANSTIG</t>
        </is>
      </c>
      <c r="H579" t="inlineStr">
        <is>
          <t>SCA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45131</v>
      </c>
      <c r="E580" s="1" t="n">
        <v>46315</v>
      </c>
      <c r="F580" t="inlineStr">
        <is>
          <t>GÄVLEBORGS LÄN</t>
        </is>
      </c>
      <c r="G580" t="inlineStr">
        <is>
          <t>NORDANSTIG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46315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SCA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46039</v>
      </c>
      <c r="E582" s="1" t="n">
        <v>46315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46315</v>
      </c>
      <c r="F583" t="inlineStr">
        <is>
          <t>GÄVLEBORGS LÄN</t>
        </is>
      </c>
      <c r="G583" t="inlineStr">
        <is>
          <t>NORDANSTIG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46315</v>
      </c>
      <c r="F584" t="inlineStr">
        <is>
          <t>GÄVLEBORGS LÄN</t>
        </is>
      </c>
      <c r="G584" t="inlineStr">
        <is>
          <t>NORDANSTIG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46315</v>
      </c>
      <c r="F585" t="inlineStr">
        <is>
          <t>GÄVLEBORGS LÄN</t>
        </is>
      </c>
      <c r="G585" t="inlineStr">
        <is>
          <t>NORDANSTIG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53691-2024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46315</v>
      </c>
      <c r="F586" t="inlineStr">
        <is>
          <t>GÄVLEBORGS LÄN</t>
        </is>
      </c>
      <c r="G586" t="inlineStr">
        <is>
          <t>NORDANSTIG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46315</v>
      </c>
      <c r="F587" t="inlineStr">
        <is>
          <t>GÄVLEBORGS LÄN</t>
        </is>
      </c>
      <c r="G587" t="inlineStr">
        <is>
          <t>NORDANSTIG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48832-2022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44859</v>
      </c>
      <c r="E588" s="1" t="n">
        <v>46315</v>
      </c>
      <c r="F588" t="inlineStr">
        <is>
          <t>GÄVLEBORGS LÄN</t>
        </is>
      </c>
      <c r="G588" t="inlineStr">
        <is>
          <t>NORDANSTIG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3762-2026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46315</v>
      </c>
      <c r="F589" t="inlineStr">
        <is>
          <t>GÄVLEBORGS LÄN</t>
        </is>
      </c>
      <c r="G589" t="inlineStr">
        <is>
          <t>NORDANSTIG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46315</v>
      </c>
      <c r="F590" t="inlineStr">
        <is>
          <t>GÄVLEBORGS LÄN</t>
        </is>
      </c>
      <c r="G590" t="inlineStr">
        <is>
          <t>NORDANSTIG</t>
        </is>
      </c>
      <c r="I590" t="n">
        <v>24.7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46315</v>
      </c>
      <c r="F591" t="inlineStr">
        <is>
          <t>GÄVLEBORGS LÄN</t>
        </is>
      </c>
      <c r="G591" t="inlineStr">
        <is>
          <t>NORDANSTIG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46315</v>
      </c>
      <c r="F592" t="inlineStr">
        <is>
          <t>GÄVLEBORGS LÄN</t>
        </is>
      </c>
      <c r="G592" t="inlineStr">
        <is>
          <t>NORDANSTIG</t>
        </is>
      </c>
      <c r="I592" t="n">
        <v>11.3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45671</v>
      </c>
      <c r="E593" s="1" t="n">
        <v>46315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46315</v>
      </c>
      <c r="F594" t="inlineStr">
        <is>
          <t>GÄVLEBORGS LÄN</t>
        </is>
      </c>
      <c r="G594" t="inlineStr">
        <is>
          <t>NORDANSTIG</t>
        </is>
      </c>
      <c r="I594" t="n">
        <v>15.3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46315</v>
      </c>
      <c r="F595" t="inlineStr">
        <is>
          <t>GÄVLEBORGS LÄN</t>
        </is>
      </c>
      <c r="G595" t="inlineStr">
        <is>
          <t>NORDANSTIG</t>
        </is>
      </c>
      <c r="I595" t="n">
        <v>8.4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46315</v>
      </c>
      <c r="F596" t="inlineStr">
        <is>
          <t>GÄVLEBORGS LÄN</t>
        </is>
      </c>
      <c r="G596" t="inlineStr">
        <is>
          <t>NORDANSTIG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46315</v>
      </c>
      <c r="F597" t="inlineStr">
        <is>
          <t>GÄVLEBORGS LÄN</t>
        </is>
      </c>
      <c r="G597" t="inlineStr">
        <is>
          <t>NORDANSTIG</t>
        </is>
      </c>
      <c r="I597" t="n">
        <v>10.1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45695</v>
      </c>
      <c r="E598" s="1" t="n">
        <v>46315</v>
      </c>
      <c r="F598" t="inlineStr">
        <is>
          <t>GÄVLEBORGS LÄN</t>
        </is>
      </c>
      <c r="G598" t="inlineStr">
        <is>
          <t>NORDANSTIG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46315</v>
      </c>
      <c r="F599" t="inlineStr">
        <is>
          <t>GÄVLEBORGS LÄN</t>
        </is>
      </c>
      <c r="G599" t="inlineStr">
        <is>
          <t>NORDANSTIG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46315</v>
      </c>
      <c r="F600" t="inlineStr">
        <is>
          <t>GÄVLEBORGS LÄN</t>
        </is>
      </c>
      <c r="G600" t="inlineStr">
        <is>
          <t>NORDANSTIG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46315</v>
      </c>
      <c r="F601" t="inlineStr">
        <is>
          <t>GÄVLEBORGS LÄN</t>
        </is>
      </c>
      <c r="G601" t="inlineStr">
        <is>
          <t>NORDANSTIG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46315</v>
      </c>
      <c r="F602" t="inlineStr">
        <is>
          <t>GÄVLEBORGS LÄN</t>
        </is>
      </c>
      <c r="G602" t="inlineStr">
        <is>
          <t>NORDANSTIG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46044</v>
      </c>
      <c r="E603" s="1" t="n">
        <v>46315</v>
      </c>
      <c r="F603" t="inlineStr">
        <is>
          <t>GÄVLEBORGS LÄN</t>
        </is>
      </c>
      <c r="G603" t="inlineStr">
        <is>
          <t>NORDANSTIG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46315</v>
      </c>
      <c r="F604" t="inlineStr">
        <is>
          <t>GÄVLEBORGS LÄN</t>
        </is>
      </c>
      <c r="G604" t="inlineStr">
        <is>
          <t>NORDANSTIG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46315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46048</v>
      </c>
      <c r="E606" s="1" t="n">
        <v>46315</v>
      </c>
      <c r="F606" t="inlineStr">
        <is>
          <t>GÄVLEBORGS LÄN</t>
        </is>
      </c>
      <c r="G606" t="inlineStr">
        <is>
          <t>NORDANSTIG</t>
        </is>
      </c>
      <c r="I606" t="n">
        <v>15.3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46315</v>
      </c>
      <c r="F607" t="inlineStr">
        <is>
          <t>GÄVLEBORGS LÄN</t>
        </is>
      </c>
      <c r="G607" t="inlineStr">
        <is>
          <t>NORDANSTIG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46315</v>
      </c>
      <c r="F608" t="inlineStr">
        <is>
          <t>GÄVLEBORGS LÄN</t>
        </is>
      </c>
      <c r="G608" t="inlineStr">
        <is>
          <t>NORDANSTIG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46315</v>
      </c>
      <c r="F609" t="inlineStr">
        <is>
          <t>GÄVLEBORGS LÄN</t>
        </is>
      </c>
      <c r="G609" t="inlineStr">
        <is>
          <t>NORDANSTIG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46315</v>
      </c>
      <c r="F610" t="inlineStr">
        <is>
          <t>GÄVLEBORGS LÄN</t>
        </is>
      </c>
      <c r="G610" t="inlineStr">
        <is>
          <t>NORDANSTIG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16640-2025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45754</v>
      </c>
      <c r="E611" s="1" t="n">
        <v>46315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58891-2024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45636</v>
      </c>
      <c r="E612" s="1" t="n">
        <v>46315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46315</v>
      </c>
      <c r="F613" t="inlineStr">
        <is>
          <t>GÄVLEBORGS LÄN</t>
        </is>
      </c>
      <c r="G613" t="inlineStr">
        <is>
          <t>NORDANSTIG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46315</v>
      </c>
      <c r="F614" t="inlineStr">
        <is>
          <t>GÄVLEBORGS LÄN</t>
        </is>
      </c>
      <c r="G614" t="inlineStr">
        <is>
          <t>NORDANSTIG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46299-2023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45197</v>
      </c>
      <c r="E615" s="1" t="n">
        <v>46315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72820-2021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44547</v>
      </c>
      <c r="E616" s="1" t="n">
        <v>46315</v>
      </c>
      <c r="F616" t="inlineStr">
        <is>
          <t>GÄVLEBORGS LÄN</t>
        </is>
      </c>
      <c r="G616" t="inlineStr">
        <is>
          <t>NORDANSTIG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46315</v>
      </c>
      <c r="F617" t="inlineStr">
        <is>
          <t>GÄVLEBORGS LÄN</t>
        </is>
      </c>
      <c r="G617" t="inlineStr">
        <is>
          <t>NORDANSTIG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46315</v>
      </c>
      <c r="F618" t="inlineStr">
        <is>
          <t>GÄVLEBORGS LÄN</t>
        </is>
      </c>
      <c r="G618" t="inlineStr">
        <is>
          <t>NORDANSTIG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46315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23.8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46315</v>
      </c>
      <c r="F620" t="inlineStr">
        <is>
          <t>GÄVLEBORGS LÄN</t>
        </is>
      </c>
      <c r="G620" t="inlineStr">
        <is>
          <t>NORDANSTIG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46315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46315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7.5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45639</v>
      </c>
      <c r="E623" s="1" t="n">
        <v>46315</v>
      </c>
      <c r="F623" t="inlineStr">
        <is>
          <t>GÄVLEBORGS LÄN</t>
        </is>
      </c>
      <c r="G623" t="inlineStr">
        <is>
          <t>NORDANSTIG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5143-2025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45691</v>
      </c>
      <c r="E624" s="1" t="n">
        <v>46315</v>
      </c>
      <c r="F624" t="inlineStr">
        <is>
          <t>GÄVLEBORGS LÄN</t>
        </is>
      </c>
      <c r="G624" t="inlineStr">
        <is>
          <t>NORDANSTIG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46315</v>
      </c>
      <c r="F625" t="inlineStr">
        <is>
          <t>GÄVLEBORGS LÄN</t>
        </is>
      </c>
      <c r="G625" t="inlineStr">
        <is>
          <t>NORDANSTIG</t>
        </is>
      </c>
      <c r="I625" t="n">
        <v>10.2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46315</v>
      </c>
      <c r="F626" t="inlineStr">
        <is>
          <t>GÄVLEBORGS LÄN</t>
        </is>
      </c>
      <c r="G626" t="inlineStr">
        <is>
          <t>NORDANSTIG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46051</v>
      </c>
      <c r="E627" s="1" t="n">
        <v>46315</v>
      </c>
      <c r="F627" t="inlineStr">
        <is>
          <t>GÄVLEBORGS LÄN</t>
        </is>
      </c>
      <c r="G627" t="inlineStr">
        <is>
          <t>NORDANSTIG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5603-2026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46315</v>
      </c>
      <c r="F628" t="inlineStr">
        <is>
          <t>GÄVLEBORGS LÄN</t>
        </is>
      </c>
      <c r="G628" t="inlineStr">
        <is>
          <t>NORDANSTIG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46315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46315</v>
      </c>
      <c r="F630" t="inlineStr">
        <is>
          <t>GÄVLEBORGS LÄN</t>
        </is>
      </c>
      <c r="G630" t="inlineStr">
        <is>
          <t>NORDANSTIG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45687</v>
      </c>
      <c r="E631" s="1" t="n">
        <v>46315</v>
      </c>
      <c r="F631" t="inlineStr">
        <is>
          <t>GÄVLEBORGS LÄN</t>
        </is>
      </c>
      <c r="G631" t="inlineStr">
        <is>
          <t>NORDANSTIG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45222</v>
      </c>
      <c r="E632" s="1" t="n">
        <v>46315</v>
      </c>
      <c r="F632" t="inlineStr">
        <is>
          <t>GÄVLEBORGS LÄN</t>
        </is>
      </c>
      <c r="G632" t="inlineStr">
        <is>
          <t>NORDANSTIG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51438-2023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45219</v>
      </c>
      <c r="E633" s="1" t="n">
        <v>46315</v>
      </c>
      <c r="F633" t="inlineStr">
        <is>
          <t>GÄVLEBORGS LÄN</t>
        </is>
      </c>
      <c r="G633" t="inlineStr">
        <is>
          <t>NORDANSTIG</t>
        </is>
      </c>
      <c r="H633" t="inlineStr">
        <is>
          <t>SCA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46315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46315</v>
      </c>
      <c r="F635" t="inlineStr">
        <is>
          <t>GÄVLEBORGS LÄN</t>
        </is>
      </c>
      <c r="G635" t="inlineStr">
        <is>
          <t>NORDANSTIG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46315</v>
      </c>
      <c r="F636" t="inlineStr">
        <is>
          <t>GÄVLEBORGS LÄN</t>
        </is>
      </c>
      <c r="G636" t="inlineStr">
        <is>
          <t>NORDANSTIG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55494-2024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45622</v>
      </c>
      <c r="E637" s="1" t="n">
        <v>46315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55531-2024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45622</v>
      </c>
      <c r="E638" s="1" t="n">
        <v>46315</v>
      </c>
      <c r="F638" t="inlineStr">
        <is>
          <t>GÄVLEBORGS LÄN</t>
        </is>
      </c>
      <c r="G638" t="inlineStr">
        <is>
          <t>NORDANSTIG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46056</v>
      </c>
      <c r="E639" s="1" t="n">
        <v>46315</v>
      </c>
      <c r="F639" t="inlineStr">
        <is>
          <t>GÄVLEBORGS LÄN</t>
        </is>
      </c>
      <c r="G639" t="inlineStr">
        <is>
          <t>NORDANSTIG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46179</v>
      </c>
      <c r="E640" s="1" t="n">
        <v>46315</v>
      </c>
      <c r="F640" t="inlineStr">
        <is>
          <t>GÄVLEBORGS LÄN</t>
        </is>
      </c>
      <c r="G640" t="inlineStr">
        <is>
          <t>NORDANSTIG</t>
        </is>
      </c>
      <c r="I640" t="n">
        <v>8.4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46053</v>
      </c>
      <c r="E641" s="1" t="n">
        <v>46315</v>
      </c>
      <c r="F641" t="inlineStr">
        <is>
          <t>GÄVLEBORGS LÄN</t>
        </is>
      </c>
      <c r="G641" t="inlineStr">
        <is>
          <t>NORDANSTIG</t>
        </is>
      </c>
      <c r="I641" t="n">
        <v>9.1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46053</v>
      </c>
      <c r="E642" s="1" t="n">
        <v>46315</v>
      </c>
      <c r="F642" t="inlineStr">
        <is>
          <t>GÄVLEBORGS LÄN</t>
        </is>
      </c>
      <c r="G642" t="inlineStr">
        <is>
          <t>NORDANSTIG</t>
        </is>
      </c>
      <c r="I642" t="n">
        <v>45.3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46315</v>
      </c>
      <c r="F643" t="inlineStr">
        <is>
          <t>GÄVLEBORGS LÄN</t>
        </is>
      </c>
      <c r="G643" t="inlineStr">
        <is>
          <t>NORDANSTIG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46315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46315</v>
      </c>
      <c r="F645" t="inlineStr">
        <is>
          <t>GÄVLEBORGS LÄN</t>
        </is>
      </c>
      <c r="G645" t="inlineStr">
        <is>
          <t>NORDANSTIG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46315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46315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6854-2026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46057</v>
      </c>
      <c r="E648" s="1" t="n">
        <v>46315</v>
      </c>
      <c r="F648" t="inlineStr">
        <is>
          <t>GÄVLEBORGS LÄN</t>
        </is>
      </c>
      <c r="G648" t="inlineStr">
        <is>
          <t>NORDANSTIG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46315</v>
      </c>
      <c r="F649" t="inlineStr">
        <is>
          <t>GÄVLEBORGS LÄN</t>
        </is>
      </c>
      <c r="G649" t="inlineStr">
        <is>
          <t>NORDANSTIG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44699</v>
      </c>
      <c r="E650" s="1" t="n">
        <v>46315</v>
      </c>
      <c r="F650" t="inlineStr">
        <is>
          <t>GÄVLEBORGS LÄN</t>
        </is>
      </c>
      <c r="G650" t="inlineStr">
        <is>
          <t>NORDANSTIG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17482-2022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44679</v>
      </c>
      <c r="E651" s="1" t="n">
        <v>46315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46315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17271-2022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44678</v>
      </c>
      <c r="E653" s="1" t="n">
        <v>46315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36025-2023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45149</v>
      </c>
      <c r="E654" s="1" t="n">
        <v>46315</v>
      </c>
      <c r="F654" t="inlineStr">
        <is>
          <t>GÄVLEBORGS LÄN</t>
        </is>
      </c>
      <c r="G654" t="inlineStr">
        <is>
          <t>NORDANSTIG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7831-2026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46315</v>
      </c>
      <c r="F655" t="inlineStr">
        <is>
          <t>GÄVLEBORGS LÄN</t>
        </is>
      </c>
      <c r="G655" t="inlineStr">
        <is>
          <t>NORDANSTIG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7783-2026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46315</v>
      </c>
      <c r="F656" t="inlineStr">
        <is>
          <t>GÄVLEBORGS LÄN</t>
        </is>
      </c>
      <c r="G656" t="inlineStr">
        <is>
          <t>NORDANSTIG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45297</v>
      </c>
      <c r="E657" s="1" t="n">
        <v>46315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7685-2026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46315</v>
      </c>
      <c r="F658" t="inlineStr">
        <is>
          <t>GÄVLEBORGS LÄN</t>
        </is>
      </c>
      <c r="G658" t="inlineStr">
        <is>
          <t>NORDANSTIG</t>
        </is>
      </c>
      <c r="I658" t="n">
        <v>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46315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35.4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46315</v>
      </c>
      <c r="F660" t="inlineStr">
        <is>
          <t>GÄVLEBORGS LÄN</t>
        </is>
      </c>
      <c r="G660" t="inlineStr">
        <is>
          <t>NORDANSTIG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46315</v>
      </c>
      <c r="F661" t="inlineStr">
        <is>
          <t>GÄVLEBORGS LÄN</t>
        </is>
      </c>
      <c r="G661" t="inlineStr">
        <is>
          <t>NORDANSTIG</t>
        </is>
      </c>
      <c r="I661" t="n">
        <v>5.7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7772-2026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46315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50413-2023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45216</v>
      </c>
      <c r="E663" s="1" t="n">
        <v>46315</v>
      </c>
      <c r="F663" t="inlineStr">
        <is>
          <t>GÄVLEBORGS LÄN</t>
        </is>
      </c>
      <c r="G663" t="inlineStr">
        <is>
          <t>NORDANSTIG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46315</v>
      </c>
      <c r="F664" t="inlineStr">
        <is>
          <t>GÄVLEBORGS LÄN</t>
        </is>
      </c>
      <c r="G664" t="inlineStr">
        <is>
          <t>NORDANSTIG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7944-2026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46063</v>
      </c>
      <c r="E665" s="1" t="n">
        <v>46315</v>
      </c>
      <c r="F665" t="inlineStr">
        <is>
          <t>GÄVLEBORGS LÄN</t>
        </is>
      </c>
      <c r="G665" t="inlineStr">
        <is>
          <t>NORDANSTIG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46315</v>
      </c>
      <c r="F666" t="inlineStr">
        <is>
          <t>GÄVLEBORGS LÄN</t>
        </is>
      </c>
      <c r="G666" t="inlineStr">
        <is>
          <t>NORDANSTIG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8318-2026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46315</v>
      </c>
      <c r="F667" t="inlineStr">
        <is>
          <t>GÄVLEBORGS LÄN</t>
        </is>
      </c>
      <c r="G667" t="inlineStr">
        <is>
          <t>NORDANSTIG</t>
        </is>
      </c>
      <c r="I667" t="n">
        <v>10.5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18529-2022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44686</v>
      </c>
      <c r="E668" s="1" t="n">
        <v>46315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8281-2026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46315</v>
      </c>
      <c r="F669" t="inlineStr">
        <is>
          <t>GÄVLEBORGS LÄN</t>
        </is>
      </c>
      <c r="G669" t="inlineStr">
        <is>
          <t>NORDANSTIG</t>
        </is>
      </c>
      <c r="I669" t="n">
        <v>38.1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8182-2026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46064</v>
      </c>
      <c r="E670" s="1" t="n">
        <v>46315</v>
      </c>
      <c r="F670" t="inlineStr">
        <is>
          <t>GÄVLEBORGS LÄN</t>
        </is>
      </c>
      <c r="G670" t="inlineStr">
        <is>
          <t>NORDANSTIG</t>
        </is>
      </c>
      <c r="I670" t="n">
        <v>19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7928-2026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46315</v>
      </c>
      <c r="F671" t="inlineStr">
        <is>
          <t>GÄVLEBORGS LÄN</t>
        </is>
      </c>
      <c r="G671" t="inlineStr">
        <is>
          <t>NORDANSTIG</t>
        </is>
      </c>
      <c r="I671" t="n">
        <v>13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8837-2026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46315</v>
      </c>
      <c r="F672" t="inlineStr">
        <is>
          <t>GÄVLEBORGS LÄN</t>
        </is>
      </c>
      <c r="G672" t="inlineStr">
        <is>
          <t>NORDANSTIG</t>
        </is>
      </c>
      <c r="H672" t="inlineStr">
        <is>
          <t>Naturvårdsverket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46315</v>
      </c>
      <c r="F673" t="inlineStr">
        <is>
          <t>GÄVLEBORGS LÄN</t>
        </is>
      </c>
      <c r="G673" t="inlineStr">
        <is>
          <t>NORDANSTIG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8407-2026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46315</v>
      </c>
      <c r="F674" t="inlineStr">
        <is>
          <t>GÄVLEBORGS LÄN</t>
        </is>
      </c>
      <c r="G674" t="inlineStr">
        <is>
          <t>NORDANSTIG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59930-2024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45642</v>
      </c>
      <c r="E675" s="1" t="n">
        <v>46315</v>
      </c>
      <c r="F675" t="inlineStr">
        <is>
          <t>GÄVLEBORGS LÄN</t>
        </is>
      </c>
      <c r="G675" t="inlineStr">
        <is>
          <t>NORDANSTIG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8541-2026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46065</v>
      </c>
      <c r="E676" s="1" t="n">
        <v>46315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9032-2026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46069</v>
      </c>
      <c r="E677" s="1" t="n">
        <v>46315</v>
      </c>
      <c r="F677" t="inlineStr">
        <is>
          <t>GÄVLEBORGS LÄN</t>
        </is>
      </c>
      <c r="G677" t="inlineStr">
        <is>
          <t>NORDANSTIG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9122-2026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46069</v>
      </c>
      <c r="E678" s="1" t="n">
        <v>46315</v>
      </c>
      <c r="F678" t="inlineStr">
        <is>
          <t>GÄVLEBORGS LÄN</t>
        </is>
      </c>
      <c r="G678" t="inlineStr">
        <is>
          <t>NORDANSTIG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46070</v>
      </c>
      <c r="E679" s="1" t="n">
        <v>46315</v>
      </c>
      <c r="F679" t="inlineStr">
        <is>
          <t>GÄVLEBORGS LÄN</t>
        </is>
      </c>
      <c r="G679" t="inlineStr">
        <is>
          <t>NORDANSTIG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9204-2026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46070</v>
      </c>
      <c r="E680" s="1" t="n">
        <v>46315</v>
      </c>
      <c r="F680" t="inlineStr">
        <is>
          <t>GÄVLEBORGS LÄN</t>
        </is>
      </c>
      <c r="G680" t="inlineStr">
        <is>
          <t>NORDANSTIG</t>
        </is>
      </c>
      <c r="I680" t="n">
        <v>15.6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46315</v>
      </c>
      <c r="F681" t="inlineStr">
        <is>
          <t>GÄVLEBORGS LÄN</t>
        </is>
      </c>
      <c r="G681" t="inlineStr">
        <is>
          <t>NORDANSTIG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46070</v>
      </c>
      <c r="E682" s="1" t="n">
        <v>46315</v>
      </c>
      <c r="F682" t="inlineStr">
        <is>
          <t>GÄVLEBORGS LÄN</t>
        </is>
      </c>
      <c r="G682" t="inlineStr">
        <is>
          <t>NORDANSTIG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8998-2026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46069</v>
      </c>
      <c r="E683" s="1" t="n">
        <v>46315</v>
      </c>
      <c r="F683" t="inlineStr">
        <is>
          <t>GÄVLEBORGS LÄN</t>
        </is>
      </c>
      <c r="G683" t="inlineStr">
        <is>
          <t>NORDANSTIG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26238-2026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46315</v>
      </c>
      <c r="F684" t="inlineStr">
        <is>
          <t>GÄVLEBORGS LÄN</t>
        </is>
      </c>
      <c r="G684" t="inlineStr">
        <is>
          <t>NORDANSTIG</t>
        </is>
      </c>
      <c r="H684" t="inlineStr">
        <is>
          <t>SCA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32149-2024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45511</v>
      </c>
      <c r="E685" s="1" t="n">
        <v>46315</v>
      </c>
      <c r="F685" t="inlineStr">
        <is>
          <t>GÄVLEBORGS LÄN</t>
        </is>
      </c>
      <c r="G685" t="inlineStr">
        <is>
          <t>NORDANSTIG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46315</v>
      </c>
      <c r="F686" t="inlineStr">
        <is>
          <t>GÄVLEBORGS LÄN</t>
        </is>
      </c>
      <c r="G686" t="inlineStr">
        <is>
          <t>NORDANSTIG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46315</v>
      </c>
      <c r="F687" t="inlineStr">
        <is>
          <t>GÄVLEBORGS LÄN</t>
        </is>
      </c>
      <c r="G687" t="inlineStr">
        <is>
          <t>NORDANSTIG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9496-2026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46315</v>
      </c>
      <c r="F688" t="inlineStr">
        <is>
          <t>GÄVLEBORGS LÄN</t>
        </is>
      </c>
      <c r="G688" t="inlineStr">
        <is>
          <t>NORDANSTIG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46071</v>
      </c>
      <c r="E689" s="1" t="n">
        <v>46315</v>
      </c>
      <c r="F689" t="inlineStr">
        <is>
          <t>GÄVLEBORGS LÄN</t>
        </is>
      </c>
      <c r="G689" t="inlineStr">
        <is>
          <t>NORDANSTIG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44763</v>
      </c>
      <c r="E690" s="1" t="n">
        <v>46315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46315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46315</v>
      </c>
      <c r="F692" t="inlineStr">
        <is>
          <t>GÄVLEBORGS LÄN</t>
        </is>
      </c>
      <c r="G692" t="inlineStr">
        <is>
          <t>NORDANSTIG</t>
        </is>
      </c>
      <c r="H692" t="inlineStr">
        <is>
          <t>SCA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46315</v>
      </c>
      <c r="F693" t="inlineStr">
        <is>
          <t>GÄVLEBORGS LÄN</t>
        </is>
      </c>
      <c r="G693" t="inlineStr">
        <is>
          <t>NORDANSTIG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28711-2022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44748</v>
      </c>
      <c r="E694" s="1" t="n">
        <v>46315</v>
      </c>
      <c r="F694" t="inlineStr">
        <is>
          <t>GÄVLEBORGS LÄN</t>
        </is>
      </c>
      <c r="G694" t="inlineStr">
        <is>
          <t>NORDANSTIG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46315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46072</v>
      </c>
      <c r="E696" s="1" t="n">
        <v>46315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46315</v>
      </c>
      <c r="F697" t="inlineStr">
        <is>
          <t>GÄVLEBORGS LÄN</t>
        </is>
      </c>
      <c r="G697" t="inlineStr">
        <is>
          <t>NORDANSTIG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14402-2025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45741</v>
      </c>
      <c r="E698" s="1" t="n">
        <v>46315</v>
      </c>
      <c r="F698" t="inlineStr">
        <is>
          <t>GÄVLEBORGS LÄN</t>
        </is>
      </c>
      <c r="G698" t="inlineStr">
        <is>
          <t>NORDANSTIG</t>
        </is>
      </c>
      <c r="I698" t="n">
        <v>17.1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46315</v>
      </c>
      <c r="F699" t="inlineStr">
        <is>
          <t>GÄVLEBORGS LÄN</t>
        </is>
      </c>
      <c r="G699" t="inlineStr">
        <is>
          <t>NORDANSTIG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46315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46073</v>
      </c>
      <c r="E701" s="1" t="n">
        <v>46315</v>
      </c>
      <c r="F701" t="inlineStr">
        <is>
          <t>GÄVLEBORGS LÄN</t>
        </is>
      </c>
      <c r="G701" t="inlineStr">
        <is>
          <t>NORDANSTIG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36960-2023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45154</v>
      </c>
      <c r="E702" s="1" t="n">
        <v>46315</v>
      </c>
      <c r="F702" t="inlineStr">
        <is>
          <t>GÄVLEBORGS LÄN</t>
        </is>
      </c>
      <c r="G702" t="inlineStr">
        <is>
          <t>NORDANSTIG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46315</v>
      </c>
      <c r="F703" t="inlineStr">
        <is>
          <t>GÄVLEBORGS LÄN</t>
        </is>
      </c>
      <c r="G703" t="inlineStr">
        <is>
          <t>NORDANSTIG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46315</v>
      </c>
      <c r="F704" t="inlineStr">
        <is>
          <t>GÄVLEBORGS LÄN</t>
        </is>
      </c>
      <c r="G704" t="inlineStr">
        <is>
          <t>NORDANSTIG</t>
        </is>
      </c>
      <c r="I704" t="n">
        <v>7.5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46315</v>
      </c>
      <c r="F705" t="inlineStr">
        <is>
          <t>GÄVLEBORGS LÄN</t>
        </is>
      </c>
      <c r="G705" t="inlineStr">
        <is>
          <t>NORDANSTIG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30940-2022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44768</v>
      </c>
      <c r="E706" s="1" t="n">
        <v>46315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55002-2023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45236</v>
      </c>
      <c r="E707" s="1" t="n">
        <v>46315</v>
      </c>
      <c r="F707" t="inlineStr">
        <is>
          <t>GÄVLEBORGS LÄN</t>
        </is>
      </c>
      <c r="G707" t="inlineStr">
        <is>
          <t>NORDANSTIG</t>
        </is>
      </c>
      <c r="H707" t="inlineStr">
        <is>
          <t>SCA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45259</v>
      </c>
      <c r="E708" s="1" t="n">
        <v>46315</v>
      </c>
      <c r="F708" t="inlineStr">
        <is>
          <t>GÄVLEBORGS LÄN</t>
        </is>
      </c>
      <c r="G708" t="inlineStr">
        <is>
          <t>NORDANSTIG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10655-2026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46078</v>
      </c>
      <c r="E709" s="1" t="n">
        <v>46315</v>
      </c>
      <c r="F709" t="inlineStr">
        <is>
          <t>GÄVLEBORGS LÄN</t>
        </is>
      </c>
      <c r="G709" t="inlineStr">
        <is>
          <t>NORDANSTIG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46079</v>
      </c>
      <c r="E710" s="1" t="n">
        <v>46315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10993-2026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46079</v>
      </c>
      <c r="E711" s="1" t="n">
        <v>46315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46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9883-2026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46315</v>
      </c>
      <c r="F712" t="inlineStr">
        <is>
          <t>GÄVLEBORGS LÄN</t>
        </is>
      </c>
      <c r="G712" t="inlineStr">
        <is>
          <t>NORDANSTIG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46315</v>
      </c>
      <c r="F713" t="inlineStr">
        <is>
          <t>GÄVLEBORGS LÄN</t>
        </is>
      </c>
      <c r="G713" t="inlineStr">
        <is>
          <t>NORDANSTIG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11307-2026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46080</v>
      </c>
      <c r="E714" s="1" t="n">
        <v>46315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7916-2022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44608</v>
      </c>
      <c r="E715" s="1" t="n">
        <v>46315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11614-2026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46084</v>
      </c>
      <c r="E716" s="1" t="n">
        <v>46315</v>
      </c>
      <c r="F716" t="inlineStr">
        <is>
          <t>GÄVLEBORGS LÄN</t>
        </is>
      </c>
      <c r="G716" t="inlineStr">
        <is>
          <t>NORDANSTIG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11578-2026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46084</v>
      </c>
      <c r="E717" s="1" t="n">
        <v>46315</v>
      </c>
      <c r="F717" t="inlineStr">
        <is>
          <t>GÄVLEBORGS LÄN</t>
        </is>
      </c>
      <c r="G717" t="inlineStr">
        <is>
          <t>NORDANSTIG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11592-2026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46315</v>
      </c>
      <c r="F718" t="inlineStr">
        <is>
          <t>GÄVLEBORGS LÄN</t>
        </is>
      </c>
      <c r="G718" t="inlineStr">
        <is>
          <t>NORDANSTIG</t>
        </is>
      </c>
      <c r="I718" t="n">
        <v>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11713-2026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46315</v>
      </c>
      <c r="F719" t="inlineStr">
        <is>
          <t>GÄVLEBORGS LÄN</t>
        </is>
      </c>
      <c r="G719" t="inlineStr">
        <is>
          <t>NORDANSTIG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23369-2022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44720</v>
      </c>
      <c r="E720" s="1" t="n">
        <v>46315</v>
      </c>
      <c r="F720" t="inlineStr">
        <is>
          <t>GÄVLEBORGS LÄN</t>
        </is>
      </c>
      <c r="G720" t="inlineStr">
        <is>
          <t>NORDANSTIG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40269-2023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45169</v>
      </c>
      <c r="E721" s="1" t="n">
        <v>46315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12216-2025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45729</v>
      </c>
      <c r="E722" s="1" t="n">
        <v>46315</v>
      </c>
      <c r="F722" t="inlineStr">
        <is>
          <t>GÄVLEBORGS LÄN</t>
        </is>
      </c>
      <c r="G722" t="inlineStr">
        <is>
          <t>NORDANSTIG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11581-2026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46315</v>
      </c>
      <c r="F723" t="inlineStr">
        <is>
          <t>GÄVLEBORGS LÄN</t>
        </is>
      </c>
      <c r="G723" t="inlineStr">
        <is>
          <t>NORDANSTIG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46315</v>
      </c>
      <c r="F724" t="inlineStr">
        <is>
          <t>GÄVLEBORGS LÄN</t>
        </is>
      </c>
      <c r="G724" t="inlineStr">
        <is>
          <t>NORDANSTIG</t>
        </is>
      </c>
      <c r="I724" t="n">
        <v>10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46315</v>
      </c>
      <c r="F725" t="inlineStr">
        <is>
          <t>GÄVLEBORGS LÄN</t>
        </is>
      </c>
      <c r="G725" t="inlineStr">
        <is>
          <t>NORDANSTIG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12328-2026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46087</v>
      </c>
      <c r="E726" s="1" t="n">
        <v>46315</v>
      </c>
      <c r="F726" t="inlineStr">
        <is>
          <t>GÄVLEBORGS LÄN</t>
        </is>
      </c>
      <c r="G726" t="inlineStr">
        <is>
          <t>NORDANSTIG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46315</v>
      </c>
      <c r="F727" t="inlineStr">
        <is>
          <t>GÄVLEBORGS LÄN</t>
        </is>
      </c>
      <c r="G727" t="inlineStr">
        <is>
          <t>NORDANSTIG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12085-2026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46086</v>
      </c>
      <c r="E728" s="1" t="n">
        <v>46315</v>
      </c>
      <c r="F728" t="inlineStr">
        <is>
          <t>GÄVLEBORGS LÄN</t>
        </is>
      </c>
      <c r="G728" t="inlineStr">
        <is>
          <t>NORDANSTIG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46315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27129-2026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46315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41773-2025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45902</v>
      </c>
      <c r="E731" s="1" t="n">
        <v>46315</v>
      </c>
      <c r="F731" t="inlineStr">
        <is>
          <t>GÄVLEBORGS LÄN</t>
        </is>
      </c>
      <c r="G731" t="inlineStr">
        <is>
          <t>NORDANSTIG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12552-2026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46315</v>
      </c>
      <c r="F732" t="inlineStr">
        <is>
          <t>GÄVLEBORGS LÄN</t>
        </is>
      </c>
      <c r="G732" t="inlineStr">
        <is>
          <t>NORDANSTIG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38241-2024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45545</v>
      </c>
      <c r="E733" s="1" t="n">
        <v>46315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46315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46188</v>
      </c>
      <c r="E735" s="1" t="n">
        <v>46315</v>
      </c>
      <c r="F735" t="inlineStr">
        <is>
          <t>GÄVLEBORGS LÄN</t>
        </is>
      </c>
      <c r="G735" t="inlineStr">
        <is>
          <t>NORDANSTIG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12458-2026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46315</v>
      </c>
      <c r="F736" t="inlineStr">
        <is>
          <t>GÄVLEBORGS LÄN</t>
        </is>
      </c>
      <c r="G736" t="inlineStr">
        <is>
          <t>NORDANSTIG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27150-2026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46188</v>
      </c>
      <c r="E737" s="1" t="n">
        <v>46315</v>
      </c>
      <c r="F737" t="inlineStr">
        <is>
          <t>GÄVLEBORGS LÄN</t>
        </is>
      </c>
      <c r="G737" t="inlineStr">
        <is>
          <t>NORDANSTIG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41620-2023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45175</v>
      </c>
      <c r="E738" s="1" t="n">
        <v>46315</v>
      </c>
      <c r="F738" t="inlineStr">
        <is>
          <t>GÄVLEBORGS LÄN</t>
        </is>
      </c>
      <c r="G738" t="inlineStr">
        <is>
          <t>NORDANSTIG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20577-2025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46315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12956-2026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46092</v>
      </c>
      <c r="E740" s="1" t="n">
        <v>46315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18445-2025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45762</v>
      </c>
      <c r="E741" s="1" t="n">
        <v>46315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44446-2023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45189</v>
      </c>
      <c r="E742" s="1" t="n">
        <v>46315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13218-2026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46093</v>
      </c>
      <c r="E743" s="1" t="n">
        <v>46315</v>
      </c>
      <c r="F743" t="inlineStr">
        <is>
          <t>GÄVLEBORGS LÄN</t>
        </is>
      </c>
      <c r="G743" t="inlineStr">
        <is>
          <t>NORDANSTIG</t>
        </is>
      </c>
      <c r="I743" t="n">
        <v>6.2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13647-2026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46097</v>
      </c>
      <c r="E744" s="1" t="n">
        <v>46315</v>
      </c>
      <c r="F744" t="inlineStr">
        <is>
          <t>GÄVLEBORGS LÄN</t>
        </is>
      </c>
      <c r="G744" t="inlineStr">
        <is>
          <t>NORDANSTIG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13978-2026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46098</v>
      </c>
      <c r="E745" s="1" t="n">
        <v>46315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31899-2022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44777</v>
      </c>
      <c r="E746" s="1" t="n">
        <v>46315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37295-2022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44808</v>
      </c>
      <c r="E747" s="1" t="n">
        <v>46315</v>
      </c>
      <c r="F747" t="inlineStr">
        <is>
          <t>GÄVLEBORGS LÄN</t>
        </is>
      </c>
      <c r="G747" t="inlineStr">
        <is>
          <t>NORDANSTIG</t>
        </is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46098</v>
      </c>
      <c r="E748" s="1" t="n">
        <v>46315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14267-2026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46315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13823-2026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46098</v>
      </c>
      <c r="E750" s="1" t="n">
        <v>46315</v>
      </c>
      <c r="F750" t="inlineStr">
        <is>
          <t>GÄVLEBORGS LÄN</t>
        </is>
      </c>
      <c r="G750" t="inlineStr">
        <is>
          <t>NORDANSTIG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46315</v>
      </c>
      <c r="F751" t="inlineStr">
        <is>
          <t>GÄVLEBORGS LÄN</t>
        </is>
      </c>
      <c r="G751" t="inlineStr">
        <is>
          <t>NORDANSTIG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27975-2026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46195</v>
      </c>
      <c r="E752" s="1" t="n">
        <v>46315</v>
      </c>
      <c r="F752" t="inlineStr">
        <is>
          <t>GÄVLEBORGS LÄN</t>
        </is>
      </c>
      <c r="G752" t="inlineStr">
        <is>
          <t>NORDANSTIG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27976-2026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46195</v>
      </c>
      <c r="E753" s="1" t="n">
        <v>46315</v>
      </c>
      <c r="F753" t="inlineStr">
        <is>
          <t>GÄVLEBORGS LÄN</t>
        </is>
      </c>
      <c r="G753" t="inlineStr">
        <is>
          <t>NORDANSTIG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27981-2026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46315</v>
      </c>
      <c r="F754" t="inlineStr">
        <is>
          <t>GÄVLEBORGS LÄN</t>
        </is>
      </c>
      <c r="G754" t="inlineStr">
        <is>
          <t>NORDANSTIG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18020-2026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46125</v>
      </c>
      <c r="E755" s="1" t="n">
        <v>46315</v>
      </c>
      <c r="F755" t="inlineStr">
        <is>
          <t>GÄVLEBORGS LÄN</t>
        </is>
      </c>
      <c r="G755" t="inlineStr">
        <is>
          <t>NORDANSTIG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15009-2026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46315</v>
      </c>
      <c r="F756" t="inlineStr">
        <is>
          <t>GÄVLEBORGS LÄN</t>
        </is>
      </c>
      <c r="G756" t="inlineStr">
        <is>
          <t>NORDANSTIG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46104</v>
      </c>
      <c r="E757" s="1" t="n">
        <v>46315</v>
      </c>
      <c r="F757" t="inlineStr">
        <is>
          <t>GÄVLEBORGS LÄN</t>
        </is>
      </c>
      <c r="G757" t="inlineStr">
        <is>
          <t>NORDANSTIG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45313</v>
      </c>
      <c r="E758" s="1" t="n">
        <v>46315</v>
      </c>
      <c r="F758" t="inlineStr">
        <is>
          <t>GÄVLEBORGS LÄN</t>
        </is>
      </c>
      <c r="G758" t="inlineStr">
        <is>
          <t>NORDANSTIG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28529-2026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46197</v>
      </c>
      <c r="E759" s="1" t="n">
        <v>46315</v>
      </c>
      <c r="F759" t="inlineStr">
        <is>
          <t>GÄVLEBORGS LÄN</t>
        </is>
      </c>
      <c r="G759" t="inlineStr">
        <is>
          <t>NORDANSTIG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5411-2022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44595</v>
      </c>
      <c r="E760" s="1" t="n">
        <v>46315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37972-2022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44811</v>
      </c>
      <c r="E761" s="1" t="n">
        <v>46315</v>
      </c>
      <c r="F761" t="inlineStr">
        <is>
          <t>GÄVLEBORGS LÄN</t>
        </is>
      </c>
      <c r="G761" t="inlineStr">
        <is>
          <t>NORDANSTIG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37986-2022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44811</v>
      </c>
      <c r="E762" s="1" t="n">
        <v>46315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15746-2026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46107</v>
      </c>
      <c r="E763" s="1" t="n">
        <v>46315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35070-2022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44797</v>
      </c>
      <c r="E764" s="1" t="n">
        <v>46315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46111-2023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45196</v>
      </c>
      <c r="E765" s="1" t="n">
        <v>46315</v>
      </c>
      <c r="F765" t="inlineStr">
        <is>
          <t>GÄVLEBORGS LÄN</t>
        </is>
      </c>
      <c r="G765" t="inlineStr">
        <is>
          <t>NORDANSTIG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46315</v>
      </c>
      <c r="F766" t="inlineStr">
        <is>
          <t>GÄVLEBORGS LÄN</t>
        </is>
      </c>
      <c r="G766" t="inlineStr">
        <is>
          <t>NORDANSTIG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28370-2026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46315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46111</v>
      </c>
      <c r="E768" s="1" t="n">
        <v>46315</v>
      </c>
      <c r="F768" t="inlineStr">
        <is>
          <t>GÄVLEBORGS LÄN</t>
        </is>
      </c>
      <c r="G768" t="inlineStr">
        <is>
          <t>NORDANSTIG</t>
        </is>
      </c>
      <c r="H768" t="inlineStr">
        <is>
          <t>Kommuner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55026-2022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44886</v>
      </c>
      <c r="E769" s="1" t="n">
        <v>46315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55120-2022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44886</v>
      </c>
      <c r="E770" s="1" t="n">
        <v>46315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8.4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16294-2026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46111</v>
      </c>
      <c r="E771" s="1" t="n">
        <v>46315</v>
      </c>
      <c r="F771" t="inlineStr">
        <is>
          <t>GÄVLEBORGS LÄN</t>
        </is>
      </c>
      <c r="G771" t="inlineStr">
        <is>
          <t>NORDANSTIG</t>
        </is>
      </c>
      <c r="H771" t="inlineStr">
        <is>
          <t>Kommuner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16293-2026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46315</v>
      </c>
      <c r="F772" t="inlineStr">
        <is>
          <t>GÄVLEBORGS LÄN</t>
        </is>
      </c>
      <c r="G772" t="inlineStr">
        <is>
          <t>NORDANSTIG</t>
        </is>
      </c>
      <c r="H772" t="inlineStr">
        <is>
          <t>Kommuner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46111</v>
      </c>
      <c r="E773" s="1" t="n">
        <v>46315</v>
      </c>
      <c r="F773" t="inlineStr">
        <is>
          <t>GÄVLEBORGS LÄN</t>
        </is>
      </c>
      <c r="G773" t="inlineStr">
        <is>
          <t>NORDANSTIG</t>
        </is>
      </c>
      <c r="H773" t="inlineStr">
        <is>
          <t>Kommuner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6820-2023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44967</v>
      </c>
      <c r="E774" s="1" t="n">
        <v>46315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46111</v>
      </c>
      <c r="E775" s="1" t="n">
        <v>46315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42.1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16449-2026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46112</v>
      </c>
      <c r="E776" s="1" t="n">
        <v>46315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34.8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46315</v>
      </c>
      <c r="F777" t="inlineStr">
        <is>
          <t>GÄVLEBORGS LÄN</t>
        </is>
      </c>
      <c r="G777" t="inlineStr">
        <is>
          <t>NORDANSTIG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46113</v>
      </c>
      <c r="E778" s="1" t="n">
        <v>46315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46113</v>
      </c>
      <c r="E779" s="1" t="n">
        <v>46315</v>
      </c>
      <c r="F779" t="inlineStr">
        <is>
          <t>GÄVLEBORGS LÄN</t>
        </is>
      </c>
      <c r="G779" t="inlineStr">
        <is>
          <t>NORDANSTIG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46315</v>
      </c>
      <c r="F780" t="inlineStr">
        <is>
          <t>GÄVLEBORGS LÄN</t>
        </is>
      </c>
      <c r="G780" t="inlineStr">
        <is>
          <t>NORDANSTIG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28391-2026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46196</v>
      </c>
      <c r="E781" s="1" t="n">
        <v>46315</v>
      </c>
      <c r="F781" t="inlineStr">
        <is>
          <t>GÄVLEBORGS LÄN</t>
        </is>
      </c>
      <c r="G781" t="inlineStr">
        <is>
          <t>NORDANSTIG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28226-2026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46196</v>
      </c>
      <c r="E782" s="1" t="n">
        <v>46315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25821-2026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46315</v>
      </c>
      <c r="F783" t="inlineStr">
        <is>
          <t>GÄVLEBORGS LÄN</t>
        </is>
      </c>
      <c r="G783" t="inlineStr">
        <is>
          <t>NORDANSTIG</t>
        </is>
      </c>
      <c r="I783" t="n">
        <v>11.2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46315</v>
      </c>
      <c r="F784" t="inlineStr">
        <is>
          <t>GÄVLEBORGS LÄN</t>
        </is>
      </c>
      <c r="G784" t="inlineStr">
        <is>
          <t>NORDANSTIG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32622-2022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44783</v>
      </c>
      <c r="E785" s="1" t="n">
        <v>46315</v>
      </c>
      <c r="F785" t="inlineStr">
        <is>
          <t>GÄVLEBORGS LÄN</t>
        </is>
      </c>
      <c r="G785" t="inlineStr">
        <is>
          <t>NORDANSTIG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17201-2026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46118</v>
      </c>
      <c r="E786" s="1" t="n">
        <v>46315</v>
      </c>
      <c r="F786" t="inlineStr">
        <is>
          <t>GÄVLEBORGS LÄN</t>
        </is>
      </c>
      <c r="G786" t="inlineStr">
        <is>
          <t>NORDANSTIG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28739-2026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46198</v>
      </c>
      <c r="E787" s="1" t="n">
        <v>46315</v>
      </c>
      <c r="F787" t="inlineStr">
        <is>
          <t>GÄVLEBORGS LÄN</t>
        </is>
      </c>
      <c r="G787" t="inlineStr">
        <is>
          <t>NORDANSTIG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46119</v>
      </c>
      <c r="E788" s="1" t="n">
        <v>46315</v>
      </c>
      <c r="F788" t="inlineStr">
        <is>
          <t>GÄVLEBORGS LÄN</t>
        </is>
      </c>
      <c r="G788" t="inlineStr">
        <is>
          <t>NORDANSTIG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17281-2026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46119</v>
      </c>
      <c r="E789" s="1" t="n">
        <v>46315</v>
      </c>
      <c r="F789" t="inlineStr">
        <is>
          <t>GÄVLEBORGS LÄN</t>
        </is>
      </c>
      <c r="G789" t="inlineStr">
        <is>
          <t>NORDANSTIG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17494-2026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46120</v>
      </c>
      <c r="E790" s="1" t="n">
        <v>46315</v>
      </c>
      <c r="F790" t="inlineStr">
        <is>
          <t>GÄVLEBORGS LÄN</t>
        </is>
      </c>
      <c r="G790" t="inlineStr">
        <is>
          <t>NORDANSTIG</t>
        </is>
      </c>
      <c r="I790" t="n">
        <v>16.3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17500-2026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46120</v>
      </c>
      <c r="E791" s="1" t="n">
        <v>46315</v>
      </c>
      <c r="F791" t="inlineStr">
        <is>
          <t>GÄVLEBORGS LÄN</t>
        </is>
      </c>
      <c r="G791" t="inlineStr">
        <is>
          <t>NORDANSTIG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15226-2023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45019</v>
      </c>
      <c r="E792" s="1" t="n">
        <v>46315</v>
      </c>
      <c r="F792" t="inlineStr">
        <is>
          <t>GÄVLEBORGS LÄN</t>
        </is>
      </c>
      <c r="G792" t="inlineStr">
        <is>
          <t>NORDANSTIG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17492-2026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46120</v>
      </c>
      <c r="E793" s="1" t="n">
        <v>46315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17498-2026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46120</v>
      </c>
      <c r="E794" s="1" t="n">
        <v>46315</v>
      </c>
      <c r="F794" t="inlineStr">
        <is>
          <t>GÄVLEBORGS LÄN</t>
        </is>
      </c>
      <c r="G794" t="inlineStr">
        <is>
          <t>NORDANSTIG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17487-2026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46120</v>
      </c>
      <c r="E795" s="1" t="n">
        <v>46315</v>
      </c>
      <c r="F795" t="inlineStr">
        <is>
          <t>GÄVLEBORGS LÄN</t>
        </is>
      </c>
      <c r="G795" t="inlineStr">
        <is>
          <t>NORDANSTIG</t>
        </is>
      </c>
      <c r="I795" t="n">
        <v>9.800000000000001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46120</v>
      </c>
      <c r="E796" s="1" t="n">
        <v>46315</v>
      </c>
      <c r="F796" t="inlineStr">
        <is>
          <t>GÄVLEBORGS LÄN</t>
        </is>
      </c>
      <c r="G796" t="inlineStr">
        <is>
          <t>NORDANSTIG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7436-2024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45345</v>
      </c>
      <c r="E797" s="1" t="n">
        <v>46315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62.5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7460-2024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45345</v>
      </c>
      <c r="E798" s="1" t="n">
        <v>46315</v>
      </c>
      <c r="F798" t="inlineStr">
        <is>
          <t>GÄVLEBORGS LÄN</t>
        </is>
      </c>
      <c r="G798" t="inlineStr">
        <is>
          <t>NORDANSTIG</t>
        </is>
      </c>
      <c r="I798" t="n">
        <v>10.8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17489-2026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46120</v>
      </c>
      <c r="E799" s="1" t="n">
        <v>46315</v>
      </c>
      <c r="F799" t="inlineStr">
        <is>
          <t>GÄVLEBORGS LÄN</t>
        </is>
      </c>
      <c r="G799" t="inlineStr">
        <is>
          <t>NORDANSTIG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46315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56586-2023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45243</v>
      </c>
      <c r="E801" s="1" t="n">
        <v>46315</v>
      </c>
      <c r="F801" t="inlineStr">
        <is>
          <t>GÄVLEBORGS LÄN</t>
        </is>
      </c>
      <c r="G801" t="inlineStr">
        <is>
          <t>NORDANSTIG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46122</v>
      </c>
      <c r="E802" s="1" t="n">
        <v>46315</v>
      </c>
      <c r="F802" t="inlineStr">
        <is>
          <t>GÄVLEBORGS LÄN</t>
        </is>
      </c>
      <c r="G802" t="inlineStr">
        <is>
          <t>NORDANSTIG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18153-2026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46125</v>
      </c>
      <c r="E803" s="1" t="n">
        <v>46315</v>
      </c>
      <c r="F803" t="inlineStr">
        <is>
          <t>GÄVLEBORGS LÄN</t>
        </is>
      </c>
      <c r="G803" t="inlineStr">
        <is>
          <t>NORDANSTIG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28734-2026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46315</v>
      </c>
      <c r="F804" t="inlineStr">
        <is>
          <t>GÄVLEBORGS LÄN</t>
        </is>
      </c>
      <c r="G804" t="inlineStr">
        <is>
          <t>NORDANSTIG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51250-2022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44868</v>
      </c>
      <c r="E805" s="1" t="n">
        <v>46315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7796-2026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46062</v>
      </c>
      <c r="E806" s="1" t="n">
        <v>46315</v>
      </c>
      <c r="F806" t="inlineStr">
        <is>
          <t>GÄVLEBORGS LÄN</t>
        </is>
      </c>
      <c r="G806" t="inlineStr">
        <is>
          <t>NORDANSTIG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18236-2026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46126</v>
      </c>
      <c r="E807" s="1" t="n">
        <v>46315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18385-2026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46126</v>
      </c>
      <c r="E808" s="1" t="n">
        <v>46315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15088-2024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45399</v>
      </c>
      <c r="E809" s="1" t="n">
        <v>46315</v>
      </c>
      <c r="F809" t="inlineStr">
        <is>
          <t>GÄVLEBORGS LÄN</t>
        </is>
      </c>
      <c r="G809" t="inlineStr">
        <is>
          <t>NORDANSTIG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18282-2026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46315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43.6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14501-2026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46100</v>
      </c>
      <c r="E811" s="1" t="n">
        <v>46315</v>
      </c>
      <c r="F811" t="inlineStr">
        <is>
          <t>GÄVLEBORGS LÄN</t>
        </is>
      </c>
      <c r="G811" t="inlineStr">
        <is>
          <t>NORDANSTIG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19569-2024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45429</v>
      </c>
      <c r="E812" s="1" t="n">
        <v>46315</v>
      </c>
      <c r="F812" t="inlineStr">
        <is>
          <t>GÄVLEBORGS LÄN</t>
        </is>
      </c>
      <c r="G812" t="inlineStr">
        <is>
          <t>NORDANSTIG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35765-2024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45532</v>
      </c>
      <c r="E813" s="1" t="n">
        <v>46315</v>
      </c>
      <c r="F813" t="inlineStr">
        <is>
          <t>GÄVLEBORGS LÄN</t>
        </is>
      </c>
      <c r="G813" t="inlineStr">
        <is>
          <t>NORDANSTIG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25200-2022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44729</v>
      </c>
      <c r="E814" s="1" t="n">
        <v>46315</v>
      </c>
      <c r="F814" t="inlineStr">
        <is>
          <t>GÄVLEBORGS LÄN</t>
        </is>
      </c>
      <c r="G814" t="inlineStr">
        <is>
          <t>NORDANSTIG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46315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19679-2026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46315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19367-2026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46315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19896-2025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45771</v>
      </c>
      <c r="E818" s="1" t="n">
        <v>46315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18479-2024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45425</v>
      </c>
      <c r="E819" s="1" t="n">
        <v>46315</v>
      </c>
      <c r="F819" t="inlineStr">
        <is>
          <t>GÄVLEBORGS LÄN</t>
        </is>
      </c>
      <c r="G819" t="inlineStr">
        <is>
          <t>NORDANSTIG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59912-2024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45641</v>
      </c>
      <c r="E820" s="1" t="n">
        <v>46315</v>
      </c>
      <c r="F820" t="inlineStr">
        <is>
          <t>GÄVLEBORGS LÄN</t>
        </is>
      </c>
      <c r="G820" t="inlineStr">
        <is>
          <t>NORDANSTIG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20019-2026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46136</v>
      </c>
      <c r="E821" s="1" t="n">
        <v>46315</v>
      </c>
      <c r="F821" t="inlineStr">
        <is>
          <t>GÄVLEBORGS LÄN</t>
        </is>
      </c>
      <c r="G821" t="inlineStr">
        <is>
          <t>NORDANSTIG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46315</v>
      </c>
      <c r="F822" t="inlineStr">
        <is>
          <t>GÄVLEBORGS LÄN</t>
        </is>
      </c>
      <c r="G822" t="inlineStr">
        <is>
          <t>NORDANSTIG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6324-2023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44965</v>
      </c>
      <c r="E823" s="1" t="n">
        <v>46315</v>
      </c>
      <c r="F823" t="inlineStr">
        <is>
          <t>GÄVLEBORGS LÄN</t>
        </is>
      </c>
      <c r="G823" t="inlineStr">
        <is>
          <t>NORDANSTIG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19970-2026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46136</v>
      </c>
      <c r="E824" s="1" t="n">
        <v>46315</v>
      </c>
      <c r="F824" t="inlineStr">
        <is>
          <t>GÄVLEBORGS LÄN</t>
        </is>
      </c>
      <c r="G824" t="inlineStr">
        <is>
          <t>NORDANSTIG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14961-2025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45743</v>
      </c>
      <c r="E825" s="1" t="n">
        <v>46315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16659-2026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46315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46315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8.800000000000001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20532-2026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46140</v>
      </c>
      <c r="E828" s="1" t="n">
        <v>46315</v>
      </c>
      <c r="F828" t="inlineStr">
        <is>
          <t>GÄVLEBORGS LÄN</t>
        </is>
      </c>
      <c r="G828" t="inlineStr">
        <is>
          <t>NORDANSTIG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46038</v>
      </c>
      <c r="E829" s="1" t="n">
        <v>46315</v>
      </c>
      <c r="F829" t="inlineStr">
        <is>
          <t>GÄVLEBORGS LÄN</t>
        </is>
      </c>
      <c r="G829" t="inlineStr">
        <is>
          <t>NORDANSTIG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30130-2024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45489</v>
      </c>
      <c r="E830" s="1" t="n">
        <v>46315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46048</v>
      </c>
      <c r="E831" s="1" t="n">
        <v>46315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40798-2022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44824</v>
      </c>
      <c r="E832" s="1" t="n">
        <v>46315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37005-2022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44806</v>
      </c>
      <c r="E833" s="1" t="n">
        <v>46315</v>
      </c>
      <c r="F833" t="inlineStr">
        <is>
          <t>GÄVLEBORGS LÄN</t>
        </is>
      </c>
      <c r="G833" t="inlineStr">
        <is>
          <t>NORDANSTIG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14415-2022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44652</v>
      </c>
      <c r="E834" s="1" t="n">
        <v>46315</v>
      </c>
      <c r="F834" t="inlineStr">
        <is>
          <t>GÄVLEBORGS LÄN</t>
        </is>
      </c>
      <c r="G834" t="inlineStr">
        <is>
          <t>NORDANSTIG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43893-2023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45187</v>
      </c>
      <c r="E835" s="1" t="n">
        <v>46315</v>
      </c>
      <c r="F835" t="inlineStr">
        <is>
          <t>GÄVLEBORGS LÄN</t>
        </is>
      </c>
      <c r="G835" t="inlineStr">
        <is>
          <t>NORDANSTIG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5999-2024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45336</v>
      </c>
      <c r="E836" s="1" t="n">
        <v>46315</v>
      </c>
      <c r="F836" t="inlineStr">
        <is>
          <t>GÄVLEBORGS LÄN</t>
        </is>
      </c>
      <c r="G836" t="inlineStr">
        <is>
          <t>NORDANSTIG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30428-2026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46209</v>
      </c>
      <c r="E837" s="1" t="n">
        <v>46315</v>
      </c>
      <c r="F837" t="inlineStr">
        <is>
          <t>GÄVLEBORGS LÄN</t>
        </is>
      </c>
      <c r="G837" t="inlineStr">
        <is>
          <t>NORDANSTIG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20482-2026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46140</v>
      </c>
      <c r="E838" s="1" t="n">
        <v>46315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8.6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46315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30267-2026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46206</v>
      </c>
      <c r="E840" s="1" t="n">
        <v>46315</v>
      </c>
      <c r="F840" t="inlineStr">
        <is>
          <t>GÄVLEBORGS LÄN</t>
        </is>
      </c>
      <c r="G840" t="inlineStr">
        <is>
          <t>NORDANSTIG</t>
        </is>
      </c>
      <c r="I840" t="n">
        <v>8.1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43465-2024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45568</v>
      </c>
      <c r="E841" s="1" t="n">
        <v>46315</v>
      </c>
      <c r="F841" t="inlineStr">
        <is>
          <t>GÄVLEBORGS LÄN</t>
        </is>
      </c>
      <c r="G841" t="inlineStr">
        <is>
          <t>NORDANSTIG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30263-2026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46206</v>
      </c>
      <c r="E842" s="1" t="n">
        <v>46315</v>
      </c>
      <c r="F842" t="inlineStr">
        <is>
          <t>GÄVLEBORGS LÄN</t>
        </is>
      </c>
      <c r="G842" t="inlineStr">
        <is>
          <t>NORDANSTIG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30390-2026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46209</v>
      </c>
      <c r="E843" s="1" t="n">
        <v>46315</v>
      </c>
      <c r="F843" t="inlineStr">
        <is>
          <t>GÄVLEBORGS LÄN</t>
        </is>
      </c>
      <c r="G843" t="inlineStr">
        <is>
          <t>NORDANSTIG</t>
        </is>
      </c>
      <c r="I843" t="n">
        <v>9.199999999999999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30391-2026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46315</v>
      </c>
      <c r="F844" t="inlineStr">
        <is>
          <t>GÄVLEBORGS LÄN</t>
        </is>
      </c>
      <c r="G844" t="inlineStr">
        <is>
          <t>NORDANSTIG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57463-2023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45246</v>
      </c>
      <c r="E845" s="1" t="n">
        <v>46315</v>
      </c>
      <c r="F845" t="inlineStr">
        <is>
          <t>GÄVLEBORGS LÄN</t>
        </is>
      </c>
      <c r="G845" t="inlineStr">
        <is>
          <t>NORDANSTIG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30431-2026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46209</v>
      </c>
      <c r="E846" s="1" t="n">
        <v>46315</v>
      </c>
      <c r="F846" t="inlineStr">
        <is>
          <t>GÄVLEBORGS LÄN</t>
        </is>
      </c>
      <c r="G846" t="inlineStr">
        <is>
          <t>NORDANSTIG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37217-2024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45539</v>
      </c>
      <c r="E847" s="1" t="n">
        <v>46315</v>
      </c>
      <c r="F847" t="inlineStr">
        <is>
          <t>GÄVLEBORGS LÄN</t>
        </is>
      </c>
      <c r="G847" t="inlineStr">
        <is>
          <t>NORDANSTIG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51988-2024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45607</v>
      </c>
      <c r="E848" s="1" t="n">
        <v>46315</v>
      </c>
      <c r="F848" t="inlineStr">
        <is>
          <t>GÄVLEBORGS LÄN</t>
        </is>
      </c>
      <c r="G848" t="inlineStr">
        <is>
          <t>NORDANSTIG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8646-2026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46066</v>
      </c>
      <c r="E849" s="1" t="n">
        <v>46315</v>
      </c>
      <c r="F849" t="inlineStr">
        <is>
          <t>GÄVLEBORGS LÄN</t>
        </is>
      </c>
      <c r="G849" t="inlineStr">
        <is>
          <t>NORDANSTIG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25665-2023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46315</v>
      </c>
      <c r="F850" t="inlineStr">
        <is>
          <t>GÄVLEBORGS LÄN</t>
        </is>
      </c>
      <c r="G850" t="inlineStr">
        <is>
          <t>NORDANSTIG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12764-2025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45733</v>
      </c>
      <c r="E851" s="1" t="n">
        <v>46315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46213</v>
      </c>
      <c r="E852" s="1" t="n">
        <v>46315</v>
      </c>
      <c r="F852" t="inlineStr">
        <is>
          <t>GÄVLEBORGS LÄN</t>
        </is>
      </c>
      <c r="G852" t="inlineStr">
        <is>
          <t>NORDANSTIG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30899-2026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46213</v>
      </c>
      <c r="E853" s="1" t="n">
        <v>46315</v>
      </c>
      <c r="F853" t="inlineStr">
        <is>
          <t>GÄVLEBORGS LÄN</t>
        </is>
      </c>
      <c r="G853" t="inlineStr">
        <is>
          <t>NORDANSTIG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37974-2024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45544</v>
      </c>
      <c r="E854" s="1" t="n">
        <v>46315</v>
      </c>
      <c r="F854" t="inlineStr">
        <is>
          <t>GÄVLEBORGS LÄN</t>
        </is>
      </c>
      <c r="G854" t="inlineStr">
        <is>
          <t>NORDANSTIG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46043</v>
      </c>
      <c r="E855" s="1" t="n">
        <v>46315</v>
      </c>
      <c r="F855" t="inlineStr">
        <is>
          <t>GÄVLEBORGS LÄN</t>
        </is>
      </c>
      <c r="G855" t="inlineStr">
        <is>
          <t>NORDANSTIG</t>
        </is>
      </c>
      <c r="I855" t="n">
        <v>14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31366-2026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46213</v>
      </c>
      <c r="E856" s="1" t="n">
        <v>46315</v>
      </c>
      <c r="F856" t="inlineStr">
        <is>
          <t>GÄVLEBORGS LÄN</t>
        </is>
      </c>
      <c r="G856" t="inlineStr">
        <is>
          <t>NORDANSTIG</t>
        </is>
      </c>
      <c r="I856" t="n">
        <v>9.6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52006-2024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45607</v>
      </c>
      <c r="E857" s="1" t="n">
        <v>46315</v>
      </c>
      <c r="F857" t="inlineStr">
        <is>
          <t>GÄVLEBORGS LÄN</t>
        </is>
      </c>
      <c r="G857" t="inlineStr">
        <is>
          <t>NORDANSTIG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18988-2022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44690</v>
      </c>
      <c r="E858" s="1" t="n">
        <v>46315</v>
      </c>
      <c r="F858" t="inlineStr">
        <is>
          <t>GÄVLEBORGS LÄN</t>
        </is>
      </c>
      <c r="G858" t="inlineStr">
        <is>
          <t>NORDANSTIG</t>
        </is>
      </c>
      <c r="I858" t="n">
        <v>9.300000000000001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12607-2024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45382</v>
      </c>
      <c r="E859" s="1" t="n">
        <v>46315</v>
      </c>
      <c r="F859" t="inlineStr">
        <is>
          <t>GÄVLEBORGS LÄN</t>
        </is>
      </c>
      <c r="G859" t="inlineStr">
        <is>
          <t>NORDANSTIG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18332-2024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45422</v>
      </c>
      <c r="E860" s="1" t="n">
        <v>46315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51387-2024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45604</v>
      </c>
      <c r="E861" s="1" t="n">
        <v>46315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38581-2024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46315</v>
      </c>
      <c r="F862" t="inlineStr">
        <is>
          <t>GÄVLEBORGS LÄN</t>
        </is>
      </c>
      <c r="G862" t="inlineStr">
        <is>
          <t>NORDANSTIG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38589-2024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45546</v>
      </c>
      <c r="E863" s="1" t="n">
        <v>46315</v>
      </c>
      <c r="F863" t="inlineStr">
        <is>
          <t>GÄVLEBORGS LÄN</t>
        </is>
      </c>
      <c r="G863" t="inlineStr">
        <is>
          <t>NORDANSTIG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46315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46315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40078-2024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45554</v>
      </c>
      <c r="E866" s="1" t="n">
        <v>46315</v>
      </c>
      <c r="F866" t="inlineStr">
        <is>
          <t>GÄVLEBORGS LÄN</t>
        </is>
      </c>
      <c r="G866" t="inlineStr">
        <is>
          <t>NORDANSTIG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55704-2024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45622</v>
      </c>
      <c r="E867" s="1" t="n">
        <v>46315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46220</v>
      </c>
      <c r="E868" s="1" t="n">
        <v>46315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31500-2026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46223</v>
      </c>
      <c r="E869" s="1" t="n">
        <v>46315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31422-2026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46220</v>
      </c>
      <c r="E870" s="1" t="n">
        <v>46315</v>
      </c>
      <c r="F870" t="inlineStr">
        <is>
          <t>GÄVLEBORGS LÄN</t>
        </is>
      </c>
      <c r="G870" t="inlineStr">
        <is>
          <t>NORDANSTIG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45770</v>
      </c>
      <c r="E871" s="1" t="n">
        <v>46315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19569-2025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45770</v>
      </c>
      <c r="E872" s="1" t="n">
        <v>46315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31406-2026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46220</v>
      </c>
      <c r="E873" s="1" t="n">
        <v>46315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31423-2026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46220</v>
      </c>
      <c r="E874" s="1" t="n">
        <v>46315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31708-2026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46315</v>
      </c>
      <c r="F875" t="inlineStr">
        <is>
          <t>GÄVLEBORGS LÄN</t>
        </is>
      </c>
      <c r="G875" t="inlineStr">
        <is>
          <t>NORDANSTIG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36714-2026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46272</v>
      </c>
      <c r="E876" s="1" t="n">
        <v>46315</v>
      </c>
      <c r="F876" t="inlineStr">
        <is>
          <t>GÄVLEBORGS LÄN</t>
        </is>
      </c>
      <c r="G876" t="inlineStr">
        <is>
          <t>NORDANSTIG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31698-2026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46226</v>
      </c>
      <c r="E877" s="1" t="n">
        <v>46315</v>
      </c>
      <c r="F877" t="inlineStr">
        <is>
          <t>GÄVLEBORGS LÄN</t>
        </is>
      </c>
      <c r="G877" t="inlineStr">
        <is>
          <t>NORDANSTIG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37241-2026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46274</v>
      </c>
      <c r="E878" s="1" t="n">
        <v>46315</v>
      </c>
      <c r="F878" t="inlineStr">
        <is>
          <t>GÄVLEBORGS LÄN</t>
        </is>
      </c>
      <c r="G878" t="inlineStr">
        <is>
          <t>NORDANSTIG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37013-2026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46273</v>
      </c>
      <c r="E879" s="1" t="n">
        <v>46315</v>
      </c>
      <c r="F879" t="inlineStr">
        <is>
          <t>GÄVLEBORGS LÄN</t>
        </is>
      </c>
      <c r="G879" t="inlineStr">
        <is>
          <t>NORDANSTIG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37028-2026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46273</v>
      </c>
      <c r="E880" s="1" t="n">
        <v>46315</v>
      </c>
      <c r="F880" t="inlineStr">
        <is>
          <t>GÄVLEBORGS LÄN</t>
        </is>
      </c>
      <c r="G880" t="inlineStr">
        <is>
          <t>NORDANSTIG</t>
        </is>
      </c>
      <c r="H880" t="inlineStr">
        <is>
          <t>SCA</t>
        </is>
      </c>
      <c r="I880" t="n">
        <v>6.9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37016-2026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46273</v>
      </c>
      <c r="E881" s="1" t="n">
        <v>46315</v>
      </c>
      <c r="F881" t="inlineStr">
        <is>
          <t>GÄVLEBORGS LÄN</t>
        </is>
      </c>
      <c r="G881" t="inlineStr">
        <is>
          <t>NORDANSTIG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58870-2023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45252</v>
      </c>
      <c r="E882" s="1" t="n">
        <v>46315</v>
      </c>
      <c r="F882" t="inlineStr">
        <is>
          <t>GÄVLEBORGS LÄN</t>
        </is>
      </c>
      <c r="G882" t="inlineStr">
        <is>
          <t>NORDANSTIG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45680</v>
      </c>
      <c r="E883" s="1" t="n">
        <v>46315</v>
      </c>
      <c r="F883" t="inlineStr">
        <is>
          <t>GÄVLEBORGS LÄN</t>
        </is>
      </c>
      <c r="G883" t="inlineStr">
        <is>
          <t>NORDANSTIG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37454-2026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46275</v>
      </c>
      <c r="E884" s="1" t="n">
        <v>46315</v>
      </c>
      <c r="F884" t="inlineStr">
        <is>
          <t>GÄVLEBORGS LÄN</t>
        </is>
      </c>
      <c r="G884" t="inlineStr">
        <is>
          <t>NORDANSTIG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37135-2026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46274</v>
      </c>
      <c r="E885" s="1" t="n">
        <v>46315</v>
      </c>
      <c r="F885" t="inlineStr">
        <is>
          <t>GÄVLEBORGS LÄN</t>
        </is>
      </c>
      <c r="G885" t="inlineStr">
        <is>
          <t>NORDANSTIG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17843-2023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45037</v>
      </c>
      <c r="E886" s="1" t="n">
        <v>46315</v>
      </c>
      <c r="F886" t="inlineStr">
        <is>
          <t>GÄVLEBORGS LÄN</t>
        </is>
      </c>
      <c r="G886" t="inlineStr">
        <is>
          <t>NORDANSTIG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12815-2023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45001</v>
      </c>
      <c r="E887" s="1" t="n">
        <v>46315</v>
      </c>
      <c r="F887" t="inlineStr">
        <is>
          <t>GÄVLEBORGS LÄN</t>
        </is>
      </c>
      <c r="G887" t="inlineStr">
        <is>
          <t>NORDANSTIG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20044-2024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45434</v>
      </c>
      <c r="E888" s="1" t="n">
        <v>46315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11599-2024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45373</v>
      </c>
      <c r="E889" s="1" t="n">
        <v>46315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37977-2026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46280</v>
      </c>
      <c r="E890" s="1" t="n">
        <v>46315</v>
      </c>
      <c r="F890" t="inlineStr">
        <is>
          <t>GÄVLEBORGS LÄN</t>
        </is>
      </c>
      <c r="G890" t="inlineStr">
        <is>
          <t>NORDANSTIG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30842-2024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45497</v>
      </c>
      <c r="E891" s="1" t="n">
        <v>46315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6.9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39068-2023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45163</v>
      </c>
      <c r="E892" s="1" t="n">
        <v>46315</v>
      </c>
      <c r="F892" t="inlineStr">
        <is>
          <t>GÄVLEBORGS LÄN</t>
        </is>
      </c>
      <c r="G892" t="inlineStr">
        <is>
          <t>NORDANSTIG</t>
        </is>
      </c>
      <c r="H892" t="inlineStr">
        <is>
          <t>SCA</t>
        </is>
      </c>
      <c r="I892" t="n">
        <v>11.8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37979-2026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46280</v>
      </c>
      <c r="E893" s="1" t="n">
        <v>46315</v>
      </c>
      <c r="F893" t="inlineStr">
        <is>
          <t>GÄVLEBORGS LÄN</t>
        </is>
      </c>
      <c r="G893" t="inlineStr">
        <is>
          <t>NORDANSTIG</t>
        </is>
      </c>
      <c r="I893" t="n">
        <v>6.5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32092-2026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46234</v>
      </c>
      <c r="E894" s="1" t="n">
        <v>46315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19231-2024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45428</v>
      </c>
      <c r="E895" s="1" t="n">
        <v>46315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52746-2022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44874</v>
      </c>
      <c r="E896" s="1" t="n">
        <v>46315</v>
      </c>
      <c r="F896" t="inlineStr">
        <is>
          <t>GÄVLEBORGS LÄN</t>
        </is>
      </c>
      <c r="G896" t="inlineStr">
        <is>
          <t>NORDANSTIG</t>
        </is>
      </c>
      <c r="H896" t="inlineStr">
        <is>
          <t>SCA</t>
        </is>
      </c>
      <c r="I896" t="n">
        <v>7.1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54524-2024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45617</v>
      </c>
      <c r="E897" s="1" t="n">
        <v>46315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8898-2024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45357</v>
      </c>
      <c r="E898" s="1" t="n">
        <v>46315</v>
      </c>
      <c r="F898" t="inlineStr">
        <is>
          <t>GÄVLEBORGS LÄN</t>
        </is>
      </c>
      <c r="G898" t="inlineStr">
        <is>
          <t>NORDANSTIG</t>
        </is>
      </c>
      <c r="I898" t="n">
        <v>8.199999999999999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38380-2026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46282</v>
      </c>
      <c r="E899" s="1" t="n">
        <v>46315</v>
      </c>
      <c r="F899" t="inlineStr">
        <is>
          <t>GÄVLEBORGS LÄN</t>
        </is>
      </c>
      <c r="G899" t="inlineStr">
        <is>
          <t>NORDANSTIG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41318-2024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45559</v>
      </c>
      <c r="E900" s="1" t="n">
        <v>46315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32340-2026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46238</v>
      </c>
      <c r="E901" s="1" t="n">
        <v>46315</v>
      </c>
      <c r="F901" t="inlineStr">
        <is>
          <t>GÄVLEBORGS LÄN</t>
        </is>
      </c>
      <c r="G901" t="inlineStr">
        <is>
          <t>NORDANSTIG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15385-2023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45019</v>
      </c>
      <c r="E902" s="1" t="n">
        <v>46315</v>
      </c>
      <c r="F902" t="inlineStr">
        <is>
          <t>GÄVLEBORGS LÄN</t>
        </is>
      </c>
      <c r="G902" t="inlineStr">
        <is>
          <t>NORDANSTIG</t>
        </is>
      </c>
      <c r="I902" t="n">
        <v>5.9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1351-2024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45303</v>
      </c>
      <c r="E903" s="1" t="n">
        <v>46315</v>
      </c>
      <c r="F903" t="inlineStr">
        <is>
          <t>GÄVLEBORGS LÄN</t>
        </is>
      </c>
      <c r="G903" t="inlineStr">
        <is>
          <t>NORDANSTIG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26684-2026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46184</v>
      </c>
      <c r="E904" s="1" t="n">
        <v>46315</v>
      </c>
      <c r="F904" t="inlineStr">
        <is>
          <t>GÄVLEBORGS LÄN</t>
        </is>
      </c>
      <c r="G904" t="inlineStr">
        <is>
          <t>NORDANSTIG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45667</v>
      </c>
      <c r="E905" s="1" t="n">
        <v>46315</v>
      </c>
      <c r="F905" t="inlineStr">
        <is>
          <t>GÄVLEBORGS LÄN</t>
        </is>
      </c>
      <c r="G905" t="inlineStr">
        <is>
          <t>NORDANSTIG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1576-2025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45670</v>
      </c>
      <c r="E906" s="1" t="n">
        <v>46315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45670</v>
      </c>
      <c r="E907" s="1" t="n">
        <v>46315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45677</v>
      </c>
      <c r="E908" s="1" t="n">
        <v>46315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55276-2024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45621</v>
      </c>
      <c r="E909" s="1" t="n">
        <v>46315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58749-2024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45635</v>
      </c>
      <c r="E910" s="1" t="n">
        <v>46315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26842-2026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46185</v>
      </c>
      <c r="E911" s="1" t="n">
        <v>46315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50.7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25631-2023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45089</v>
      </c>
      <c r="E912" s="1" t="n">
        <v>46315</v>
      </c>
      <c r="F912" t="inlineStr">
        <is>
          <t>GÄVLEBORGS LÄN</t>
        </is>
      </c>
      <c r="G912" t="inlineStr">
        <is>
          <t>NORDANSTIG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38548-2026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46283</v>
      </c>
      <c r="E913" s="1" t="n">
        <v>46315</v>
      </c>
      <c r="F913" t="inlineStr">
        <is>
          <t>GÄVLEBORGS LÄN</t>
        </is>
      </c>
      <c r="G913" t="inlineStr">
        <is>
          <t>NORDANSTIG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32726-2026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46241</v>
      </c>
      <c r="E914" s="1" t="n">
        <v>46315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39314-2026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46288</v>
      </c>
      <c r="E915" s="1" t="n">
        <v>46315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14.6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39376-2026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46288</v>
      </c>
      <c r="E916" s="1" t="n">
        <v>46315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32938-2026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46244</v>
      </c>
      <c r="E917" s="1" t="n">
        <v>46315</v>
      </c>
      <c r="F917" t="inlineStr">
        <is>
          <t>GÄVLEBORGS LÄN</t>
        </is>
      </c>
      <c r="G917" t="inlineStr">
        <is>
          <t>NORDANSTIG</t>
        </is>
      </c>
      <c r="I917" t="n">
        <v>4.1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51842-2024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45607</v>
      </c>
      <c r="E918" s="1" t="n">
        <v>46315</v>
      </c>
      <c r="F918" t="inlineStr">
        <is>
          <t>GÄVLEBORGS LÄN</t>
        </is>
      </c>
      <c r="G918" t="inlineStr">
        <is>
          <t>NORDANSTIG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54401-2024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45617</v>
      </c>
      <c r="E919" s="1" t="n">
        <v>46315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17641-2025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45758</v>
      </c>
      <c r="E920" s="1" t="n">
        <v>46315</v>
      </c>
      <c r="F920" t="inlineStr">
        <is>
          <t>GÄVLEBORGS LÄN</t>
        </is>
      </c>
      <c r="G920" t="inlineStr">
        <is>
          <t>NORDANSTIG</t>
        </is>
      </c>
      <c r="I920" t="n">
        <v>4.7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32917-2026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46315</v>
      </c>
      <c r="F921" t="inlineStr">
        <is>
          <t>GÄVLEBORGS LÄN</t>
        </is>
      </c>
      <c r="G921" t="inlineStr">
        <is>
          <t>NORDANSTIG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54200-2023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45232</v>
      </c>
      <c r="E922" s="1" t="n">
        <v>46315</v>
      </c>
      <c r="F922" t="inlineStr">
        <is>
          <t>GÄVLEBORGS LÄN</t>
        </is>
      </c>
      <c r="G922" t="inlineStr">
        <is>
          <t>NORDANSTIG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59043-2024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45636</v>
      </c>
      <c r="E923" s="1" t="n">
        <v>46315</v>
      </c>
      <c r="F923" t="inlineStr">
        <is>
          <t>GÄVLEBORGS LÄN</t>
        </is>
      </c>
      <c r="G923" t="inlineStr">
        <is>
          <t>NORDANSTIG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10069-2025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45719</v>
      </c>
      <c r="E924" s="1" t="n">
        <v>46315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40241-2023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45169</v>
      </c>
      <c r="E925" s="1" t="n">
        <v>46315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4.3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11394-2025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45726</v>
      </c>
      <c r="E926" s="1" t="n">
        <v>46315</v>
      </c>
      <c r="F926" t="inlineStr">
        <is>
          <t>GÄVLEBORGS LÄN</t>
        </is>
      </c>
      <c r="G926" t="inlineStr">
        <is>
          <t>NORDANSTIG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55523-2024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45622</v>
      </c>
      <c r="E927" s="1" t="n">
        <v>46315</v>
      </c>
      <c r="F927" t="inlineStr">
        <is>
          <t>GÄVLEBORGS LÄN</t>
        </is>
      </c>
      <c r="G927" t="inlineStr">
        <is>
          <t>NORDANSTIG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39675-2026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46289</v>
      </c>
      <c r="E928" s="1" t="n">
        <v>46315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32350-2022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44781</v>
      </c>
      <c r="E929" s="1" t="n">
        <v>46315</v>
      </c>
      <c r="F929" t="inlineStr">
        <is>
          <t>GÄVLEBORGS LÄN</t>
        </is>
      </c>
      <c r="G929" t="inlineStr">
        <is>
          <t>NORDANSTIG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55948-2024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45623</v>
      </c>
      <c r="E930" s="1" t="n">
        <v>46315</v>
      </c>
      <c r="F930" t="inlineStr">
        <is>
          <t>GÄVLEBORGS LÄN</t>
        </is>
      </c>
      <c r="G930" t="inlineStr">
        <is>
          <t>NORDANSTIG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32827-2023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45124</v>
      </c>
      <c r="E931" s="1" t="n">
        <v>46315</v>
      </c>
      <c r="F931" t="inlineStr">
        <is>
          <t>GÄVLEBORGS LÄN</t>
        </is>
      </c>
      <c r="G931" t="inlineStr">
        <is>
          <t>NORDANSTIG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28697-2023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45103</v>
      </c>
      <c r="E932" s="1" t="n">
        <v>46315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39584-2026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46289</v>
      </c>
      <c r="E933" s="1" t="n">
        <v>46315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1708-2023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44938</v>
      </c>
      <c r="E934" s="1" t="n">
        <v>46315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9031-2026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46069</v>
      </c>
      <c r="E935" s="1" t="n">
        <v>46315</v>
      </c>
      <c r="F935" t="inlineStr">
        <is>
          <t>GÄVLEBORGS LÄN</t>
        </is>
      </c>
      <c r="G935" t="inlineStr">
        <is>
          <t>NORDANSTIG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28777-2026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46198</v>
      </c>
      <c r="E936" s="1" t="n">
        <v>46315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59799-2022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44908</v>
      </c>
      <c r="E937" s="1" t="n">
        <v>46315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31894-2026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46231</v>
      </c>
      <c r="E938" s="1" t="n">
        <v>46315</v>
      </c>
      <c r="F938" t="inlineStr">
        <is>
          <t>GÄVLEBORGS LÄN</t>
        </is>
      </c>
      <c r="G938" t="inlineStr">
        <is>
          <t>NORDANSTIG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40348-2026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46294</v>
      </c>
      <c r="E939" s="1" t="n">
        <v>46315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36525-2024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45537</v>
      </c>
      <c r="E940" s="1" t="n">
        <v>46315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40110-2026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46293</v>
      </c>
      <c r="E941" s="1" t="n">
        <v>46315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59422-2022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44907</v>
      </c>
      <c r="E942" s="1" t="n">
        <v>46315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14532-2026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46100</v>
      </c>
      <c r="E943" s="1" t="n">
        <v>46315</v>
      </c>
      <c r="F943" t="inlineStr">
        <is>
          <t>GÄVLEBORGS LÄN</t>
        </is>
      </c>
      <c r="G943" t="inlineStr">
        <is>
          <t>NORDANSTIG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40172-2026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46293</v>
      </c>
      <c r="E944" s="1" t="n">
        <v>46315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22547-2022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44713</v>
      </c>
      <c r="E945" s="1" t="n">
        <v>46315</v>
      </c>
      <c r="F945" t="inlineStr">
        <is>
          <t>GÄVLEBORGS LÄN</t>
        </is>
      </c>
      <c r="G945" t="inlineStr">
        <is>
          <t>NORDANSTIG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38451-2024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45546</v>
      </c>
      <c r="E946" s="1" t="n">
        <v>46315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14244-2026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46099</v>
      </c>
      <c r="E947" s="1" t="n">
        <v>46315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45551-2024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45579</v>
      </c>
      <c r="E948" s="1" t="n">
        <v>46315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33884-2026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46251</v>
      </c>
      <c r="E949" s="1" t="n">
        <v>46315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34235-2026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46253</v>
      </c>
      <c r="E950" s="1" t="n">
        <v>46315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58162-2024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45632</v>
      </c>
      <c r="E951" s="1" t="n">
        <v>46315</v>
      </c>
      <c r="F951" t="inlineStr">
        <is>
          <t>GÄVLEBORGS LÄN</t>
        </is>
      </c>
      <c r="G951" t="inlineStr">
        <is>
          <t>NORDANSTIG</t>
        </is>
      </c>
      <c r="H951" t="inlineStr">
        <is>
          <t>Kyrkan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34212-2026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46253</v>
      </c>
      <c r="E952" s="1" t="n">
        <v>46315</v>
      </c>
      <c r="F952" t="inlineStr">
        <is>
          <t>GÄVLEBORGS LÄN</t>
        </is>
      </c>
      <c r="G952" t="inlineStr">
        <is>
          <t>NORDANSTIG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34248-2026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46253</v>
      </c>
      <c r="E953" s="1" t="n">
        <v>46315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40723-2026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46296</v>
      </c>
      <c r="E954" s="1" t="n">
        <v>46315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58876-2024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45636</v>
      </c>
      <c r="E955" s="1" t="n">
        <v>46315</v>
      </c>
      <c r="F955" t="inlineStr">
        <is>
          <t>GÄVLEBORGS LÄN</t>
        </is>
      </c>
      <c r="G955" t="inlineStr">
        <is>
          <t>NORDANSTIG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20876-2025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45777</v>
      </c>
      <c r="E956" s="1" t="n">
        <v>46315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34229-2026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46253</v>
      </c>
      <c r="E957" s="1" t="n">
        <v>46315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21725-2025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45783</v>
      </c>
      <c r="E958" s="1" t="n">
        <v>46315</v>
      </c>
      <c r="F958" t="inlineStr">
        <is>
          <t>GÄVLEBORGS LÄN</t>
        </is>
      </c>
      <c r="G958" t="inlineStr">
        <is>
          <t>NORDANSTIG</t>
        </is>
      </c>
      <c r="I958" t="n">
        <v>6.4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18716-2025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45763</v>
      </c>
      <c r="E959" s="1" t="n">
        <v>46315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18707-2025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45763</v>
      </c>
      <c r="E960" s="1" t="n">
        <v>46315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12389-2023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44999</v>
      </c>
      <c r="E961" s="1" t="n">
        <v>46315</v>
      </c>
      <c r="F961" t="inlineStr">
        <is>
          <t>GÄVLEBORGS LÄN</t>
        </is>
      </c>
      <c r="G961" t="inlineStr">
        <is>
          <t>NORDANSTIG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21928-2025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45784</v>
      </c>
      <c r="E962" s="1" t="n">
        <v>46315</v>
      </c>
      <c r="F962" t="inlineStr">
        <is>
          <t>GÄVLEBORGS LÄN</t>
        </is>
      </c>
      <c r="G962" t="inlineStr">
        <is>
          <t>NORDANSTIG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36840-2026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46272</v>
      </c>
      <c r="E963" s="1" t="n">
        <v>46315</v>
      </c>
      <c r="F963" t="inlineStr">
        <is>
          <t>GÄVLEBORGS LÄN</t>
        </is>
      </c>
      <c r="G963" t="inlineStr">
        <is>
          <t>NORDANSTIG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29162-2026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46202</v>
      </c>
      <c r="E964" s="1" t="n">
        <v>46315</v>
      </c>
      <c r="F964" t="inlineStr">
        <is>
          <t>GÄVLEBORGS LÄN</t>
        </is>
      </c>
      <c r="G964" t="inlineStr">
        <is>
          <t>NORDANSTIG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30879-2024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45498</v>
      </c>
      <c r="E965" s="1" t="n">
        <v>46315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9425-2026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46071</v>
      </c>
      <c r="E966" s="1" t="n">
        <v>46315</v>
      </c>
      <c r="F966" t="inlineStr">
        <is>
          <t>GÄVLEBORGS LÄN</t>
        </is>
      </c>
      <c r="G966" t="inlineStr">
        <is>
          <t>NORDANSTIG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20133-2026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46136</v>
      </c>
      <c r="E967" s="1" t="n">
        <v>46315</v>
      </c>
      <c r="F967" t="inlineStr">
        <is>
          <t>GÄVLEBORGS LÄN</t>
        </is>
      </c>
      <c r="G967" t="inlineStr">
        <is>
          <t>NORDANSTIG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34542-2026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46255</v>
      </c>
      <c r="E968" s="1" t="n">
        <v>46315</v>
      </c>
      <c r="F968" t="inlineStr">
        <is>
          <t>GÄVLEBORGS LÄN</t>
        </is>
      </c>
      <c r="G968" t="inlineStr">
        <is>
          <t>NORDANSTIG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34475-2026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46254</v>
      </c>
      <c r="E969" s="1" t="n">
        <v>46315</v>
      </c>
      <c r="F969" t="inlineStr">
        <is>
          <t>GÄVLEBORGS LÄN</t>
        </is>
      </c>
      <c r="G969" t="inlineStr">
        <is>
          <t>NORDANSTIG</t>
        </is>
      </c>
      <c r="H969" t="inlineStr">
        <is>
          <t>SCA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32470-2023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45120</v>
      </c>
      <c r="E970" s="1" t="n">
        <v>46315</v>
      </c>
      <c r="F970" t="inlineStr">
        <is>
          <t>GÄVLEBORGS LÄN</t>
        </is>
      </c>
      <c r="G970" t="inlineStr">
        <is>
          <t>NORDANSTIG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41063-2026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46300</v>
      </c>
      <c r="E971" s="1" t="n">
        <v>46315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22310-2025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45786</v>
      </c>
      <c r="E972" s="1" t="n">
        <v>46315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27.9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67879-2021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44525</v>
      </c>
      <c r="E973" s="1" t="n">
        <v>46315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18531-2026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46127</v>
      </c>
      <c r="E974" s="1" t="n">
        <v>46315</v>
      </c>
      <c r="F974" t="inlineStr">
        <is>
          <t>GÄVLEBORGS LÄN</t>
        </is>
      </c>
      <c r="G974" t="inlineStr">
        <is>
          <t>NORDANSTIG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16616-2025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45754</v>
      </c>
      <c r="E975" s="1" t="n">
        <v>46315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41169-2026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46300</v>
      </c>
      <c r="E976" s="1" t="n">
        <v>46315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22319-2025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45786</v>
      </c>
      <c r="E977" s="1" t="n">
        <v>46315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4.3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23122-2025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45791</v>
      </c>
      <c r="E978" s="1" t="n">
        <v>46315</v>
      </c>
      <c r="F978" t="inlineStr">
        <is>
          <t>GÄVLEBORGS LÄN</t>
        </is>
      </c>
      <c r="G978" t="inlineStr">
        <is>
          <t>NORDANSTIG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41665-2026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46302</v>
      </c>
      <c r="E979" s="1" t="n">
        <v>46315</v>
      </c>
      <c r="F979" t="inlineStr">
        <is>
          <t>GÄVLEBORGS LÄN</t>
        </is>
      </c>
      <c r="G979" t="inlineStr">
        <is>
          <t>NORDANSTIG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34999-2026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46259</v>
      </c>
      <c r="E980" s="1" t="n">
        <v>46315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17678-2025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45758</v>
      </c>
      <c r="E981" s="1" t="n">
        <v>46315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23623-2025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45792</v>
      </c>
      <c r="E982" s="1" t="n">
        <v>46315</v>
      </c>
      <c r="F982" t="inlineStr">
        <is>
          <t>GÄVLEBORGS LÄN</t>
        </is>
      </c>
      <c r="G982" t="inlineStr">
        <is>
          <t>NORDANSTIG</t>
        </is>
      </c>
      <c r="I982" t="n">
        <v>12.9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23154-2025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45791</v>
      </c>
      <c r="E983" s="1" t="n">
        <v>46315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20137-2023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45055</v>
      </c>
      <c r="E984" s="1" t="n">
        <v>46315</v>
      </c>
      <c r="F984" t="inlineStr">
        <is>
          <t>GÄVLEBORGS LÄN</t>
        </is>
      </c>
      <c r="G984" t="inlineStr">
        <is>
          <t>NORDANSTIG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10680-2026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46078</v>
      </c>
      <c r="E985" s="1" t="n">
        <v>46315</v>
      </c>
      <c r="F985" t="inlineStr">
        <is>
          <t>GÄVLEBORGS LÄN</t>
        </is>
      </c>
      <c r="G985" t="inlineStr">
        <is>
          <t>NORDANSTIG</t>
        </is>
      </c>
      <c r="I985" t="n">
        <v>10.9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54803-2023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45236</v>
      </c>
      <c r="E986" s="1" t="n">
        <v>46315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33414-2022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44788</v>
      </c>
      <c r="E987" s="1" t="n">
        <v>46315</v>
      </c>
      <c r="F987" t="inlineStr">
        <is>
          <t>GÄVLEBORGS LÄN</t>
        </is>
      </c>
      <c r="G987" t="inlineStr">
        <is>
          <t>NORDANSTIG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23119-2025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46315</v>
      </c>
      <c r="F988" t="inlineStr">
        <is>
          <t>GÄVLEBORGS LÄN</t>
        </is>
      </c>
      <c r="G988" t="inlineStr">
        <is>
          <t>NORDANSTIG</t>
        </is>
      </c>
      <c r="I988" t="n">
        <v>3.7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23072-2025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45790</v>
      </c>
      <c r="E989" s="1" t="n">
        <v>46315</v>
      </c>
      <c r="F989" t="inlineStr">
        <is>
          <t>GÄVLEBORGS LÄN</t>
        </is>
      </c>
      <c r="G989" t="inlineStr">
        <is>
          <t>NORDANSTIG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26671-2026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46184</v>
      </c>
      <c r="E990" s="1" t="n">
        <v>46315</v>
      </c>
      <c r="F990" t="inlineStr">
        <is>
          <t>GÄVLEBORGS LÄN</t>
        </is>
      </c>
      <c r="G990" t="inlineStr">
        <is>
          <t>NORDANSTIG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34693-2026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46258</v>
      </c>
      <c r="E991" s="1" t="n">
        <v>46315</v>
      </c>
      <c r="F991" t="inlineStr">
        <is>
          <t>GÄVLEBORGS LÄN</t>
        </is>
      </c>
      <c r="G991" t="inlineStr">
        <is>
          <t>NORDANSTIG</t>
        </is>
      </c>
      <c r="I991" t="n">
        <v>9.199999999999999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34998-2026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46259</v>
      </c>
      <c r="E992" s="1" t="n">
        <v>46315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23993-2025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45796</v>
      </c>
      <c r="E993" s="1" t="n">
        <v>46315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41.3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46315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11113-2026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46079</v>
      </c>
      <c r="E995" s="1" t="n">
        <v>46315</v>
      </c>
      <c r="F995" t="inlineStr">
        <is>
          <t>GÄVLEBORGS LÄN</t>
        </is>
      </c>
      <c r="G995" t="inlineStr">
        <is>
          <t>NORDANSTIG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41666-2026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46302</v>
      </c>
      <c r="E996" s="1" t="n">
        <v>46315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5.6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41658-2026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46302</v>
      </c>
      <c r="E997" s="1" t="n">
        <v>46315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4.7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41626-2026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46302</v>
      </c>
      <c r="E998" s="1" t="n">
        <v>46315</v>
      </c>
      <c r="F998" t="inlineStr">
        <is>
          <t>GÄVLEBORGS LÄN</t>
        </is>
      </c>
      <c r="G998" t="inlineStr">
        <is>
          <t>NORDANSTIG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43523-2024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45569</v>
      </c>
      <c r="E999" s="1" t="n">
        <v>46315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45312-2023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45191</v>
      </c>
      <c r="E1000" s="1" t="n">
        <v>46315</v>
      </c>
      <c r="F1000" t="inlineStr">
        <is>
          <t>GÄVLEBORGS LÄN</t>
        </is>
      </c>
      <c r="G1000" t="inlineStr">
        <is>
          <t>NORDANSTIG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23788-2025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45793</v>
      </c>
      <c r="E1001" s="1" t="n">
        <v>46315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24101-2025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45796</v>
      </c>
      <c r="E1002" s="1" t="n">
        <v>46315</v>
      </c>
      <c r="F1002" t="inlineStr">
        <is>
          <t>GÄVLEBORGS LÄN</t>
        </is>
      </c>
      <c r="G1002" t="inlineStr">
        <is>
          <t>NORDANSTIG</t>
        </is>
      </c>
      <c r="I1002" t="n">
        <v>4.9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25723-2024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45463</v>
      </c>
      <c r="E1003" s="1" t="n">
        <v>46315</v>
      </c>
      <c r="F1003" t="inlineStr">
        <is>
          <t>GÄVLEBORGS LÄN</t>
        </is>
      </c>
      <c r="G1003" t="inlineStr">
        <is>
          <t>NORDANSTIG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35741-2024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46315</v>
      </c>
      <c r="F1004" t="inlineStr">
        <is>
          <t>GÄVLEBORGS LÄN</t>
        </is>
      </c>
      <c r="G1004" t="inlineStr">
        <is>
          <t>NORDANSTIG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35342-2026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46261</v>
      </c>
      <c r="E1005" s="1" t="n">
        <v>46315</v>
      </c>
      <c r="F1005" t="inlineStr">
        <is>
          <t>GÄVLEBORGS LÄN</t>
        </is>
      </c>
      <c r="G1005" t="inlineStr">
        <is>
          <t>NORDANSTIG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37294-2024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45540</v>
      </c>
      <c r="E1006" s="1" t="n">
        <v>46315</v>
      </c>
      <c r="F1006" t="inlineStr">
        <is>
          <t>GÄVLEBORGS LÄN</t>
        </is>
      </c>
      <c r="G1006" t="inlineStr">
        <is>
          <t>NORDANSTIG</t>
        </is>
      </c>
      <c r="I1006" t="n">
        <v>3.9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47238-2024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45586</v>
      </c>
      <c r="E1007" s="1" t="n">
        <v>46315</v>
      </c>
      <c r="F1007" t="inlineStr">
        <is>
          <t>GÄVLEBORGS LÄN</t>
        </is>
      </c>
      <c r="G1007" t="inlineStr">
        <is>
          <t>NORDANSTIG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46315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16.7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24938-2025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45799</v>
      </c>
      <c r="E1009" s="1" t="n">
        <v>46315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25080-2025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45799</v>
      </c>
      <c r="E1010" s="1" t="n">
        <v>46315</v>
      </c>
      <c r="F1010" t="inlineStr">
        <is>
          <t>GÄVLEBORGS LÄN</t>
        </is>
      </c>
      <c r="G1010" t="inlineStr">
        <is>
          <t>NORDANSTIG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46315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31732-2026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46227</v>
      </c>
      <c r="E1012" s="1" t="n">
        <v>46315</v>
      </c>
      <c r="F1012" t="inlineStr">
        <is>
          <t>GÄVLEBORGS LÄN</t>
        </is>
      </c>
      <c r="G1012" t="inlineStr">
        <is>
          <t>NORDANSTIG</t>
        </is>
      </c>
      <c r="I1012" t="n">
        <v>5.1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45802</v>
      </c>
      <c r="E1013" s="1" t="n">
        <v>46315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46315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6.4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46031</v>
      </c>
      <c r="E1015" s="1" t="n">
        <v>46315</v>
      </c>
      <c r="F1015" t="inlineStr">
        <is>
          <t>GÄVLEBORGS LÄN</t>
        </is>
      </c>
      <c r="G1015" t="inlineStr">
        <is>
          <t>NORDANSTIG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4142-2023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44953</v>
      </c>
      <c r="E1016" s="1" t="n">
        <v>46315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45306</v>
      </c>
      <c r="E1017" s="1" t="n">
        <v>46315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52120-2022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44873</v>
      </c>
      <c r="E1018" s="1" t="n">
        <v>46315</v>
      </c>
      <c r="F1018" t="inlineStr">
        <is>
          <t>GÄVLEBORGS LÄN</t>
        </is>
      </c>
      <c r="G1018" t="inlineStr">
        <is>
          <t>NORDANSTIG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5475-2023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44960</v>
      </c>
      <c r="E1019" s="1" t="n">
        <v>46315</v>
      </c>
      <c r="F1019" t="inlineStr">
        <is>
          <t>GÄVLEBORGS LÄN</t>
        </is>
      </c>
      <c r="G1019" t="inlineStr">
        <is>
          <t>NORDANSTIG</t>
        </is>
      </c>
      <c r="I1019" t="n">
        <v>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60520-2023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45259</v>
      </c>
      <c r="E1020" s="1" t="n">
        <v>46315</v>
      </c>
      <c r="F1020" t="inlineStr">
        <is>
          <t>GÄVLEBORGS LÄN</t>
        </is>
      </c>
      <c r="G1020" t="inlineStr">
        <is>
          <t>NORDANSTIG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2149-2024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45309</v>
      </c>
      <c r="E1021" s="1" t="n">
        <v>46315</v>
      </c>
      <c r="F1021" t="inlineStr">
        <is>
          <t>GÄVLEBORGS LÄN</t>
        </is>
      </c>
      <c r="G1021" t="inlineStr">
        <is>
          <t>NORDANSTIG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35546-2026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46262</v>
      </c>
      <c r="E1022" s="1" t="n">
        <v>46315</v>
      </c>
      <c r="F1022" t="inlineStr">
        <is>
          <t>GÄVLEBORGS LÄN</t>
        </is>
      </c>
      <c r="G1022" t="inlineStr">
        <is>
          <t>NORDANSTIG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27224-2025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45812</v>
      </c>
      <c r="E1023" s="1" t="n">
        <v>46315</v>
      </c>
      <c r="F1023" t="inlineStr">
        <is>
          <t>GÄVLEBORGS LÄN</t>
        </is>
      </c>
      <c r="G1023" t="inlineStr">
        <is>
          <t>NORDANSTIG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27203-2025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45812</v>
      </c>
      <c r="E1024" s="1" t="n">
        <v>46315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61418-2024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45646</v>
      </c>
      <c r="E1025" s="1" t="n">
        <v>46315</v>
      </c>
      <c r="F1025" t="inlineStr">
        <is>
          <t>GÄVLEBORGS LÄN</t>
        </is>
      </c>
      <c r="G1025" t="inlineStr">
        <is>
          <t>NORDANSTIG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71442-2021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44540</v>
      </c>
      <c r="E1026" s="1" t="n">
        <v>46315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27447-2025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45813</v>
      </c>
      <c r="E1027" s="1" t="n">
        <v>46315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45663</v>
      </c>
      <c r="E1028" s="1" t="n">
        <v>46315</v>
      </c>
      <c r="F1028" t="inlineStr">
        <is>
          <t>GÄVLEBORGS LÄN</t>
        </is>
      </c>
      <c r="G1028" t="inlineStr">
        <is>
          <t>NORDANSTIG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42385-2026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46307</v>
      </c>
      <c r="E1029" s="1" t="n">
        <v>46315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27894-2025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45817</v>
      </c>
      <c r="E1030" s="1" t="n">
        <v>46315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8.6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27841-2025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45817</v>
      </c>
      <c r="E1031" s="1" t="n">
        <v>46315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27804-2025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46315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35782-2026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46265</v>
      </c>
      <c r="E1033" s="1" t="n">
        <v>46315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29275-2025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45824</v>
      </c>
      <c r="E1034" s="1" t="n">
        <v>46315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5.3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29878-2025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45826</v>
      </c>
      <c r="E1035" s="1" t="n">
        <v>46315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30022-2025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45826</v>
      </c>
      <c r="E1036" s="1" t="n">
        <v>46315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29741-2025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45825</v>
      </c>
      <c r="E1037" s="1" t="n">
        <v>46315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42800-2026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46309</v>
      </c>
      <c r="E1038" s="1" t="n">
        <v>46315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30291-2025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45827</v>
      </c>
      <c r="E1039" s="1" t="n">
        <v>46315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30870-2025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45832</v>
      </c>
      <c r="E1040" s="1" t="n">
        <v>46315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31031-2025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45832</v>
      </c>
      <c r="E1041" s="1" t="n">
        <v>46315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31197-2025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46315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32092-2025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45835</v>
      </c>
      <c r="E1043" s="1" t="n">
        <v>46315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32105-2025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45835</v>
      </c>
      <c r="E1044" s="1" t="n">
        <v>46315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32082-2025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45835</v>
      </c>
      <c r="E1045" s="1" t="n">
        <v>46315</v>
      </c>
      <c r="F1045" t="inlineStr">
        <is>
          <t>GÄVLEBORGS LÄN</t>
        </is>
      </c>
      <c r="G1045" t="inlineStr">
        <is>
          <t>NORDANSTIG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62495-2025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46007</v>
      </c>
      <c r="E1046" s="1" t="n">
        <v>46315</v>
      </c>
      <c r="F1046" t="inlineStr">
        <is>
          <t>GÄVLEBORGS LÄN</t>
        </is>
      </c>
      <c r="G1046" t="inlineStr">
        <is>
          <t>NORDANSTIG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33097-2025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45840</v>
      </c>
      <c r="E1047" s="1" t="n">
        <v>46315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40104-2024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45554</v>
      </c>
      <c r="E1048" s="1" t="n">
        <v>46315</v>
      </c>
      <c r="F1048" t="inlineStr">
        <is>
          <t>GÄVLEBORGS LÄN</t>
        </is>
      </c>
      <c r="G1048" t="inlineStr">
        <is>
          <t>NORDANSTIG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32736-2025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45839</v>
      </c>
      <c r="E1049" s="1" t="n">
        <v>46315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43408-2026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46314</v>
      </c>
      <c r="E1050" s="1" t="n">
        <v>46315</v>
      </c>
      <c r="F1050" t="inlineStr">
        <is>
          <t>GÄVLEBORGS LÄN</t>
        </is>
      </c>
      <c r="G1050" t="inlineStr">
        <is>
          <t>NORDANSTIG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33355-2025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46315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34.6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33339-2025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45841</v>
      </c>
      <c r="E1052" s="1" t="n">
        <v>46315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33532-2025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45841</v>
      </c>
      <c r="E1053" s="1" t="n">
        <v>46315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34311-2025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45846</v>
      </c>
      <c r="E1054" s="1" t="n">
        <v>46315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34342-2025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45846</v>
      </c>
      <c r="E1055" s="1" t="n">
        <v>46315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36825-2026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46315</v>
      </c>
      <c r="F1056" t="inlineStr">
        <is>
          <t>GÄVLEBORGS LÄN</t>
        </is>
      </c>
      <c r="G1056" t="inlineStr">
        <is>
          <t>NORDANSTIG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43271-2026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46314</v>
      </c>
      <c r="E1057" s="1" t="n">
        <v>46315</v>
      </c>
      <c r="F1057" t="inlineStr">
        <is>
          <t>GÄVLEBORGS LÄN</t>
        </is>
      </c>
      <c r="G1057" t="inlineStr">
        <is>
          <t>NORDANSTIG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62496-2025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46007</v>
      </c>
      <c r="E1058" s="1" t="n">
        <v>46315</v>
      </c>
      <c r="F1058" t="inlineStr">
        <is>
          <t>GÄVLEBORGS LÄN</t>
        </is>
      </c>
      <c r="G1058" t="inlineStr">
        <is>
          <t>NORDANSTIG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34728-2025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45848</v>
      </c>
      <c r="E1059" s="1" t="n">
        <v>46315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34788-2025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45848</v>
      </c>
      <c r="E1060" s="1" t="n">
        <v>46315</v>
      </c>
      <c r="F1060" t="inlineStr">
        <is>
          <t>GÄVLEBORGS LÄN</t>
        </is>
      </c>
      <c r="G1060" t="inlineStr">
        <is>
          <t>NORDANSTIG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34694-2025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45848</v>
      </c>
      <c r="E1061" s="1" t="n">
        <v>46315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36432-2026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46315</v>
      </c>
      <c r="F1062" t="inlineStr">
        <is>
          <t>GÄVLEBORGS LÄN</t>
        </is>
      </c>
      <c r="G1062" t="inlineStr">
        <is>
          <t>NORDANSTIG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5968-2025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45695</v>
      </c>
      <c r="E1063" s="1" t="n">
        <v>46315</v>
      </c>
      <c r="F1063" t="inlineStr">
        <is>
          <t>GÄVLEBORGS LÄN</t>
        </is>
      </c>
      <c r="G1063" t="inlineStr">
        <is>
          <t>NORDANSTIG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35707-2025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45860</v>
      </c>
      <c r="E1064" s="1" t="n">
        <v>46315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35652-2025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45859</v>
      </c>
      <c r="E1065" s="1" t="n">
        <v>46315</v>
      </c>
      <c r="F1065" t="inlineStr">
        <is>
          <t>GÄVLEBORGS LÄN</t>
        </is>
      </c>
      <c r="G1065" t="inlineStr">
        <is>
          <t>NORDANSTIG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35733-2025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45860</v>
      </c>
      <c r="E1066" s="1" t="n">
        <v>46315</v>
      </c>
      <c r="F1066" t="inlineStr">
        <is>
          <t>GÄVLEBORGS LÄN</t>
        </is>
      </c>
      <c r="G1066" t="inlineStr">
        <is>
          <t>NORDANSTIG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37728-2025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45880</v>
      </c>
      <c r="E1067" s="1" t="n">
        <v>46315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37848-2025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45881</v>
      </c>
      <c r="E1068" s="1" t="n">
        <v>46315</v>
      </c>
      <c r="F1068" t="inlineStr">
        <is>
          <t>GÄVLEBORGS LÄN</t>
        </is>
      </c>
      <c r="G1068" t="inlineStr">
        <is>
          <t>NORDANSTIG</t>
        </is>
      </c>
      <c r="I1068" t="n">
        <v>0.3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38091-2025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45882</v>
      </c>
      <c r="E1069" s="1" t="n">
        <v>46315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46315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39.7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3990-2023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10130-2021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44538</v>
      </c>
      <c r="E1072" s="1" t="n">
        <v>46315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3983-2023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73.3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131-2025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46315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68.7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25-2023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44929</v>
      </c>
      <c r="E1078" s="1" t="n">
        <v>46315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119.5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3996-2023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46315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52.3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1008-2024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45386</v>
      </c>
      <c r="E1080" s="1" t="n">
        <v>46315</v>
      </c>
      <c r="F1080" t="inlineStr">
        <is>
          <t>GÄVLEBORGS LÄN</t>
        </is>
      </c>
      <c r="G1080" t="inlineStr">
        <is>
          <t>NORDANSTIG</t>
        </is>
      </c>
      <c r="I1080" t="n">
        <v>6.8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3989-2023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46315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28.4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3994-2023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46315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57.5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127-2025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46315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3991-2023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46315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3997-2023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46315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12.1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3992-2023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46315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130.4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138-2025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46315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49.7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3988-2023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46315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150.6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128-2025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46315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122-2025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45670</v>
      </c>
      <c r="E1090" s="1" t="n">
        <v>46315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128.2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  <c r="Z1090">
        <f>HYPERLINK("https://klasma.github.io/Logging_2132/knärot/S 122-2025 karta knärot.png", "S 122-2025")</f>
        <v/>
      </c>
      <c r="AA1090">
        <f>HYPERLINK("https://klasma.github.io/Logging_2132/klagomål/S 122-2025 FSC-klagomål.docx", "S 122-2025")</f>
        <v/>
      </c>
      <c r="AB1090">
        <f>HYPERLINK("https://klasma.github.io/Logging_2132/klagomålsmail/S 122-2025 FSC-klagomål mail.docx", "S 122-2025")</f>
        <v/>
      </c>
      <c r="AC1090">
        <f>HYPERLINK("https://klasma.github.io/Logging_2132/tillsyn/S 122-2025 tillsynsbegäran.docx", "S 122-2025")</f>
        <v/>
      </c>
      <c r="AD1090">
        <f>HYPERLINK("https://klasma.github.io/Logging_2132/tillsynsmail/S 122-2025 tillsynsbegäran mail.docx", "S 122-2025")</f>
        <v/>
      </c>
    </row>
    <row r="1091" ht="15" customHeight="1">
      <c r="A1091" t="inlineStr">
        <is>
          <t>S 573-2026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46083</v>
      </c>
      <c r="E1091" s="1" t="n">
        <v>46315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SCA</t>
        </is>
      </c>
      <c r="I1091" t="n">
        <v>64.3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8-2025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45650</v>
      </c>
      <c r="E1092" s="1" t="n">
        <v>46315</v>
      </c>
      <c r="F1092" t="inlineStr">
        <is>
          <t>GÄVLEBORGS LÄN</t>
        </is>
      </c>
      <c r="G1092" t="inlineStr">
        <is>
          <t>NORDANSTIG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2026-10-20T01:55:14Z</dcterms:created>
  <dcterms:modified xmlns:dcterms="http://purl.org/dc/terms/" xmlns:xsi="http://www.w3.org/2001/XMLSchema-instance" xsi:type="dcterms:W3CDTF">2026-10-20T01:55:15Z</dcterms:modified>
</cp:coreProperties>
</file>