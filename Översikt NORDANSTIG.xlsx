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46268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46268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46268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46268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46268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46268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46268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46268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46268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46268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46268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46268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46268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46268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46268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46268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46268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46268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46268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46268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46268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46268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46268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46268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46268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17006-2026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46114</v>
      </c>
      <c r="E41" s="1" t="n">
        <v>46268</v>
      </c>
      <c r="F41" t="inlineStr">
        <is>
          <t>GÄVLEBORGS LÄN</t>
        </is>
      </c>
      <c r="G41" t="inlineStr">
        <is>
          <t>NORDANSTIG</t>
        </is>
      </c>
      <c r="I41" t="n">
        <v>3.1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13</v>
      </c>
      <c r="U41" t="n">
        <v>0</v>
      </c>
      <c r="V41" s="2" t="inlineStr">
        <is>
          <t>Tjäder
Fläcknycklar</t>
        </is>
      </c>
      <c r="W41">
        <f>HYPERLINK("https://klasma.github.io/Logging_2132/artfynd/A 17006-2026 artfynd.xlsx", "A 17006-2026")</f>
        <v/>
      </c>
      <c r="X41">
        <f>HYPERLINK("https://klasma.github.io/Logging_2132/kartor/A 17006-2026 karta.png", "A 17006-2026")</f>
        <v/>
      </c>
      <c r="Y41">
        <f>HYPERLINK("https://klasma.github.io/Logging_2132/kartor_geotiff/A 17006-2026 georefererad karta.tif", "A 17006-2026")</f>
        <v/>
      </c>
      <c r="AA41">
        <f>HYPERLINK("https://klasma.github.io/Logging_2132/klagomål/A 17006-2026 FSC-klagomål.docx", "A 17006-2026")</f>
        <v/>
      </c>
      <c r="AB41">
        <f>HYPERLINK("https://klasma.github.io/Logging_2132/klagomålsmail/A 17006-2026 FSC-klagomål mail.docx", "A 17006-2026")</f>
        <v/>
      </c>
      <c r="AC41">
        <f>HYPERLINK("https://klasma.github.io/Logging_2132/tillsyn/A 17006-2026 tillsynsbegäran.docx", "A 17006-2026")</f>
        <v/>
      </c>
      <c r="AD41">
        <f>HYPERLINK("https://klasma.github.io/Logging_2132/tillsynsmail/A 17006-2026 tillsynsbegäran mail.docx", "A 17006-2026")</f>
        <v/>
      </c>
      <c r="AE41">
        <f>HYPERLINK("https://klasma.github.io/Logging_2132/fåglar/A 17006-2026 prioriterade fågelarter.docx", "A 17006-2026")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46268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46268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46268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46268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46268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46268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46268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46268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46268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46268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46268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46268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46268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57806-2024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46268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57806-2024 artfynd.xlsx", "A 57806-2024")</f>
        <v/>
      </c>
      <c r="X56">
        <f>HYPERLINK("https://klasma.github.io/Logging_2132/kartor/A 57806-2024 karta.png", "A 57806-2024")</f>
        <v/>
      </c>
      <c r="Y56">
        <f>HYPERLINK("https://klasma.github.io/Logging_2132/kartor_geotiff/A 57806-2024 georefererad karta.tif", "A 57806-2024")</f>
        <v/>
      </c>
      <c r="Z56">
        <f>HYPERLINK("https://klasma.github.io/Logging_2132/knärot/A 57806-2024 karta knärot.png", "A 57806-2024")</f>
        <v/>
      </c>
      <c r="AA56">
        <f>HYPERLINK("https://klasma.github.io/Logging_2132/klagomål/A 57806-2024 FSC-klagomål.docx", "A 57806-2024")</f>
        <v/>
      </c>
      <c r="AB56">
        <f>HYPERLINK("https://klasma.github.io/Logging_2132/klagomålsmail/A 57806-2024 FSC-klagomål mail.docx", "A 57806-2024")</f>
        <v/>
      </c>
      <c r="AC56">
        <f>HYPERLINK("https://klasma.github.io/Logging_2132/tillsyn/A 57806-2024 tillsynsbegäran.docx", "A 57806-2024")</f>
        <v/>
      </c>
      <c r="AD56">
        <f>HYPERLINK("https://klasma.github.io/Logging_2132/tillsynsmail/A 57806-2024 tillsynsbegäran mail.docx", "A 57806-2024")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46268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24758-2025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46268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24758-2025 artfynd.xlsx", "A 24758-2025")</f>
        <v/>
      </c>
      <c r="X58">
        <f>HYPERLINK("https://klasma.github.io/Logging_2132/kartor/A 24758-2025 karta.png", "A 24758-2025")</f>
        <v/>
      </c>
      <c r="Y58">
        <f>HYPERLINK("https://klasma.github.io/Logging_2132/kartor_geotiff/A 24758-2025 georefererad karta.tif", "A 24758-2025")</f>
        <v/>
      </c>
      <c r="Z58">
        <f>HYPERLINK("https://klasma.github.io/Logging_2132/knärot/A 24758-2025 karta knärot.png", "A 24758-2025")</f>
        <v/>
      </c>
      <c r="AA58">
        <f>HYPERLINK("https://klasma.github.io/Logging_2132/klagomål/A 24758-2025 FSC-klagomål.docx", "A 24758-2025")</f>
        <v/>
      </c>
      <c r="AB58">
        <f>HYPERLINK("https://klasma.github.io/Logging_2132/klagomålsmail/A 24758-2025 FSC-klagomål mail.docx", "A 24758-2025")</f>
        <v/>
      </c>
      <c r="AC58">
        <f>HYPERLINK("https://klasma.github.io/Logging_2132/tillsyn/A 24758-2025 tillsynsbegäran.docx", "A 24758-2025")</f>
        <v/>
      </c>
      <c r="AD58">
        <f>HYPERLINK("https://klasma.github.io/Logging_2132/tillsynsmail/A 24758-2025 tillsynsbegäran mail.docx", "A 24758-2025")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46268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HYPERLINK("https://klasma.github.io/Logging_2132/artfynd/A 16515-2023 artfynd.xlsx", "A 16515-2023")</f>
        <v/>
      </c>
      <c r="X59">
        <f>HYPERLINK("https://klasma.github.io/Logging_2132/kartor/A 16515-2023 karta.png", "A 16515-2023")</f>
        <v/>
      </c>
      <c r="Y59">
        <f>HYPERLINK("https://klasma.github.io/Logging_2132/kartor_geotiff/A 16515-2023 georefererad karta.tif", "A 16515-2023")</f>
        <v/>
      </c>
      <c r="AA59">
        <f>HYPERLINK("https://klasma.github.io/Logging_2132/klagomål/A 16515-2023 FSC-klagomål.docx", "A 16515-2023")</f>
        <v/>
      </c>
      <c r="AB59">
        <f>HYPERLINK("https://klasma.github.io/Logging_2132/klagomålsmail/A 16515-2023 FSC-klagomål mail.docx", "A 16515-2023")</f>
        <v/>
      </c>
      <c r="AC59">
        <f>HYPERLINK("https://klasma.github.io/Logging_2132/tillsyn/A 16515-2023 tillsynsbegäran.docx", "A 16515-2023")</f>
        <v/>
      </c>
      <c r="AD59">
        <f>HYPERLINK("https://klasma.github.io/Logging_2132/tillsynsmail/A 16515-2023 tillsynsbegäran mail.docx", "A 16515-2023")</f>
        <v/>
      </c>
    </row>
    <row r="60" ht="15" customHeight="1">
      <c r="A60" t="inlineStr">
        <is>
          <t>A 31845-2025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46268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Skinnlav</t>
        </is>
      </c>
      <c r="W60">
        <f>HYPERLINK("https://klasma.github.io/Logging_2132/artfynd/A 31845-2025 artfynd.xlsx", "A 31845-2025")</f>
        <v/>
      </c>
      <c r="X60">
        <f>HYPERLINK("https://klasma.github.io/Logging_2132/kartor/A 31845-2025 karta.png", "A 31845-2025")</f>
        <v/>
      </c>
      <c r="Y60">
        <f>HYPERLINK("https://klasma.github.io/Logging_2132/kartor_geotiff/A 31845-2025 georefererad karta.tif", "A 31845-2025")</f>
        <v/>
      </c>
      <c r="AA60">
        <f>HYPERLINK("https://klasma.github.io/Logging_2132/klagomål/A 31845-2025 FSC-klagomål.docx", "A 31845-2025")</f>
        <v/>
      </c>
      <c r="AB60">
        <f>HYPERLINK("https://klasma.github.io/Logging_2132/klagomålsmail/A 31845-2025 FSC-klagomål mail.docx", "A 31845-2025")</f>
        <v/>
      </c>
      <c r="AC60">
        <f>HYPERLINK("https://klasma.github.io/Logging_2132/tillsyn/A 31845-2025 tillsynsbegäran.docx", "A 31845-2025")</f>
        <v/>
      </c>
      <c r="AD60">
        <f>HYPERLINK("https://klasma.github.io/Logging_2132/tillsynsmail/A 31845-2025 tillsynsbegäran mail.docx", "A 31845-2025")</f>
        <v/>
      </c>
    </row>
    <row r="61" ht="15" customHeight="1">
      <c r="A61" t="inlineStr">
        <is>
          <t>A 2878-2026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46038</v>
      </c>
      <c r="E61" s="1" t="n">
        <v>46268</v>
      </c>
      <c r="F61" t="inlineStr">
        <is>
          <t>GÄVLEBORGS LÄN</t>
        </is>
      </c>
      <c r="G61" t="inlineStr">
        <is>
          <t>NORDANSTIG</t>
        </is>
      </c>
      <c r="I61" t="n">
        <v>3.4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HYPERLINK("https://klasma.github.io/Logging_2132/artfynd/A 2878-2026 artfynd.xlsx", "A 2878-2026")</f>
        <v/>
      </c>
      <c r="X61">
        <f>HYPERLINK("https://klasma.github.io/Logging_2132/kartor/A 2878-2026 karta.png", "A 2878-2026")</f>
        <v/>
      </c>
      <c r="Y61">
        <f>HYPERLINK("https://klasma.github.io/Logging_2132/kartor_geotiff/A 2878-2026 georefererad karta.tif", "A 2878-2026")</f>
        <v/>
      </c>
      <c r="AA61">
        <f>HYPERLINK("https://klasma.github.io/Logging_2132/klagomål/A 2878-2026 FSC-klagomål.docx", "A 2878-2026")</f>
        <v/>
      </c>
      <c r="AB61">
        <f>HYPERLINK("https://klasma.github.io/Logging_2132/klagomålsmail/A 2878-2026 FSC-klagomål mail.docx", "A 2878-2026")</f>
        <v/>
      </c>
      <c r="AC61">
        <f>HYPERLINK("https://klasma.github.io/Logging_2132/tillsyn/A 2878-2026 tillsynsbegäran.docx", "A 2878-2026")</f>
        <v/>
      </c>
      <c r="AD61">
        <f>HYPERLINK("https://klasma.github.io/Logging_2132/tillsynsmail/A 2878-2026 tillsynsbegäran mail.docx", "A 2878-2026")</f>
        <v/>
      </c>
      <c r="AE61">
        <f>HYPERLINK("https://klasma.github.io/Logging_2132/fåglar/A 2878-2026 prioriterade fågelarter.docx", "A 2878-2026")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46268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46268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46268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46268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55476-2025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45971</v>
      </c>
      <c r="E66" s="1" t="n">
        <v>46268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HYPERLINK("https://klasma.github.io/Logging_2132/artfynd/A 55476-2025 artfynd.xlsx", "A 55476-2025")</f>
        <v/>
      </c>
      <c r="X66">
        <f>HYPERLINK("https://klasma.github.io/Logging_2132/kartor/A 55476-2025 karta.png", "A 55476-2025")</f>
        <v/>
      </c>
      <c r="Y66">
        <f>HYPERLINK("https://klasma.github.io/Logging_2132/kartor_geotiff/A 55476-2025 georefererad karta.tif", "A 55476-2025")</f>
        <v/>
      </c>
      <c r="AA66">
        <f>HYPERLINK("https://klasma.github.io/Logging_2132/klagomål/A 55476-2025 FSC-klagomål.docx", "A 55476-2025")</f>
        <v/>
      </c>
      <c r="AB66">
        <f>HYPERLINK("https://klasma.github.io/Logging_2132/klagomålsmail/A 55476-2025 FSC-klagomål mail.docx", "A 55476-2025")</f>
        <v/>
      </c>
      <c r="AC66">
        <f>HYPERLINK("https://klasma.github.io/Logging_2132/tillsyn/A 55476-2025 tillsynsbegäran.docx", "A 55476-2025")</f>
        <v/>
      </c>
      <c r="AD66">
        <f>HYPERLINK("https://klasma.github.io/Logging_2132/tillsynsmail/A 55476-2025 tillsynsbegäran mail.docx", "A 55476-2025")</f>
        <v/>
      </c>
    </row>
    <row r="67" ht="15" customHeight="1">
      <c r="A67" t="inlineStr">
        <is>
          <t>A 57186-2025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46268</v>
      </c>
      <c r="F67" t="inlineStr">
        <is>
          <t>GÄVLEBORGS LÄN</t>
        </is>
      </c>
      <c r="G67" t="inlineStr">
        <is>
          <t>NORDANSTIG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Stjärnstarr</t>
        </is>
      </c>
      <c r="W67">
        <f>HYPERLINK("https://klasma.github.io/Logging_2132/artfynd/A 57186-2025 artfynd.xlsx", "A 57186-2025")</f>
        <v/>
      </c>
      <c r="X67">
        <f>HYPERLINK("https://klasma.github.io/Logging_2132/kartor/A 57186-2025 karta.png", "A 57186-2025")</f>
        <v/>
      </c>
      <c r="Y67">
        <f>HYPERLINK("https://klasma.github.io/Logging_2132/kartor_geotiff/A 57186-2025 georefererad karta.tif", "A 57186-2025")</f>
        <v/>
      </c>
      <c r="AA67">
        <f>HYPERLINK("https://klasma.github.io/Logging_2132/klagomål/A 57186-2025 FSC-klagomål.docx", "A 57186-2025")</f>
        <v/>
      </c>
      <c r="AB67">
        <f>HYPERLINK("https://klasma.github.io/Logging_2132/klagomålsmail/A 57186-2025 FSC-klagomål mail.docx", "A 57186-2025")</f>
        <v/>
      </c>
      <c r="AC67">
        <f>HYPERLINK("https://klasma.github.io/Logging_2132/tillsyn/A 57186-2025 tillsynsbegäran.docx", "A 57186-2025")</f>
        <v/>
      </c>
      <c r="AD67">
        <f>HYPERLINK("https://klasma.github.io/Logging_2132/tillsynsmail/A 57186-2025 tillsynsbegäran mail.docx", "A 57186-2025")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46268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46268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46268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HYPERLINK("https://klasma.github.io/Logging_2132/artfynd/A 377-2024 artfynd.xlsx", "A 377-2024")</f>
        <v/>
      </c>
      <c r="X70">
        <f>HYPERLINK("https://klasma.github.io/Logging_2132/kartor/A 377-2024 karta.png", "A 377-2024")</f>
        <v/>
      </c>
      <c r="Y70">
        <f>HYPERLINK("https://klasma.github.io/Logging_2132/kartor_geotiff/A 377-2024 georefererad karta.tif", "A 377-2024")</f>
        <v/>
      </c>
      <c r="AA70">
        <f>HYPERLINK("https://klasma.github.io/Logging_2132/klagomål/A 377-2024 FSC-klagomål.docx", "A 377-2024")</f>
        <v/>
      </c>
      <c r="AB70">
        <f>HYPERLINK("https://klasma.github.io/Logging_2132/klagomålsmail/A 377-2024 FSC-klagomål mail.docx", "A 377-2024")</f>
        <v/>
      </c>
      <c r="AC70">
        <f>HYPERLINK("https://klasma.github.io/Logging_2132/tillsyn/A 377-2024 tillsynsbegäran.docx", "A 377-2024")</f>
        <v/>
      </c>
      <c r="AD70">
        <f>HYPERLINK("https://klasma.github.io/Logging_2132/tillsynsmail/A 377-2024 tillsynsbegäran mail.docx", "A 377-2024")</f>
        <v/>
      </c>
      <c r="AE70">
        <f>HYPERLINK("https://klasma.github.io/Logging_2132/fåglar/A 377-2024 prioriterade fågelarter.docx", "A 377-2024")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46268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46268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46268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46268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46268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46268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3474-2024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46268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Bredgentiana</t>
        </is>
      </c>
      <c r="W78">
        <f>HYPERLINK("https://klasma.github.io/Logging_2132/artfynd/A 3474-2024 artfynd.xlsx", "A 3474-2024")</f>
        <v/>
      </c>
      <c r="X78">
        <f>HYPERLINK("https://klasma.github.io/Logging_2132/kartor/A 3474-2024 karta.png", "A 3474-2024")</f>
        <v/>
      </c>
      <c r="Y78">
        <f>HYPERLINK("https://klasma.github.io/Logging_2132/kartor_geotiff/A 3474-2024 georefererad karta.tif", "A 3474-2024")</f>
        <v/>
      </c>
      <c r="AA78">
        <f>HYPERLINK("https://klasma.github.io/Logging_2132/klagomål/A 3474-2024 FSC-klagomål.docx", "A 3474-2024")</f>
        <v/>
      </c>
      <c r="AB78">
        <f>HYPERLINK("https://klasma.github.io/Logging_2132/klagomålsmail/A 3474-2024 FSC-klagomål mail.docx", "A 3474-2024")</f>
        <v/>
      </c>
      <c r="AC78">
        <f>HYPERLINK("https://klasma.github.io/Logging_2132/tillsyn/A 3474-2024 tillsynsbegäran.docx", "A 3474-2024")</f>
        <v/>
      </c>
      <c r="AD78">
        <f>HYPERLINK("https://klasma.github.io/Logging_2132/tillsynsmail/A 3474-2024 tillsynsbegäran mail.docx", "A 3474-2024")</f>
        <v/>
      </c>
    </row>
    <row r="79" ht="15" customHeight="1">
      <c r="A79" t="inlineStr">
        <is>
          <t>A 13089-2025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46268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HYPERLINK("https://klasma.github.io/Logging_2132/artfynd/A 13089-2025 artfynd.xlsx", "A 13089-2025")</f>
        <v/>
      </c>
      <c r="X79">
        <f>HYPERLINK("https://klasma.github.io/Logging_2132/kartor/A 13089-2025 karta.png", "A 13089-2025")</f>
        <v/>
      </c>
      <c r="Y79">
        <f>HYPERLINK("https://klasma.github.io/Logging_2132/kartor_geotiff/A 13089-2025 georefererad karta.tif", "A 13089-2025")</f>
        <v/>
      </c>
      <c r="AA79">
        <f>HYPERLINK("https://klasma.github.io/Logging_2132/klagomål/A 13089-2025 FSC-klagomål.docx", "A 13089-2025")</f>
        <v/>
      </c>
      <c r="AB79">
        <f>HYPERLINK("https://klasma.github.io/Logging_2132/klagomålsmail/A 13089-2025 FSC-klagomål mail.docx", "A 13089-2025")</f>
        <v/>
      </c>
      <c r="AC79">
        <f>HYPERLINK("https://klasma.github.io/Logging_2132/tillsyn/A 13089-2025 tillsynsbegäran.docx", "A 13089-2025")</f>
        <v/>
      </c>
      <c r="AD79">
        <f>HYPERLINK("https://klasma.github.io/Logging_2132/tillsynsmail/A 13089-2025 tillsynsbegäran mail.docx", "A 13089-2025")</f>
        <v/>
      </c>
      <c r="AE79">
        <f>HYPERLINK("https://klasma.github.io/Logging_2132/fåglar/A 13089-2025 prioriterade fågelarter.docx", "A 13089-2025")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46268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HYPERLINK("https://klasma.github.io/Logging_2132/artfynd/A 20566-2025 artfynd.xlsx", "A 20566-2025")</f>
        <v/>
      </c>
      <c r="X80">
        <f>HYPERLINK("https://klasma.github.io/Logging_2132/kartor/A 20566-2025 karta.png", "A 20566-2025")</f>
        <v/>
      </c>
      <c r="Y80">
        <f>HYPERLINK("https://klasma.github.io/Logging_2132/kartor_geotiff/A 20566-2025 georefererad karta.tif", "A 20566-2025")</f>
        <v/>
      </c>
      <c r="AA80">
        <f>HYPERLINK("https://klasma.github.io/Logging_2132/klagomål/A 20566-2025 FSC-klagomål.docx", "A 20566-2025")</f>
        <v/>
      </c>
      <c r="AB80">
        <f>HYPERLINK("https://klasma.github.io/Logging_2132/klagomålsmail/A 20566-2025 FSC-klagomål mail.docx", "A 20566-2025")</f>
        <v/>
      </c>
      <c r="AC80">
        <f>HYPERLINK("https://klasma.github.io/Logging_2132/tillsyn/A 20566-2025 tillsynsbegäran.docx", "A 20566-2025")</f>
        <v/>
      </c>
      <c r="AD80">
        <f>HYPERLINK("https://klasma.github.io/Logging_2132/tillsynsmail/A 20566-2025 tillsynsbegäran mail.docx", "A 20566-2025")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46268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46268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46268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46268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46268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46268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46268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46268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46268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46268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46268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46268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46268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46268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46268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46268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46268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46268</v>
      </c>
      <c r="F100" t="inlineStr">
        <is>
          <t>GÄVLEBORGS LÄN</t>
        </is>
      </c>
      <c r="G100" t="inlineStr">
        <is>
          <t>NORDANSTIG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46268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12.1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44456</v>
      </c>
      <c r="E102" s="1" t="n">
        <v>46268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55314-2021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44475</v>
      </c>
      <c r="E103" s="1" t="n">
        <v>46268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46268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46268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46268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46268</v>
      </c>
      <c r="F107" t="inlineStr">
        <is>
          <t>GÄVLEBORGS LÄN</t>
        </is>
      </c>
      <c r="G107" t="inlineStr">
        <is>
          <t>NORDANSTIG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44816</v>
      </c>
      <c r="E108" s="1" t="n">
        <v>46268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46268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46268</v>
      </c>
      <c r="F110" t="inlineStr">
        <is>
          <t>GÄVLEBORGS LÄN</t>
        </is>
      </c>
      <c r="G110" t="inlineStr">
        <is>
          <t>NORDANSTIG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72594-2021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46268</v>
      </c>
      <c r="F111" t="inlineStr">
        <is>
          <t>GÄVLEBORGS LÄN</t>
        </is>
      </c>
      <c r="G111" t="inlineStr">
        <is>
          <t>NORDANSTIG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46268</v>
      </c>
      <c r="F112" t="inlineStr">
        <is>
          <t>GÄVLEBORGS LÄN</t>
        </is>
      </c>
      <c r="G112" t="inlineStr">
        <is>
          <t>NORDANSTIG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46268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46268</v>
      </c>
      <c r="F114" t="inlineStr">
        <is>
          <t>GÄVLEBORGS LÄN</t>
        </is>
      </c>
      <c r="G114" t="inlineStr">
        <is>
          <t>NORDANSTIG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44651</v>
      </c>
      <c r="E115" s="1" t="n">
        <v>46268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63656-2021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46268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44461</v>
      </c>
      <c r="E117" s="1" t="n">
        <v>46268</v>
      </c>
      <c r="F117" t="inlineStr">
        <is>
          <t>GÄVLEBORGS LÄN</t>
        </is>
      </c>
      <c r="G117" t="inlineStr">
        <is>
          <t>NORDANSTIG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46268</v>
      </c>
      <c r="F118" t="inlineStr">
        <is>
          <t>GÄVLEBORGS LÄN</t>
        </is>
      </c>
      <c r="G118" t="inlineStr">
        <is>
          <t>NORDANSTIG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46268</v>
      </c>
      <c r="F119" t="inlineStr">
        <is>
          <t>GÄVLEBORGS LÄN</t>
        </is>
      </c>
      <c r="G119" t="inlineStr">
        <is>
          <t>NORDANSTIG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44691</v>
      </c>
      <c r="E120" s="1" t="n">
        <v>46268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46268</v>
      </c>
      <c r="F121" t="inlineStr">
        <is>
          <t>GÄVLEBORGS LÄN</t>
        </is>
      </c>
      <c r="G121" t="inlineStr">
        <is>
          <t>NORDANSTIG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71973-2021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44544</v>
      </c>
      <c r="E122" s="1" t="n">
        <v>46268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46268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72435-2021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44545</v>
      </c>
      <c r="E124" s="1" t="n">
        <v>46268</v>
      </c>
      <c r="F124" t="inlineStr">
        <is>
          <t>GÄVLEBORGS LÄN</t>
        </is>
      </c>
      <c r="G124" t="inlineStr">
        <is>
          <t>NORDANSTIG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44634</v>
      </c>
      <c r="E125" s="1" t="n">
        <v>46268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46268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59270-2021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44490</v>
      </c>
      <c r="E127" s="1" t="n">
        <v>46268</v>
      </c>
      <c r="F127" t="inlineStr">
        <is>
          <t>GÄVLEBORGS LÄN</t>
        </is>
      </c>
      <c r="G127" t="inlineStr">
        <is>
          <t>NORDANSTIG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46268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46268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46268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46268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46268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46268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SCA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46268</v>
      </c>
      <c r="F134" t="inlineStr">
        <is>
          <t>GÄVLEBORGS LÄN</t>
        </is>
      </c>
      <c r="G134" t="inlineStr">
        <is>
          <t>NORDANSTIG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44764</v>
      </c>
      <c r="E135" s="1" t="n">
        <v>46268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44467</v>
      </c>
      <c r="E136" s="1" t="n">
        <v>46268</v>
      </c>
      <c r="F136" t="inlineStr">
        <is>
          <t>GÄVLEBORGS LÄN</t>
        </is>
      </c>
      <c r="G136" t="inlineStr">
        <is>
          <t>NORDANSTIG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73725-2021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46268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46268</v>
      </c>
      <c r="F138" t="inlineStr">
        <is>
          <t>GÄVLEBORGS LÄN</t>
        </is>
      </c>
      <c r="G138" t="inlineStr">
        <is>
          <t>NORDANSTIG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46268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13.2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44728</v>
      </c>
      <c r="E140" s="1" t="n">
        <v>46268</v>
      </c>
      <c r="F140" t="inlineStr">
        <is>
          <t>GÄVLEBORGS LÄN</t>
        </is>
      </c>
      <c r="G140" t="inlineStr">
        <is>
          <t>NORDANSTIG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46268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46268</v>
      </c>
      <c r="F142" t="inlineStr">
        <is>
          <t>GÄVLEBORGS LÄN</t>
        </is>
      </c>
      <c r="G142" t="inlineStr">
        <is>
          <t>NORDANSTIG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44820</v>
      </c>
      <c r="E143" s="1" t="n">
        <v>46268</v>
      </c>
      <c r="F143" t="inlineStr">
        <is>
          <t>GÄVLEBORGS LÄN</t>
        </is>
      </c>
      <c r="G143" t="inlineStr">
        <is>
          <t>NORDANSTIG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46268</v>
      </c>
      <c r="F144" t="inlineStr">
        <is>
          <t>GÄVLEBORGS LÄN</t>
        </is>
      </c>
      <c r="G144" t="inlineStr">
        <is>
          <t>NORDANSTIG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44461</v>
      </c>
      <c r="E145" s="1" t="n">
        <v>46268</v>
      </c>
      <c r="F145" t="inlineStr">
        <is>
          <t>GÄVLEBORGS LÄN</t>
        </is>
      </c>
      <c r="G145" t="inlineStr">
        <is>
          <t>NORDANSTIG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25002-2022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46268</v>
      </c>
      <c r="F146" t="inlineStr">
        <is>
          <t>GÄVLEBORGS LÄN</t>
        </is>
      </c>
      <c r="G146" t="inlineStr">
        <is>
          <t>NORDANSTIG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44785</v>
      </c>
      <c r="E147" s="1" t="n">
        <v>46268</v>
      </c>
      <c r="F147" t="inlineStr">
        <is>
          <t>GÄVLEBORGS LÄN</t>
        </is>
      </c>
      <c r="G147" t="inlineStr">
        <is>
          <t>NORDANSTIG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69127-2021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46268</v>
      </c>
      <c r="F148" t="inlineStr">
        <is>
          <t>GÄVLEBORGS LÄN</t>
        </is>
      </c>
      <c r="G148" t="inlineStr">
        <is>
          <t>NORDANSTIG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62450-2021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44503</v>
      </c>
      <c r="E149" s="1" t="n">
        <v>46268</v>
      </c>
      <c r="F149" t="inlineStr">
        <is>
          <t>GÄVLEBORGS LÄN</t>
        </is>
      </c>
      <c r="G149" t="inlineStr">
        <is>
          <t>NORDANSTIG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46268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46268</v>
      </c>
      <c r="F151" t="inlineStr">
        <is>
          <t>GÄVLEBORGS LÄN</t>
        </is>
      </c>
      <c r="G151" t="inlineStr">
        <is>
          <t>NORDANSTIG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44704</v>
      </c>
      <c r="E152" s="1" t="n">
        <v>46268</v>
      </c>
      <c r="F152" t="inlineStr">
        <is>
          <t>GÄVLEBORGS LÄN</t>
        </is>
      </c>
      <c r="G152" t="inlineStr">
        <is>
          <t>NORDANSTIG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46268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46268</v>
      </c>
      <c r="F154" t="inlineStr">
        <is>
          <t>GÄVLEBORGS LÄN</t>
        </is>
      </c>
      <c r="G154" t="inlineStr">
        <is>
          <t>NORDANSTIG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26113-2022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44734</v>
      </c>
      <c r="E155" s="1" t="n">
        <v>46268</v>
      </c>
      <c r="F155" t="inlineStr">
        <is>
          <t>GÄVLEBORGS LÄN</t>
        </is>
      </c>
      <c r="G155" t="inlineStr">
        <is>
          <t>NORDANSTIG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44728</v>
      </c>
      <c r="E156" s="1" t="n">
        <v>46268</v>
      </c>
      <c r="F156" t="inlineStr">
        <is>
          <t>GÄVLEBORGS LÄN</t>
        </is>
      </c>
      <c r="G156" t="inlineStr">
        <is>
          <t>NORDANSTIG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46268</v>
      </c>
      <c r="F157" t="inlineStr">
        <is>
          <t>GÄVLEBORGS LÄN</t>
        </is>
      </c>
      <c r="G157" t="inlineStr">
        <is>
          <t>NORDANSTIG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45644</v>
      </c>
      <c r="E158" s="1" t="n">
        <v>46268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46268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46268</v>
      </c>
      <c r="F160" t="inlineStr">
        <is>
          <t>GÄVLEBORGS LÄN</t>
        </is>
      </c>
      <c r="G160" t="inlineStr">
        <is>
          <t>NORDANSTIG</t>
        </is>
      </c>
      <c r="H160" t="inlineStr">
        <is>
          <t>SCA</t>
        </is>
      </c>
      <c r="I160" t="n">
        <v>11.8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46268</v>
      </c>
      <c r="F161" t="inlineStr">
        <is>
          <t>GÄVLEBORGS LÄN</t>
        </is>
      </c>
      <c r="G161" t="inlineStr">
        <is>
          <t>NORDANSTIG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46268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46268</v>
      </c>
      <c r="F163" t="inlineStr">
        <is>
          <t>GÄVLEBORGS LÄN</t>
        </is>
      </c>
      <c r="G163" t="inlineStr">
        <is>
          <t>NORDANSTIG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46268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46268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45573</v>
      </c>
      <c r="E166" s="1" t="n">
        <v>46268</v>
      </c>
      <c r="F166" t="inlineStr">
        <is>
          <t>GÄVLEBORGS LÄN</t>
        </is>
      </c>
      <c r="G166" t="inlineStr">
        <is>
          <t>NORDANSTIG</t>
        </is>
      </c>
      <c r="I166" t="n">
        <v>10.7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46268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46268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46268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46268</v>
      </c>
      <c r="F170" t="inlineStr">
        <is>
          <t>GÄVLEBORGS LÄN</t>
        </is>
      </c>
      <c r="G170" t="inlineStr">
        <is>
          <t>NORDANSTIG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44862</v>
      </c>
      <c r="E171" s="1" t="n">
        <v>46268</v>
      </c>
      <c r="F171" t="inlineStr">
        <is>
          <t>GÄVLEBORGS LÄN</t>
        </is>
      </c>
      <c r="G171" t="inlineStr">
        <is>
          <t>NORDANSTIG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62465-2021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46268</v>
      </c>
      <c r="F172" t="inlineStr">
        <is>
          <t>GÄVLEBORGS LÄN</t>
        </is>
      </c>
      <c r="G172" t="inlineStr">
        <is>
          <t>NORDANSTIG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46268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46268</v>
      </c>
      <c r="F174" t="inlineStr">
        <is>
          <t>GÄVLEBORGS LÄN</t>
        </is>
      </c>
      <c r="G174" t="inlineStr">
        <is>
          <t>NORDANSTIG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46268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34339-2023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45139</v>
      </c>
      <c r="E176" s="1" t="n">
        <v>46268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44894</v>
      </c>
      <c r="E177" s="1" t="n">
        <v>46268</v>
      </c>
      <c r="F177" t="inlineStr">
        <is>
          <t>GÄVLEBORGS LÄN</t>
        </is>
      </c>
      <c r="G177" t="inlineStr">
        <is>
          <t>NORDANSTIG</t>
        </is>
      </c>
      <c r="H177" t="inlineStr">
        <is>
          <t>SCA</t>
        </is>
      </c>
      <c r="I177" t="n">
        <v>11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46268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46268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46268</v>
      </c>
      <c r="F180" t="inlineStr">
        <is>
          <t>GÄVLEBORGS LÄN</t>
        </is>
      </c>
      <c r="G180" t="inlineStr">
        <is>
          <t>NORDANSTIG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46268</v>
      </c>
      <c r="F181" t="inlineStr">
        <is>
          <t>GÄVLEBORGS LÄN</t>
        </is>
      </c>
      <c r="G181" t="inlineStr">
        <is>
          <t>NORDANSTIG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46268</v>
      </c>
      <c r="F182" t="inlineStr">
        <is>
          <t>GÄVLEBORGS LÄN</t>
        </is>
      </c>
      <c r="G182" t="inlineStr">
        <is>
          <t>NORDANSTIG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40241-2023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45169</v>
      </c>
      <c r="E183" s="1" t="n">
        <v>46268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46268</v>
      </c>
      <c r="F184" t="inlineStr">
        <is>
          <t>GÄVLEBORGS LÄN</t>
        </is>
      </c>
      <c r="G184" t="inlineStr">
        <is>
          <t>NORDANSTIG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46268</v>
      </c>
      <c r="F185" t="inlineStr">
        <is>
          <t>GÄVLEBORGS LÄN</t>
        </is>
      </c>
      <c r="G185" t="inlineStr">
        <is>
          <t>NORDANSTIG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46268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46268</v>
      </c>
      <c r="F187" t="inlineStr">
        <is>
          <t>GÄVLEBORGS LÄN</t>
        </is>
      </c>
      <c r="G187" t="inlineStr">
        <is>
          <t>NORDANSTIG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46268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46268</v>
      </c>
      <c r="F189" t="inlineStr">
        <is>
          <t>GÄVLEBORGS LÄN</t>
        </is>
      </c>
      <c r="G189" t="inlineStr">
        <is>
          <t>NORDANSTIG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46268</v>
      </c>
      <c r="F190" t="inlineStr">
        <is>
          <t>GÄVLEBORGS LÄN</t>
        </is>
      </c>
      <c r="G190" t="inlineStr">
        <is>
          <t>NORDANSTIG</t>
        </is>
      </c>
      <c r="H190" t="inlineStr">
        <is>
          <t>SCA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45762</v>
      </c>
      <c r="E191" s="1" t="n">
        <v>46268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46268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62.5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45345</v>
      </c>
      <c r="E193" s="1" t="n">
        <v>46268</v>
      </c>
      <c r="F193" t="inlineStr">
        <is>
          <t>GÄVLEBORGS LÄN</t>
        </is>
      </c>
      <c r="G193" t="inlineStr">
        <is>
          <t>NORDANSTIG</t>
        </is>
      </c>
      <c r="I193" t="n">
        <v>10.8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46268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44783</v>
      </c>
      <c r="E195" s="1" t="n">
        <v>46268</v>
      </c>
      <c r="F195" t="inlineStr">
        <is>
          <t>GÄVLEBORGS LÄN</t>
        </is>
      </c>
      <c r="G195" t="inlineStr">
        <is>
          <t>NORDANSTIG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46268</v>
      </c>
      <c r="F196" t="inlineStr">
        <is>
          <t>GÄVLEBORGS LÄN</t>
        </is>
      </c>
      <c r="G196" t="inlineStr">
        <is>
          <t>NORDANSTIG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46268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46268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46268</v>
      </c>
      <c r="F199" t="inlineStr">
        <is>
          <t>GÄVLEBORGS LÄN</t>
        </is>
      </c>
      <c r="G199" t="inlineStr">
        <is>
          <t>NORDANSTIG</t>
        </is>
      </c>
      <c r="I199" t="n">
        <v>12.5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45336</v>
      </c>
      <c r="E200" s="1" t="n">
        <v>46268</v>
      </c>
      <c r="F200" t="inlineStr">
        <is>
          <t>GÄVLEBORGS LÄN</t>
        </is>
      </c>
      <c r="G200" t="inlineStr">
        <is>
          <t>NORDANSTIG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46268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46268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46268</v>
      </c>
      <c r="F203" t="inlineStr">
        <is>
          <t>GÄVLEBORGS LÄN</t>
        </is>
      </c>
      <c r="G203" t="inlineStr">
        <is>
          <t>NORDANSTIG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45149</v>
      </c>
      <c r="E204" s="1" t="n">
        <v>46268</v>
      </c>
      <c r="F204" t="inlineStr">
        <is>
          <t>GÄVLEBORGS LÄN</t>
        </is>
      </c>
      <c r="G204" t="inlineStr">
        <is>
          <t>NORDANSTIG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46268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45566</v>
      </c>
      <c r="E206" s="1" t="n">
        <v>46268</v>
      </c>
      <c r="F206" t="inlineStr">
        <is>
          <t>GÄVLEBORGS LÄN</t>
        </is>
      </c>
      <c r="G206" t="inlineStr">
        <is>
          <t>NORDANSTIG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44806</v>
      </c>
      <c r="E207" s="1" t="n">
        <v>46268</v>
      </c>
      <c r="F207" t="inlineStr">
        <is>
          <t>GÄVLEBORGS LÄN</t>
        </is>
      </c>
      <c r="G207" t="inlineStr">
        <is>
          <t>NORDANSTIG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46268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46268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14866-2024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45397</v>
      </c>
      <c r="E210" s="1" t="n">
        <v>46268</v>
      </c>
      <c r="F210" t="inlineStr">
        <is>
          <t>GÄVLEBORGS LÄN</t>
        </is>
      </c>
      <c r="G210" t="inlineStr">
        <is>
          <t>NORDANSTIG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46268</v>
      </c>
      <c r="F211" t="inlineStr">
        <is>
          <t>GÄVLEBORGS LÄN</t>
        </is>
      </c>
      <c r="G211" t="inlineStr">
        <is>
          <t>NORDANSTIG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46268</v>
      </c>
      <c r="F212" t="inlineStr">
        <is>
          <t>GÄVLEBORGS LÄN</t>
        </is>
      </c>
      <c r="G212" t="inlineStr">
        <is>
          <t>NORDANSTIG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46268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46268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30.1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45306</v>
      </c>
      <c r="E215" s="1" t="n">
        <v>46268</v>
      </c>
      <c r="F215" t="inlineStr">
        <is>
          <t>GÄVLEBORGS LÄN</t>
        </is>
      </c>
      <c r="G215" t="inlineStr">
        <is>
          <t>NORDANSTIG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46268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45802</v>
      </c>
      <c r="E217" s="1" t="n">
        <v>46268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45802</v>
      </c>
      <c r="E218" s="1" t="n">
        <v>46268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46026</v>
      </c>
      <c r="E219" s="1" t="n">
        <v>46268</v>
      </c>
      <c r="F219" t="inlineStr">
        <is>
          <t>GÄVLEBORGS LÄN</t>
        </is>
      </c>
      <c r="G219" t="inlineStr">
        <is>
          <t>NORDANSTIG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46268</v>
      </c>
      <c r="F220" t="inlineStr">
        <is>
          <t>GÄVLEBORGS LÄN</t>
        </is>
      </c>
      <c r="G220" t="inlineStr">
        <is>
          <t>NORDANSTIG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44945</v>
      </c>
      <c r="E221" s="1" t="n">
        <v>46268</v>
      </c>
      <c r="F221" t="inlineStr">
        <is>
          <t>GÄVLEBORGS LÄN</t>
        </is>
      </c>
      <c r="G221" t="inlineStr">
        <is>
          <t>NORDANSTIG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46268</v>
      </c>
      <c r="F222" t="inlineStr">
        <is>
          <t>GÄVLEBORGS LÄN</t>
        </is>
      </c>
      <c r="G222" t="inlineStr">
        <is>
          <t>NORDANSTIG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45802</v>
      </c>
      <c r="E223" s="1" t="n">
        <v>46268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46268</v>
      </c>
      <c r="F224" t="inlineStr">
        <is>
          <t>GÄVLEBORGS LÄN</t>
        </is>
      </c>
      <c r="G224" t="inlineStr">
        <is>
          <t>NORDANSTIG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46268</v>
      </c>
      <c r="F225" t="inlineStr">
        <is>
          <t>GÄVLEBORGS LÄN</t>
        </is>
      </c>
      <c r="G225" t="inlineStr">
        <is>
          <t>NORDANSTIG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46268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46268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46268</v>
      </c>
      <c r="F228" t="inlineStr">
        <is>
          <t>GÄVLEBORGS LÄN</t>
        </is>
      </c>
      <c r="G228" t="inlineStr">
        <is>
          <t>NORDANSTIG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46268</v>
      </c>
      <c r="F229" t="inlineStr">
        <is>
          <t>GÄVLEBORGS LÄN</t>
        </is>
      </c>
      <c r="G229" t="inlineStr">
        <is>
          <t>NORDANSTIG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46268</v>
      </c>
      <c r="F230" t="inlineStr">
        <is>
          <t>GÄVLEBORGS LÄN</t>
        </is>
      </c>
      <c r="G230" t="inlineStr">
        <is>
          <t>NORDANSTIG</t>
        </is>
      </c>
      <c r="I230" t="n">
        <v>12.7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46268</v>
      </c>
      <c r="F231" t="inlineStr">
        <is>
          <t>GÄVLEBORGS LÄN</t>
        </is>
      </c>
      <c r="G231" t="inlineStr">
        <is>
          <t>NORDANSTIG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46268</v>
      </c>
      <c r="F232" t="inlineStr">
        <is>
          <t>GÄVLEBORGS LÄN</t>
        </is>
      </c>
      <c r="G232" t="inlineStr">
        <is>
          <t>NORDANSTIG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46268</v>
      </c>
      <c r="F233" t="inlineStr">
        <is>
          <t>GÄVLEBORGS LÄN</t>
        </is>
      </c>
      <c r="G233" t="inlineStr">
        <is>
          <t>NORDANSTIG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32149-2024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45511</v>
      </c>
      <c r="E234" s="1" t="n">
        <v>46268</v>
      </c>
      <c r="F234" t="inlineStr">
        <is>
          <t>GÄVLEBORGS LÄN</t>
        </is>
      </c>
      <c r="G234" t="inlineStr">
        <is>
          <t>NORDANSTIG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46268</v>
      </c>
      <c r="F235" t="inlineStr">
        <is>
          <t>GÄVLEBORGS LÄN</t>
        </is>
      </c>
      <c r="G235" t="inlineStr">
        <is>
          <t>NORDANSTIG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45646</v>
      </c>
      <c r="E236" s="1" t="n">
        <v>46268</v>
      </c>
      <c r="F236" t="inlineStr">
        <is>
          <t>GÄVLEBORGS LÄN</t>
        </is>
      </c>
      <c r="G236" t="inlineStr">
        <is>
          <t>NORDANSTIG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46268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46268</v>
      </c>
      <c r="F238" t="inlineStr">
        <is>
          <t>GÄVLEBORGS LÄN</t>
        </is>
      </c>
      <c r="G238" t="inlineStr">
        <is>
          <t>NORDANSTIG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60520-2023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45259</v>
      </c>
      <c r="E239" s="1" t="n">
        <v>46268</v>
      </c>
      <c r="F239" t="inlineStr">
        <is>
          <t>GÄVLEBORGS LÄN</t>
        </is>
      </c>
      <c r="G239" t="inlineStr">
        <is>
          <t>NORDANSTIG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46268</v>
      </c>
      <c r="F240" t="inlineStr">
        <is>
          <t>GÄVLEBORGS LÄN</t>
        </is>
      </c>
      <c r="G240" t="inlineStr">
        <is>
          <t>NORDANSTIG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46268</v>
      </c>
      <c r="F241" t="inlineStr">
        <is>
          <t>GÄVLEBORGS LÄN</t>
        </is>
      </c>
      <c r="G241" t="inlineStr">
        <is>
          <t>NORDANSTIG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46268</v>
      </c>
      <c r="F242" t="inlineStr">
        <is>
          <t>GÄVLEBORGS LÄN</t>
        </is>
      </c>
      <c r="G242" t="inlineStr">
        <is>
          <t>NORDANSTIG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46268</v>
      </c>
      <c r="F243" t="inlineStr">
        <is>
          <t>GÄVLEBORGS LÄN</t>
        </is>
      </c>
      <c r="G243" t="inlineStr">
        <is>
          <t>NORDANSTIG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46268</v>
      </c>
      <c r="F244" t="inlineStr">
        <is>
          <t>GÄVLEBORGS LÄN</t>
        </is>
      </c>
      <c r="G244" t="inlineStr">
        <is>
          <t>NORDANSTIG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46268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45663</v>
      </c>
      <c r="E246" s="1" t="n">
        <v>46268</v>
      </c>
      <c r="F246" t="inlineStr">
        <is>
          <t>GÄVLEBORGS LÄN</t>
        </is>
      </c>
      <c r="G246" t="inlineStr">
        <is>
          <t>NORDANSTIG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46268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46268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46268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46268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71442-2021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44540</v>
      </c>
      <c r="E251" s="1" t="n">
        <v>46268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46268</v>
      </c>
      <c r="F252" t="inlineStr">
        <is>
          <t>GÄVLEBORGS LÄN</t>
        </is>
      </c>
      <c r="G252" t="inlineStr">
        <is>
          <t>NORDANSTIG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45426</v>
      </c>
      <c r="E253" s="1" t="n">
        <v>46268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46268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45425</v>
      </c>
      <c r="E255" s="1" t="n">
        <v>46268</v>
      </c>
      <c r="F255" t="inlineStr">
        <is>
          <t>GÄVLEBORGS LÄN</t>
        </is>
      </c>
      <c r="G255" t="inlineStr">
        <is>
          <t>NORDANSTIG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46268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45499</v>
      </c>
      <c r="E257" s="1" t="n">
        <v>46268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46268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46268</v>
      </c>
      <c r="F259" t="inlineStr">
        <is>
          <t>GÄVLEBORGS LÄN</t>
        </is>
      </c>
      <c r="G259" t="inlineStr">
        <is>
          <t>NORDANSTIG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46268</v>
      </c>
      <c r="F260" t="inlineStr">
        <is>
          <t>GÄVLEBORGS LÄN</t>
        </is>
      </c>
      <c r="G260" t="inlineStr">
        <is>
          <t>NORDANSTIG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46268</v>
      </c>
      <c r="F261" t="inlineStr">
        <is>
          <t>GÄVLEBORGS LÄN</t>
        </is>
      </c>
      <c r="G261" t="inlineStr">
        <is>
          <t>NORDANSTIG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46268</v>
      </c>
      <c r="F262" t="inlineStr">
        <is>
          <t>GÄVLEBORGS LÄN</t>
        </is>
      </c>
      <c r="G262" t="inlineStr">
        <is>
          <t>NORDANSTIG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46268</v>
      </c>
      <c r="F263" t="inlineStr">
        <is>
          <t>GÄVLEBORGS LÄN</t>
        </is>
      </c>
      <c r="G263" t="inlineStr">
        <is>
          <t>NORDANSTIG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46268</v>
      </c>
      <c r="F264" t="inlineStr">
        <is>
          <t>GÄVLEBORGS LÄN</t>
        </is>
      </c>
      <c r="G264" t="inlineStr">
        <is>
          <t>NORDANSTIG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46268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46268</v>
      </c>
      <c r="F266" t="inlineStr">
        <is>
          <t>GÄVLEBORGS LÄN</t>
        </is>
      </c>
      <c r="G266" t="inlineStr">
        <is>
          <t>NORDANSTIG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44678</v>
      </c>
      <c r="E267" s="1" t="n">
        <v>46268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46268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45861</v>
      </c>
      <c r="E269" s="1" t="n">
        <v>46268</v>
      </c>
      <c r="F269" t="inlineStr">
        <is>
          <t>GÄVLEBORGS LÄN</t>
        </is>
      </c>
      <c r="G269" t="inlineStr">
        <is>
          <t>NORDANSTIG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46268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46268</v>
      </c>
      <c r="F271" t="inlineStr">
        <is>
          <t>GÄVLEBORGS LÄN</t>
        </is>
      </c>
      <c r="G271" t="inlineStr">
        <is>
          <t>NORDANSTIG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45896</v>
      </c>
      <c r="E272" s="1" t="n">
        <v>46268</v>
      </c>
      <c r="F272" t="inlineStr">
        <is>
          <t>GÄVLEBORGS LÄN</t>
        </is>
      </c>
      <c r="G272" t="inlineStr">
        <is>
          <t>NORDANSTIG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46268</v>
      </c>
      <c r="F273" t="inlineStr">
        <is>
          <t>GÄVLEBORGS LÄN</t>
        </is>
      </c>
      <c r="G273" t="inlineStr">
        <is>
          <t>NORDANSTIG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46268</v>
      </c>
      <c r="F274" t="inlineStr">
        <is>
          <t>GÄVLEBORGS LÄN</t>
        </is>
      </c>
      <c r="G274" t="inlineStr">
        <is>
          <t>NORDANSTIG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46268</v>
      </c>
      <c r="F275" t="inlineStr">
        <is>
          <t>GÄVLEBORGS LÄN</t>
        </is>
      </c>
      <c r="G275" t="inlineStr">
        <is>
          <t>NORDANSTIG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46268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46268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41202-2025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46268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45670</v>
      </c>
      <c r="E279" s="1" t="n">
        <v>46268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46268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46268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45832</v>
      </c>
      <c r="E282" s="1" t="n">
        <v>46268</v>
      </c>
      <c r="F282" t="inlineStr">
        <is>
          <t>GÄVLEBORGS LÄN</t>
        </is>
      </c>
      <c r="G282" t="inlineStr">
        <is>
          <t>NORDANSTIG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46268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46268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46037</v>
      </c>
      <c r="E285" s="1" t="n">
        <v>46268</v>
      </c>
      <c r="F285" t="inlineStr">
        <is>
          <t>GÄVLEBORGS LÄN</t>
        </is>
      </c>
      <c r="G285" t="inlineStr">
        <is>
          <t>NORDANSTIG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46268</v>
      </c>
      <c r="F286" t="inlineStr">
        <is>
          <t>GÄVLEBORGS LÄN</t>
        </is>
      </c>
      <c r="G286" t="inlineStr">
        <is>
          <t>NORDANSTIG</t>
        </is>
      </c>
      <c r="H286" t="inlineStr">
        <is>
          <t>SCA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32082-2025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45835</v>
      </c>
      <c r="E287" s="1" t="n">
        <v>46268</v>
      </c>
      <c r="F287" t="inlineStr">
        <is>
          <t>GÄVLEBORGS LÄN</t>
        </is>
      </c>
      <c r="G287" t="inlineStr">
        <is>
          <t>NORDANSTIG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46268</v>
      </c>
      <c r="F288" t="inlineStr">
        <is>
          <t>GÄVLEBORGS LÄN</t>
        </is>
      </c>
      <c r="G288" t="inlineStr">
        <is>
          <t>NORDANSTIG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46268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45904</v>
      </c>
      <c r="E290" s="1" t="n">
        <v>46268</v>
      </c>
      <c r="F290" t="inlineStr">
        <is>
          <t>GÄVLEBORGS LÄN</t>
        </is>
      </c>
      <c r="G290" t="inlineStr">
        <is>
          <t>NORDANSTIG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46268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46268</v>
      </c>
      <c r="F292" t="inlineStr">
        <is>
          <t>GÄVLEBORGS LÄN</t>
        </is>
      </c>
      <c r="G292" t="inlineStr">
        <is>
          <t>NORDANSTIG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40104-2024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45554</v>
      </c>
      <c r="E293" s="1" t="n">
        <v>46268</v>
      </c>
      <c r="F293" t="inlineStr">
        <is>
          <t>GÄVLEBORGS LÄN</t>
        </is>
      </c>
      <c r="G293" t="inlineStr">
        <is>
          <t>NORDANSTIG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46268</v>
      </c>
      <c r="F294" t="inlineStr">
        <is>
          <t>GÄVLEBORGS LÄN</t>
        </is>
      </c>
      <c r="G294" t="inlineStr">
        <is>
          <t>NORDANSTIG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46268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46268</v>
      </c>
      <c r="F296" t="inlineStr">
        <is>
          <t>GÄVLEBORGS LÄN</t>
        </is>
      </c>
      <c r="G296" t="inlineStr">
        <is>
          <t>NORDANSTIG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74460-2021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44560</v>
      </c>
      <c r="E297" s="1" t="n">
        <v>46268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46268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45243</v>
      </c>
      <c r="E299" s="1" t="n">
        <v>46268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46268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45623</v>
      </c>
      <c r="E301" s="1" t="n">
        <v>46268</v>
      </c>
      <c r="F301" t="inlineStr">
        <is>
          <t>GÄVLEBORGS LÄN</t>
        </is>
      </c>
      <c r="G301" t="inlineStr">
        <is>
          <t>NORDANSTIG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46268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46268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46268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34.6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45196</v>
      </c>
      <c r="E305" s="1" t="n">
        <v>46268</v>
      </c>
      <c r="F305" t="inlineStr">
        <is>
          <t>GÄVLEBORGS LÄN</t>
        </is>
      </c>
      <c r="G305" t="inlineStr">
        <is>
          <t>NORDANSTIG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45419</v>
      </c>
      <c r="E306" s="1" t="n">
        <v>46268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46268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46268</v>
      </c>
      <c r="F308" t="inlineStr">
        <is>
          <t>GÄVLEBORGS LÄN</t>
        </is>
      </c>
      <c r="G308" t="inlineStr">
        <is>
          <t>NORDANSTIG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46268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45183</v>
      </c>
      <c r="E310" s="1" t="n">
        <v>46268</v>
      </c>
      <c r="F310" t="inlineStr">
        <is>
          <t>GÄVLEBORGS LÄN</t>
        </is>
      </c>
      <c r="G310" t="inlineStr">
        <is>
          <t>NORDANSTIG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46268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46268</v>
      </c>
      <c r="F312" t="inlineStr">
        <is>
          <t>GÄVLEBORGS LÄN</t>
        </is>
      </c>
      <c r="G312" t="inlineStr">
        <is>
          <t>NORDANSTIG</t>
        </is>
      </c>
      <c r="I312" t="n">
        <v>21.1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46268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59930-2024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45642</v>
      </c>
      <c r="E314" s="1" t="n">
        <v>46268</v>
      </c>
      <c r="F314" t="inlineStr">
        <is>
          <t>GÄVLEBORGS LÄN</t>
        </is>
      </c>
      <c r="G314" t="inlineStr">
        <is>
          <t>NORDANSTIG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46039</v>
      </c>
      <c r="E315" s="1" t="n">
        <v>46268</v>
      </c>
      <c r="F315" t="inlineStr">
        <is>
          <t>GÄVLEBORGS LÄN</t>
        </is>
      </c>
      <c r="G315" t="inlineStr">
        <is>
          <t>NORDANSTIG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44781</v>
      </c>
      <c r="E316" s="1" t="n">
        <v>46268</v>
      </c>
      <c r="F316" t="inlineStr">
        <is>
          <t>GÄVLEBORGS LÄN</t>
        </is>
      </c>
      <c r="G316" t="inlineStr">
        <is>
          <t>NORDANSTIG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45846</v>
      </c>
      <c r="E317" s="1" t="n">
        <v>46268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46268</v>
      </c>
      <c r="F318" t="inlineStr">
        <is>
          <t>GÄVLEBORGS LÄN</t>
        </is>
      </c>
      <c r="G318" t="inlineStr">
        <is>
          <t>NORDANSTIG</t>
        </is>
      </c>
      <c r="H318" t="inlineStr">
        <is>
          <t>SCA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46268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46268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46268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46268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44998</v>
      </c>
      <c r="E323" s="1" t="n">
        <v>46268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45848</v>
      </c>
      <c r="E324" s="1" t="n">
        <v>46268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46268</v>
      </c>
      <c r="F325" t="inlineStr">
        <is>
          <t>GÄVLEBORGS LÄN</t>
        </is>
      </c>
      <c r="G325" t="inlineStr">
        <is>
          <t>NORDANSTIG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46268</v>
      </c>
      <c r="F326" t="inlineStr">
        <is>
          <t>GÄVLEBORGS LÄN</t>
        </is>
      </c>
      <c r="G326" t="inlineStr">
        <is>
          <t>NORDANSTIG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46268</v>
      </c>
      <c r="F327" t="inlineStr">
        <is>
          <t>GÄVLEBORGS LÄN</t>
        </is>
      </c>
      <c r="G327" t="inlineStr">
        <is>
          <t>NORDANSTIG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45058-2025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46268</v>
      </c>
      <c r="F328" t="inlineStr">
        <is>
          <t>GÄVLEBORGS LÄN</t>
        </is>
      </c>
      <c r="G328" t="inlineStr">
        <is>
          <t>NORDANSTIG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46268</v>
      </c>
      <c r="F329" t="inlineStr">
        <is>
          <t>GÄVLEBORGS LÄN</t>
        </is>
      </c>
      <c r="G329" t="inlineStr">
        <is>
          <t>NORDANSTIG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46268</v>
      </c>
      <c r="F330" t="inlineStr">
        <is>
          <t>GÄVLEBORGS LÄN</t>
        </is>
      </c>
      <c r="G330" t="inlineStr">
        <is>
          <t>NORDANSTIG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45918</v>
      </c>
      <c r="E331" s="1" t="n">
        <v>46268</v>
      </c>
      <c r="F331" t="inlineStr">
        <is>
          <t>GÄVLEBORGS LÄN</t>
        </is>
      </c>
      <c r="G331" t="inlineStr">
        <is>
          <t>NORDANSTIG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46268</v>
      </c>
      <c r="F332" t="inlineStr">
        <is>
          <t>GÄVLEBORGS LÄN</t>
        </is>
      </c>
      <c r="G332" t="inlineStr">
        <is>
          <t>NORDANSTIG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46268</v>
      </c>
      <c r="F333" t="inlineStr">
        <is>
          <t>GÄVLEBORGS LÄN</t>
        </is>
      </c>
      <c r="G333" t="inlineStr">
        <is>
          <t>NORDANSTIG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46268</v>
      </c>
      <c r="F334" t="inlineStr">
        <is>
          <t>GÄVLEBORGS LÄN</t>
        </is>
      </c>
      <c r="G334" t="inlineStr">
        <is>
          <t>NORDANSTIG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44608</v>
      </c>
      <c r="E335" s="1" t="n">
        <v>46268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45695</v>
      </c>
      <c r="E336" s="1" t="n">
        <v>46268</v>
      </c>
      <c r="F336" t="inlineStr">
        <is>
          <t>GÄVLEBORGS LÄN</t>
        </is>
      </c>
      <c r="G336" t="inlineStr">
        <is>
          <t>NORDANSTIG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46268</v>
      </c>
      <c r="F337" t="inlineStr">
        <is>
          <t>GÄVLEBORGS LÄN</t>
        </is>
      </c>
      <c r="G337" t="inlineStr">
        <is>
          <t>NORDANSTIG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46268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46268</v>
      </c>
      <c r="F339" t="inlineStr">
        <is>
          <t>GÄVLEBORGS LÄN</t>
        </is>
      </c>
      <c r="G339" t="inlineStr">
        <is>
          <t>NORDANSTIG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46268</v>
      </c>
      <c r="F340" t="inlineStr">
        <is>
          <t>GÄVLEBORGS LÄN</t>
        </is>
      </c>
      <c r="G340" t="inlineStr">
        <is>
          <t>NORDANSTIG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46268</v>
      </c>
      <c r="F341" t="inlineStr">
        <is>
          <t>GÄVLEBORGS LÄN</t>
        </is>
      </c>
      <c r="G341" t="inlineStr">
        <is>
          <t>NORDANSTIG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46268</v>
      </c>
      <c r="F342" t="inlineStr">
        <is>
          <t>GÄVLEBORGS LÄN</t>
        </is>
      </c>
      <c r="G342" t="inlineStr">
        <is>
          <t>NORDANSTIG</t>
        </is>
      </c>
      <c r="I342" t="n">
        <v>24.7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46268</v>
      </c>
      <c r="F343" t="inlineStr">
        <is>
          <t>GÄVLEBORGS LÄN</t>
        </is>
      </c>
      <c r="G343" t="inlineStr">
        <is>
          <t>NORDANSTIG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46268</v>
      </c>
      <c r="F344" t="inlineStr">
        <is>
          <t>GÄVLEBORGS LÄN</t>
        </is>
      </c>
      <c r="G344" t="inlineStr">
        <is>
          <t>NORDANSTIG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46268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46268</v>
      </c>
      <c r="F346" t="inlineStr">
        <is>
          <t>GÄVLEBORGS LÄN</t>
        </is>
      </c>
      <c r="G346" t="inlineStr">
        <is>
          <t>NORDANSTIG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37986-2022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44811</v>
      </c>
      <c r="E347" s="1" t="n">
        <v>46268</v>
      </c>
      <c r="F347" t="inlineStr">
        <is>
          <t>GÄVLEBORGS LÄN</t>
        </is>
      </c>
      <c r="G347" t="inlineStr">
        <is>
          <t>NORDANSTIG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45860</v>
      </c>
      <c r="E348" s="1" t="n">
        <v>46268</v>
      </c>
      <c r="F348" t="inlineStr">
        <is>
          <t>GÄVLEBORGS LÄN</t>
        </is>
      </c>
      <c r="G348" t="inlineStr">
        <is>
          <t>NORDANSTIG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45859</v>
      </c>
      <c r="E349" s="1" t="n">
        <v>46268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46268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46268</v>
      </c>
      <c r="F351" t="inlineStr">
        <is>
          <t>GÄVLEBORGS LÄN</t>
        </is>
      </c>
      <c r="G351" t="inlineStr">
        <is>
          <t>NORDANSTIG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45541</v>
      </c>
      <c r="E352" s="1" t="n">
        <v>46268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46268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45131</v>
      </c>
      <c r="E354" s="1" t="n">
        <v>46268</v>
      </c>
      <c r="F354" t="inlineStr">
        <is>
          <t>GÄVLEBORGS LÄN</t>
        </is>
      </c>
      <c r="G354" t="inlineStr">
        <is>
          <t>NORDANSTIG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46268</v>
      </c>
      <c r="F355" t="inlineStr">
        <is>
          <t>GÄVLEBORGS LÄN</t>
        </is>
      </c>
      <c r="G355" t="inlineStr">
        <is>
          <t>NORDANSTIG</t>
        </is>
      </c>
      <c r="I355" t="n">
        <v>11.3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46268</v>
      </c>
      <c r="F356" t="inlineStr">
        <is>
          <t>GÄVLEBORGS LÄN</t>
        </is>
      </c>
      <c r="G356" t="inlineStr">
        <is>
          <t>NORDANSTIG</t>
        </is>
      </c>
      <c r="I356" t="n">
        <v>8.4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46268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46268</v>
      </c>
      <c r="F358" t="inlineStr">
        <is>
          <t>GÄVLEBORGS LÄN</t>
        </is>
      </c>
      <c r="G358" t="inlineStr">
        <is>
          <t>NORDANSTIG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46268</v>
      </c>
      <c r="F359" t="inlineStr">
        <is>
          <t>GÄVLEBORGS LÄN</t>
        </is>
      </c>
      <c r="G359" t="inlineStr">
        <is>
          <t>NORDANSTIG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46268</v>
      </c>
      <c r="F360" t="inlineStr">
        <is>
          <t>GÄVLEBORGS LÄN</t>
        </is>
      </c>
      <c r="G360" t="inlineStr">
        <is>
          <t>NORDANSTIG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46268</v>
      </c>
      <c r="F361" t="inlineStr">
        <is>
          <t>GÄVLEBORGS LÄN</t>
        </is>
      </c>
      <c r="G361" t="inlineStr">
        <is>
          <t>NORDANSTIG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46268</v>
      </c>
      <c r="F362" t="inlineStr">
        <is>
          <t>GÄVLEBORGS LÄN</t>
        </is>
      </c>
      <c r="G362" t="inlineStr">
        <is>
          <t>NORDANSTIG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46268</v>
      </c>
      <c r="F363" t="inlineStr">
        <is>
          <t>GÄVLEBORGS LÄN</t>
        </is>
      </c>
      <c r="G363" t="inlineStr">
        <is>
          <t>NORDANSTIG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46268</v>
      </c>
      <c r="F364" t="inlineStr">
        <is>
          <t>GÄVLEBORGS LÄN</t>
        </is>
      </c>
      <c r="G364" t="inlineStr">
        <is>
          <t>NORDANSTIG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45912</v>
      </c>
      <c r="E365" s="1" t="n">
        <v>46268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46268</v>
      </c>
      <c r="F366" t="inlineStr">
        <is>
          <t>GÄVLEBORGS LÄN</t>
        </is>
      </c>
      <c r="G366" t="inlineStr">
        <is>
          <t>NORDANSTIG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30940-2022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44768</v>
      </c>
      <c r="E367" s="1" t="n">
        <v>46268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46268</v>
      </c>
      <c r="F368" t="inlineStr">
        <is>
          <t>GÄVLEBORGS LÄN</t>
        </is>
      </c>
      <c r="G368" t="inlineStr">
        <is>
          <t>NORDANSTIG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46268</v>
      </c>
      <c r="F369" t="inlineStr">
        <is>
          <t>GÄVLEBORGS LÄN</t>
        </is>
      </c>
      <c r="G369" t="inlineStr">
        <is>
          <t>NORDANSTIG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45931</v>
      </c>
      <c r="E370" s="1" t="n">
        <v>46268</v>
      </c>
      <c r="F370" t="inlineStr">
        <is>
          <t>GÄVLEBORGS LÄN</t>
        </is>
      </c>
      <c r="G370" t="inlineStr">
        <is>
          <t>NORDANSTIG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25665-2023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46268</v>
      </c>
      <c r="F371" t="inlineStr">
        <is>
          <t>GÄVLEBORGS LÄN</t>
        </is>
      </c>
      <c r="G371" t="inlineStr">
        <is>
          <t>NORDANSTIG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46268</v>
      </c>
      <c r="F372" t="inlineStr">
        <is>
          <t>GÄVLEBORGS LÄN</t>
        </is>
      </c>
      <c r="G372" t="inlineStr">
        <is>
          <t>NORDANSTIG</t>
        </is>
      </c>
      <c r="I372" t="n">
        <v>15.3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47790-2025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46268</v>
      </c>
      <c r="F373" t="inlineStr">
        <is>
          <t>GÄVLEBORGS LÄN</t>
        </is>
      </c>
      <c r="G373" t="inlineStr">
        <is>
          <t>NORDANSTIG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25724-2024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46268</v>
      </c>
      <c r="F374" t="inlineStr">
        <is>
          <t>GÄVLEBORGS LÄN</t>
        </is>
      </c>
      <c r="G374" t="inlineStr">
        <is>
          <t>NORDANSTIG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46268</v>
      </c>
      <c r="F375" t="inlineStr">
        <is>
          <t>GÄVLEBORGS LÄN</t>
        </is>
      </c>
      <c r="G375" t="inlineStr">
        <is>
          <t>NORDANSTIG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45671</v>
      </c>
      <c r="E376" s="1" t="n">
        <v>46268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46268</v>
      </c>
      <c r="F377" t="inlineStr">
        <is>
          <t>GÄVLEBORGS LÄN</t>
        </is>
      </c>
      <c r="G377" t="inlineStr">
        <is>
          <t>NORDANSTIG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45677</v>
      </c>
      <c r="E378" s="1" t="n">
        <v>46268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46268</v>
      </c>
      <c r="F379" t="inlineStr">
        <is>
          <t>GÄVLEBORGS LÄN</t>
        </is>
      </c>
      <c r="G379" t="inlineStr">
        <is>
          <t>NORDANSTIG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46268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46268</v>
      </c>
      <c r="F381" t="inlineStr">
        <is>
          <t>GÄVLEBORGS LÄN</t>
        </is>
      </c>
      <c r="G381" t="inlineStr">
        <is>
          <t>NORDANSTIG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46268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46268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46268</v>
      </c>
      <c r="F384" t="inlineStr">
        <is>
          <t>GÄVLEBORGS LÄN</t>
        </is>
      </c>
      <c r="G384" t="inlineStr">
        <is>
          <t>NORDANSTIG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46268</v>
      </c>
      <c r="F385" t="inlineStr">
        <is>
          <t>GÄVLEBORGS LÄN</t>
        </is>
      </c>
      <c r="G385" t="inlineStr">
        <is>
          <t>NORDANSTIG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46268</v>
      </c>
      <c r="F386" t="inlineStr">
        <is>
          <t>GÄVLEBORGS LÄN</t>
        </is>
      </c>
      <c r="G386" t="inlineStr">
        <is>
          <t>NORDANSTIG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46268</v>
      </c>
      <c r="F387" t="inlineStr">
        <is>
          <t>GÄVLEBORGS LÄN</t>
        </is>
      </c>
      <c r="G387" t="inlineStr">
        <is>
          <t>NORDANSTIG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46268</v>
      </c>
      <c r="F388" t="inlineStr">
        <is>
          <t>GÄVLEBORGS LÄN</t>
        </is>
      </c>
      <c r="G388" t="inlineStr">
        <is>
          <t>NORDANSTIG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46268</v>
      </c>
      <c r="F389" t="inlineStr">
        <is>
          <t>GÄVLEBORGS LÄN</t>
        </is>
      </c>
      <c r="G389" t="inlineStr">
        <is>
          <t>NORDANSTIG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46268</v>
      </c>
      <c r="F390" t="inlineStr">
        <is>
          <t>GÄVLEBORGS LÄN</t>
        </is>
      </c>
      <c r="G390" t="inlineStr">
        <is>
          <t>NORDANSTIG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46268</v>
      </c>
      <c r="F391" t="inlineStr">
        <is>
          <t>GÄVLEBORGS LÄN</t>
        </is>
      </c>
      <c r="G391" t="inlineStr">
        <is>
          <t>NORDANSTIG</t>
        </is>
      </c>
      <c r="I391" t="n">
        <v>15.3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61422-2024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46268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46268</v>
      </c>
      <c r="F393" t="inlineStr">
        <is>
          <t>GÄVLEBORGS LÄN</t>
        </is>
      </c>
      <c r="G393" t="inlineStr">
        <is>
          <t>NORDANSTIG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46268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46268</v>
      </c>
      <c r="F395" t="inlineStr">
        <is>
          <t>GÄVLEBORGS LÄN</t>
        </is>
      </c>
      <c r="G395" t="inlineStr">
        <is>
          <t>NORDANSTIG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46268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46268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48832-2025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45937</v>
      </c>
      <c r="E398" s="1" t="n">
        <v>46268</v>
      </c>
      <c r="F398" t="inlineStr">
        <is>
          <t>GÄVLEBORGS LÄN</t>
        </is>
      </c>
      <c r="G398" t="inlineStr">
        <is>
          <t>NORDANSTIG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49594-2025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46268</v>
      </c>
      <c r="F399" t="inlineStr">
        <is>
          <t>GÄVLEBORGS LÄN</t>
        </is>
      </c>
      <c r="G399" t="inlineStr">
        <is>
          <t>NORDANSTIG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49596-2025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46268</v>
      </c>
      <c r="F400" t="inlineStr">
        <is>
          <t>GÄVLEBORGS LÄN</t>
        </is>
      </c>
      <c r="G400" t="inlineStr">
        <is>
          <t>NORDANSTIG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37848-2025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45881</v>
      </c>
      <c r="E401" s="1" t="n">
        <v>46268</v>
      </c>
      <c r="F401" t="inlineStr">
        <is>
          <t>GÄVLEBORGS LÄN</t>
        </is>
      </c>
      <c r="G401" t="inlineStr">
        <is>
          <t>NORDANSTIG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46268</v>
      </c>
      <c r="F402" t="inlineStr">
        <is>
          <t>GÄVLEBORGS LÄN</t>
        </is>
      </c>
      <c r="G402" t="inlineStr">
        <is>
          <t>NORDANSTIG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46268</v>
      </c>
      <c r="F403" t="inlineStr">
        <is>
          <t>GÄVLEBORGS LÄN</t>
        </is>
      </c>
      <c r="G403" t="inlineStr">
        <is>
          <t>NORDANSTIG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43539-2023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45184</v>
      </c>
      <c r="E404" s="1" t="n">
        <v>46268</v>
      </c>
      <c r="F404" t="inlineStr">
        <is>
          <t>GÄVLEBORGS LÄN</t>
        </is>
      </c>
      <c r="G404" t="inlineStr">
        <is>
          <t>NORDANSTIG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46268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15973-2022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44664</v>
      </c>
      <c r="E406" s="1" t="n">
        <v>46268</v>
      </c>
      <c r="F406" t="inlineStr">
        <is>
          <t>GÄVLEBORGS LÄN</t>
        </is>
      </c>
      <c r="G406" t="inlineStr">
        <is>
          <t>NORDANSTIG</t>
        </is>
      </c>
      <c r="H406" t="inlineStr">
        <is>
          <t>SCA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38295-2025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45883</v>
      </c>
      <c r="E407" s="1" t="n">
        <v>46268</v>
      </c>
      <c r="F407" t="inlineStr">
        <is>
          <t>GÄVLEBORGS LÄN</t>
        </is>
      </c>
      <c r="G407" t="inlineStr">
        <is>
          <t>NORDANSTIG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46268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37563-2025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45880</v>
      </c>
      <c r="E409" s="1" t="n">
        <v>46268</v>
      </c>
      <c r="F409" t="inlineStr">
        <is>
          <t>GÄVLEBORGS LÄN</t>
        </is>
      </c>
      <c r="G409" t="inlineStr">
        <is>
          <t>NORDANSTIG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46268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20.2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46268</v>
      </c>
      <c r="F411" t="inlineStr">
        <is>
          <t>GÄVLEBORGS LÄN</t>
        </is>
      </c>
      <c r="G411" t="inlineStr">
        <is>
          <t>NORDANSTIG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46268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45596</v>
      </c>
      <c r="E413" s="1" t="n">
        <v>46268</v>
      </c>
      <c r="F413" t="inlineStr">
        <is>
          <t>GÄVLEBORGS LÄN</t>
        </is>
      </c>
      <c r="G413" t="inlineStr">
        <is>
          <t>NORDANSTIG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46268</v>
      </c>
      <c r="F414" t="inlineStr">
        <is>
          <t>GÄVLEBORGS LÄN</t>
        </is>
      </c>
      <c r="G414" t="inlineStr">
        <is>
          <t>NORDANSTIG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46268</v>
      </c>
      <c r="F415" t="inlineStr">
        <is>
          <t>GÄVLEBORGS LÄN</t>
        </is>
      </c>
      <c r="G415" t="inlineStr">
        <is>
          <t>NORDANSTIG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46268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38610-2025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45884</v>
      </c>
      <c r="E417" s="1" t="n">
        <v>46268</v>
      </c>
      <c r="F417" t="inlineStr">
        <is>
          <t>GÄVLEBORGS LÄN</t>
        </is>
      </c>
      <c r="G417" t="inlineStr">
        <is>
          <t>NORDANSTIG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46268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46268</v>
      </c>
      <c r="F419" t="inlineStr">
        <is>
          <t>GÄVLEBORGS LÄN</t>
        </is>
      </c>
      <c r="G419" t="inlineStr">
        <is>
          <t>NORDANSTIG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46050</v>
      </c>
      <c r="E420" s="1" t="n">
        <v>46268</v>
      </c>
      <c r="F420" t="inlineStr">
        <is>
          <t>GÄVLEBORGS LÄN</t>
        </is>
      </c>
      <c r="G420" t="inlineStr">
        <is>
          <t>NORDANSTIG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46268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51101-2025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46268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46050</v>
      </c>
      <c r="E423" s="1" t="n">
        <v>46268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46051</v>
      </c>
      <c r="E424" s="1" t="n">
        <v>46268</v>
      </c>
      <c r="F424" t="inlineStr">
        <is>
          <t>GÄVLEBORGS LÄN</t>
        </is>
      </c>
      <c r="G424" t="inlineStr">
        <is>
          <t>NORDANSTIG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39207-2023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46268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44573</v>
      </c>
      <c r="E426" s="1" t="n">
        <v>46268</v>
      </c>
      <c r="F426" t="inlineStr">
        <is>
          <t>GÄVLEBORGS LÄN</t>
        </is>
      </c>
      <c r="G426" t="inlineStr">
        <is>
          <t>NORDANSTIG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46268</v>
      </c>
      <c r="F427" t="inlineStr">
        <is>
          <t>GÄVLEBORGS LÄN</t>
        </is>
      </c>
      <c r="G427" t="inlineStr">
        <is>
          <t>NORDANSTIG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46268</v>
      </c>
      <c r="F428" t="inlineStr">
        <is>
          <t>GÄVLEBORGS LÄN</t>
        </is>
      </c>
      <c r="G428" t="inlineStr">
        <is>
          <t>NORDANSTIG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46268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46268</v>
      </c>
      <c r="F430" t="inlineStr">
        <is>
          <t>GÄVLEBORGS LÄN</t>
        </is>
      </c>
      <c r="G430" t="inlineStr">
        <is>
          <t>NORDANSTIG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45947</v>
      </c>
      <c r="E431" s="1" t="n">
        <v>46268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46268</v>
      </c>
      <c r="F432" t="inlineStr">
        <is>
          <t>GÄVLEBORGS LÄN</t>
        </is>
      </c>
      <c r="G432" t="inlineStr">
        <is>
          <t>NORDANSTIG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46053</v>
      </c>
      <c r="E433" s="1" t="n">
        <v>46268</v>
      </c>
      <c r="F433" t="inlineStr">
        <is>
          <t>GÄVLEBORGS LÄN</t>
        </is>
      </c>
      <c r="G433" t="inlineStr">
        <is>
          <t>NORDANSTIG</t>
        </is>
      </c>
      <c r="I433" t="n">
        <v>45.3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46268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46268</v>
      </c>
      <c r="F435" t="inlineStr">
        <is>
          <t>GÄVLEBORGS LÄN</t>
        </is>
      </c>
      <c r="G435" t="inlineStr">
        <is>
          <t>NORDANSTIG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30842-2024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45497</v>
      </c>
      <c r="E436" s="1" t="n">
        <v>46268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51466-2025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45950</v>
      </c>
      <c r="E437" s="1" t="n">
        <v>46268</v>
      </c>
      <c r="F437" t="inlineStr">
        <is>
          <t>GÄVLEBORGS LÄN</t>
        </is>
      </c>
      <c r="G437" t="inlineStr">
        <is>
          <t>NORDANSTIG</t>
        </is>
      </c>
      <c r="I437" t="n">
        <v>30.9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46268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46268</v>
      </c>
      <c r="F439" t="inlineStr">
        <is>
          <t>GÄVLEBORGS LÄN</t>
        </is>
      </c>
      <c r="G439" t="inlineStr">
        <is>
          <t>NORDANSTIG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46268</v>
      </c>
      <c r="F440" t="inlineStr">
        <is>
          <t>GÄVLEBORGS LÄN</t>
        </is>
      </c>
      <c r="G440" t="inlineStr">
        <is>
          <t>NORDANSTIG</t>
        </is>
      </c>
      <c r="I440" t="n">
        <v>10.2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51464-2025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45950</v>
      </c>
      <c r="E441" s="1" t="n">
        <v>46268</v>
      </c>
      <c r="F441" t="inlineStr">
        <is>
          <t>GÄVLEBORGS LÄN</t>
        </is>
      </c>
      <c r="G441" t="inlineStr">
        <is>
          <t>NORDANSTIG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46053</v>
      </c>
      <c r="E442" s="1" t="n">
        <v>46268</v>
      </c>
      <c r="F442" t="inlineStr">
        <is>
          <t>GÄVLEBORGS LÄN</t>
        </is>
      </c>
      <c r="G442" t="inlineStr">
        <is>
          <t>NORDANSTIG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46268</v>
      </c>
      <c r="F443" t="inlineStr">
        <is>
          <t>GÄVLEBORGS LÄN</t>
        </is>
      </c>
      <c r="G443" t="inlineStr">
        <is>
          <t>NORDANSTIG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45951</v>
      </c>
      <c r="E444" s="1" t="n">
        <v>46268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46268</v>
      </c>
      <c r="F445" t="inlineStr">
        <is>
          <t>GÄVLEBORGS LÄN</t>
        </is>
      </c>
      <c r="G445" t="inlineStr">
        <is>
          <t>NORDANSTIG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46268</v>
      </c>
      <c r="F446" t="inlineStr">
        <is>
          <t>GÄVLEBORGS LÄN</t>
        </is>
      </c>
      <c r="G446" t="inlineStr">
        <is>
          <t>NORDANSTIG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46268</v>
      </c>
      <c r="F447" t="inlineStr">
        <is>
          <t>GÄVLEBORGS LÄN</t>
        </is>
      </c>
      <c r="G447" t="inlineStr">
        <is>
          <t>NORDANSTIG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46057</v>
      </c>
      <c r="E448" s="1" t="n">
        <v>46268</v>
      </c>
      <c r="F448" t="inlineStr">
        <is>
          <t>GÄVLEBORGS LÄN</t>
        </is>
      </c>
      <c r="G448" t="inlineStr">
        <is>
          <t>NORDANSTIG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46268</v>
      </c>
      <c r="F449" t="inlineStr">
        <is>
          <t>GÄVLEBORGS LÄN</t>
        </is>
      </c>
      <c r="G449" t="inlineStr">
        <is>
          <t>NORDANSTIG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45297</v>
      </c>
      <c r="E450" s="1" t="n">
        <v>46268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46268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11113-2026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46079</v>
      </c>
      <c r="E452" s="1" t="n">
        <v>46268</v>
      </c>
      <c r="F452" t="inlineStr">
        <is>
          <t>GÄVLEBORGS LÄN</t>
        </is>
      </c>
      <c r="G452" t="inlineStr">
        <is>
          <t>NORDANSTIG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50827-2025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45946</v>
      </c>
      <c r="E453" s="1" t="n">
        <v>46268</v>
      </c>
      <c r="F453" t="inlineStr">
        <is>
          <t>GÄVLEBORGS LÄN</t>
        </is>
      </c>
      <c r="G453" t="inlineStr">
        <is>
          <t>NORDANSTIG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45525</v>
      </c>
      <c r="E454" s="1" t="n">
        <v>46268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45434</v>
      </c>
      <c r="E455" s="1" t="n">
        <v>46268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28711-2022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44748</v>
      </c>
      <c r="E456" s="1" t="n">
        <v>46268</v>
      </c>
      <c r="F456" t="inlineStr">
        <is>
          <t>GÄVLEBORGS LÄN</t>
        </is>
      </c>
      <c r="G456" t="inlineStr">
        <is>
          <t>NORDANSTIG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46268</v>
      </c>
      <c r="F457" t="inlineStr">
        <is>
          <t>GÄVLEBORGS LÄN</t>
        </is>
      </c>
      <c r="G457" t="inlineStr">
        <is>
          <t>NORDANSTIG</t>
        </is>
      </c>
      <c r="I457" t="n">
        <v>26.6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45701</v>
      </c>
      <c r="E458" s="1" t="n">
        <v>46268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45958</v>
      </c>
      <c r="E459" s="1" t="n">
        <v>46268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46268</v>
      </c>
      <c r="F460" t="inlineStr">
        <is>
          <t>GÄVLEBORGS LÄN</t>
        </is>
      </c>
      <c r="G460" t="inlineStr">
        <is>
          <t>NORDANSTIG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46268</v>
      </c>
      <c r="F461" t="inlineStr">
        <is>
          <t>GÄVLEBORGS LÄN</t>
        </is>
      </c>
      <c r="G461" t="inlineStr">
        <is>
          <t>NORDANSTIG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46268</v>
      </c>
      <c r="F462" t="inlineStr">
        <is>
          <t>GÄVLEBORGS LÄN</t>
        </is>
      </c>
      <c r="G462" t="inlineStr">
        <is>
          <t>NORDANSTIG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46268</v>
      </c>
      <c r="F463" t="inlineStr">
        <is>
          <t>GÄVLEBORGS LÄN</t>
        </is>
      </c>
      <c r="G463" t="inlineStr">
        <is>
          <t>NORDANSTIG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45959</v>
      </c>
      <c r="E464" s="1" t="n">
        <v>46268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7640-2026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46268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46268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46062</v>
      </c>
      <c r="E467" s="1" t="n">
        <v>46268</v>
      </c>
      <c r="F467" t="inlineStr">
        <is>
          <t>GÄVLEBORGS LÄN</t>
        </is>
      </c>
      <c r="G467" t="inlineStr">
        <is>
          <t>NORDANSTIG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7944-2026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46063</v>
      </c>
      <c r="E468" s="1" t="n">
        <v>46268</v>
      </c>
      <c r="F468" t="inlineStr">
        <is>
          <t>GÄVLEBORGS LÄN</t>
        </is>
      </c>
      <c r="G468" t="inlineStr">
        <is>
          <t>NORDANSTIG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46268</v>
      </c>
      <c r="F469" t="inlineStr">
        <is>
          <t>GÄVLEBORGS LÄN</t>
        </is>
      </c>
      <c r="G469" t="inlineStr">
        <is>
          <t>NORDANSTIG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46063</v>
      </c>
      <c r="E470" s="1" t="n">
        <v>46268</v>
      </c>
      <c r="F470" t="inlineStr">
        <is>
          <t>GÄVLEBORGS LÄN</t>
        </is>
      </c>
      <c r="G470" t="inlineStr">
        <is>
          <t>NORDANSTIG</t>
        </is>
      </c>
      <c r="I470" t="n">
        <v>13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46268</v>
      </c>
      <c r="F471" t="inlineStr">
        <is>
          <t>GÄVLEBORGS LÄN</t>
        </is>
      </c>
      <c r="G471" t="inlineStr">
        <is>
          <t>NORDANSTIG</t>
        </is>
      </c>
      <c r="I471" t="n">
        <v>10.5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46064</v>
      </c>
      <c r="E472" s="1" t="n">
        <v>46268</v>
      </c>
      <c r="F472" t="inlineStr">
        <is>
          <t>GÄVLEBORGS LÄN</t>
        </is>
      </c>
      <c r="G472" t="inlineStr">
        <is>
          <t>NORDANSTIG</t>
        </is>
      </c>
      <c r="I472" t="n">
        <v>38.1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46268</v>
      </c>
      <c r="F473" t="inlineStr">
        <is>
          <t>GÄVLEBORGS LÄN</t>
        </is>
      </c>
      <c r="G473" t="inlineStr">
        <is>
          <t>NORDANSTIG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54373-2025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45965</v>
      </c>
      <c r="E474" s="1" t="n">
        <v>46268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8201-2026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46064</v>
      </c>
      <c r="E475" s="1" t="n">
        <v>46268</v>
      </c>
      <c r="F475" t="inlineStr">
        <is>
          <t>GÄVLEBORGS LÄN</t>
        </is>
      </c>
      <c r="G475" t="inlineStr">
        <is>
          <t>NORDANSTIG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46268</v>
      </c>
      <c r="F476" t="inlineStr">
        <is>
          <t>GÄVLEBORGS LÄN</t>
        </is>
      </c>
      <c r="G476" t="inlineStr">
        <is>
          <t>NORDANSTIG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46268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46268</v>
      </c>
      <c r="F478" t="inlineStr">
        <is>
          <t>GÄVLEBORGS LÄN</t>
        </is>
      </c>
      <c r="G478" t="inlineStr">
        <is>
          <t>NORDANSTIG</t>
        </is>
      </c>
      <c r="I478" t="n">
        <v>19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46268</v>
      </c>
      <c r="F479" t="inlineStr">
        <is>
          <t>GÄVLEBORGS LÄN</t>
        </is>
      </c>
      <c r="G479" t="inlineStr">
        <is>
          <t>NORDANSTIG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46268</v>
      </c>
      <c r="F480" t="inlineStr">
        <is>
          <t>GÄVLEBORGS LÄN</t>
        </is>
      </c>
      <c r="G480" t="inlineStr">
        <is>
          <t>NORDANSTIG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8998-2026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46069</v>
      </c>
      <c r="E481" s="1" t="n">
        <v>46268</v>
      </c>
      <c r="F481" t="inlineStr">
        <is>
          <t>GÄVLEBORGS LÄN</t>
        </is>
      </c>
      <c r="G481" t="inlineStr">
        <is>
          <t>NORDANSTIG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46268</v>
      </c>
      <c r="F482" t="inlineStr">
        <is>
          <t>GÄVLEBORGS LÄN</t>
        </is>
      </c>
      <c r="G482" t="inlineStr">
        <is>
          <t>NORDANSTIG</t>
        </is>
      </c>
      <c r="H482" t="inlineStr">
        <is>
          <t>Naturvårdsverket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46268</v>
      </c>
      <c r="F483" t="inlineStr">
        <is>
          <t>GÄVLEBORGS LÄN</t>
        </is>
      </c>
      <c r="G483" t="inlineStr">
        <is>
          <t>NORDANSTIG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46268</v>
      </c>
      <c r="F484" t="inlineStr">
        <is>
          <t>GÄVLEBORGS LÄN</t>
        </is>
      </c>
      <c r="G484" t="inlineStr">
        <is>
          <t>NORDANSTIG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46268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46268</v>
      </c>
      <c r="F486" t="inlineStr">
        <is>
          <t>GÄVLEBORGS LÄN</t>
        </is>
      </c>
      <c r="G486" t="inlineStr">
        <is>
          <t>NORDANSTIG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9500-2026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46268</v>
      </c>
      <c r="F487" t="inlineStr">
        <is>
          <t>GÄVLEBORGS LÄN</t>
        </is>
      </c>
      <c r="G487" t="inlineStr">
        <is>
          <t>NORDANSTIG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55453-2025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46268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55460-2025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46268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46268</v>
      </c>
      <c r="F490" t="inlineStr">
        <is>
          <t>GÄVLEBORGS LÄN</t>
        </is>
      </c>
      <c r="G490" t="inlineStr">
        <is>
          <t>NORDANSTIG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46268</v>
      </c>
      <c r="F491" t="inlineStr">
        <is>
          <t>GÄVLEBORGS LÄN</t>
        </is>
      </c>
      <c r="G491" t="inlineStr">
        <is>
          <t>NORDANSTIG</t>
        </is>
      </c>
      <c r="I491" t="n">
        <v>15.6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46268</v>
      </c>
      <c r="F492" t="inlineStr">
        <is>
          <t>GÄVLEBORGS LÄN</t>
        </is>
      </c>
      <c r="G492" t="inlineStr">
        <is>
          <t>NORDANSTIG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46268</v>
      </c>
      <c r="F493" t="inlineStr">
        <is>
          <t>GÄVLEBORGS LÄN</t>
        </is>
      </c>
      <c r="G493" t="inlineStr">
        <is>
          <t>NORDANSTIG</t>
        </is>
      </c>
      <c r="I493" t="n">
        <v>12.2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46268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46268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55186-2025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45968</v>
      </c>
      <c r="E496" s="1" t="n">
        <v>46268</v>
      </c>
      <c r="F496" t="inlineStr">
        <is>
          <t>GÄVLEBORGS LÄN</t>
        </is>
      </c>
      <c r="G496" t="inlineStr">
        <is>
          <t>NORDANSTIG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55513-2025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46268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46070</v>
      </c>
      <c r="E498" s="1" t="n">
        <v>46268</v>
      </c>
      <c r="F498" t="inlineStr">
        <is>
          <t>GÄVLEBORGS LÄN</t>
        </is>
      </c>
      <c r="G498" t="inlineStr">
        <is>
          <t>NORDANSTIG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46073</v>
      </c>
      <c r="E499" s="1" t="n">
        <v>46268</v>
      </c>
      <c r="F499" t="inlineStr">
        <is>
          <t>GÄVLEBORGS LÄN</t>
        </is>
      </c>
      <c r="G499" t="inlineStr">
        <is>
          <t>NORDANSTIG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9780-2026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46268</v>
      </c>
      <c r="F500" t="inlineStr">
        <is>
          <t>GÄVLEBORGS LÄN</t>
        </is>
      </c>
      <c r="G500" t="inlineStr">
        <is>
          <t>NORDANSTIG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46268</v>
      </c>
      <c r="F501" t="inlineStr">
        <is>
          <t>GÄVLEBORGS LÄN</t>
        </is>
      </c>
      <c r="G501" t="inlineStr">
        <is>
          <t>NORDANSTIG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46268</v>
      </c>
      <c r="F502" t="inlineStr">
        <is>
          <t>GÄVLEBORGS LÄN</t>
        </is>
      </c>
      <c r="G502" t="inlineStr">
        <is>
          <t>NORDANSTIG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55955-2025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46268</v>
      </c>
      <c r="F503" t="inlineStr">
        <is>
          <t>GÄVLEBORGS LÄN</t>
        </is>
      </c>
      <c r="G503" t="inlineStr">
        <is>
          <t>NORDANSTIG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46268</v>
      </c>
      <c r="F504" t="inlineStr">
        <is>
          <t>GÄVLEBORGS LÄN</t>
        </is>
      </c>
      <c r="G504" t="inlineStr">
        <is>
          <t>NORDANSTIG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46268</v>
      </c>
      <c r="F505" t="inlineStr">
        <is>
          <t>GÄVLEBORGS LÄN</t>
        </is>
      </c>
      <c r="G505" t="inlineStr">
        <is>
          <t>NORDANSTIG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56056-2025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46268</v>
      </c>
      <c r="F506" t="inlineStr">
        <is>
          <t>GÄVLEBORGS LÄN</t>
        </is>
      </c>
      <c r="G506" t="inlineStr">
        <is>
          <t>NORDANSTIG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46073</v>
      </c>
      <c r="E507" s="1" t="n">
        <v>46268</v>
      </c>
      <c r="F507" t="inlineStr">
        <is>
          <t>GÄVLEBORGS LÄN</t>
        </is>
      </c>
      <c r="G507" t="inlineStr">
        <is>
          <t>NORDANSTIG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46268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58872-2024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45636</v>
      </c>
      <c r="E509" s="1" t="n">
        <v>46268</v>
      </c>
      <c r="F509" t="inlineStr">
        <is>
          <t>GÄVLEBORGS LÄN</t>
        </is>
      </c>
      <c r="G509" t="inlineStr">
        <is>
          <t>NORDANSTIG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54200-2023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45232</v>
      </c>
      <c r="E510" s="1" t="n">
        <v>46268</v>
      </c>
      <c r="F510" t="inlineStr">
        <is>
          <t>GÄVLEBORGS LÄN</t>
        </is>
      </c>
      <c r="G510" t="inlineStr">
        <is>
          <t>NORDANSTIG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46268</v>
      </c>
      <c r="F511" t="inlineStr">
        <is>
          <t>GÄVLEBORGS LÄN</t>
        </is>
      </c>
      <c r="G511" t="inlineStr">
        <is>
          <t>NORDANSTIG</t>
        </is>
      </c>
      <c r="I511" t="n">
        <v>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46268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56191-2025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45974</v>
      </c>
      <c r="E513" s="1" t="n">
        <v>46268</v>
      </c>
      <c r="F513" t="inlineStr">
        <is>
          <t>GÄVLEBORGS LÄN</t>
        </is>
      </c>
      <c r="G513" t="inlineStr">
        <is>
          <t>NORDANSTIG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57284-2025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46268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46268</v>
      </c>
      <c r="F515" t="inlineStr">
        <is>
          <t>GÄVLEBORGS LÄN</t>
        </is>
      </c>
      <c r="G515" t="inlineStr">
        <is>
          <t>NORDANSTIG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40269-2023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46268</v>
      </c>
      <c r="F516" t="inlineStr">
        <is>
          <t>GÄVLEBORGS LÄN</t>
        </is>
      </c>
      <c r="G516" t="inlineStr">
        <is>
          <t>NORDANSTIG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55206-2022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44886</v>
      </c>
      <c r="E517" s="1" t="n">
        <v>46268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45546</v>
      </c>
      <c r="E518" s="1" t="n">
        <v>46268</v>
      </c>
      <c r="F518" t="inlineStr">
        <is>
          <t>GÄVLEBORGS LÄN</t>
        </is>
      </c>
      <c r="G518" t="inlineStr">
        <is>
          <t>NORDANSTIG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46268</v>
      </c>
      <c r="F519" t="inlineStr">
        <is>
          <t>GÄVLEBORGS LÄN</t>
        </is>
      </c>
      <c r="G519" t="inlineStr">
        <is>
          <t>NORDANSTIG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46268</v>
      </c>
      <c r="F520" t="inlineStr">
        <is>
          <t>GÄVLEBORGS LÄN</t>
        </is>
      </c>
      <c r="G520" t="inlineStr">
        <is>
          <t>NORDANSTIG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46268</v>
      </c>
      <c r="F521" t="inlineStr">
        <is>
          <t>GÄVLEBORGS LÄN</t>
        </is>
      </c>
      <c r="G521" t="inlineStr">
        <is>
          <t>NORDANSTIG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46268</v>
      </c>
      <c r="F522" t="inlineStr">
        <is>
          <t>GÄVLEBORGS LÄN</t>
        </is>
      </c>
      <c r="G522" t="inlineStr">
        <is>
          <t>NORDANSTIG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46268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46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57558-2025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45980</v>
      </c>
      <c r="E524" s="1" t="n">
        <v>46268</v>
      </c>
      <c r="F524" t="inlineStr">
        <is>
          <t>GÄVLEBORGS LÄN</t>
        </is>
      </c>
      <c r="G524" t="inlineStr">
        <is>
          <t>NORDANSTIG</t>
        </is>
      </c>
      <c r="H524" t="inlineStr">
        <is>
          <t>SCA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57559-2025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45980</v>
      </c>
      <c r="E525" s="1" t="n">
        <v>46268</v>
      </c>
      <c r="F525" t="inlineStr">
        <is>
          <t>GÄVLEBORGS LÄN</t>
        </is>
      </c>
      <c r="G525" t="inlineStr">
        <is>
          <t>NORDANSTIG</t>
        </is>
      </c>
      <c r="H525" t="inlineStr">
        <is>
          <t>SCA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46268</v>
      </c>
      <c r="F526" t="inlineStr">
        <is>
          <t>GÄVLEBORGS LÄN</t>
        </is>
      </c>
      <c r="G526" t="inlineStr">
        <is>
          <t>NORDANSTIG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46268</v>
      </c>
      <c r="F527" t="inlineStr">
        <is>
          <t>GÄVLEBORGS LÄN</t>
        </is>
      </c>
      <c r="G527" t="inlineStr">
        <is>
          <t>NORDANSTIG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60398-2023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45259</v>
      </c>
      <c r="E528" s="1" t="n">
        <v>46268</v>
      </c>
      <c r="F528" t="inlineStr">
        <is>
          <t>GÄVLEBORGS LÄN</t>
        </is>
      </c>
      <c r="G528" t="inlineStr">
        <is>
          <t>NORDANSTIG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46268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58522-2025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46268</v>
      </c>
      <c r="F530" t="inlineStr">
        <is>
          <t>GÄVLEBORGS LÄN</t>
        </is>
      </c>
      <c r="G530" t="inlineStr">
        <is>
          <t>NORDANSTIG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46268</v>
      </c>
      <c r="F531" t="inlineStr">
        <is>
          <t>GÄVLEBORGS LÄN</t>
        </is>
      </c>
      <c r="G531" t="inlineStr">
        <is>
          <t>NORDANSTIG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44874</v>
      </c>
      <c r="E532" s="1" t="n">
        <v>46268</v>
      </c>
      <c r="F532" t="inlineStr">
        <is>
          <t>GÄVLEBORGS LÄN</t>
        </is>
      </c>
      <c r="G532" t="inlineStr">
        <is>
          <t>NORDANSTIG</t>
        </is>
      </c>
      <c r="H532" t="inlineStr">
        <is>
          <t>SCA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45985</v>
      </c>
      <c r="E533" s="1" t="n">
        <v>46268</v>
      </c>
      <c r="F533" t="inlineStr">
        <is>
          <t>GÄVLEBORGS LÄN</t>
        </is>
      </c>
      <c r="G533" t="inlineStr">
        <is>
          <t>NORDANSTIG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42947-2022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44833</v>
      </c>
      <c r="E534" s="1" t="n">
        <v>46268</v>
      </c>
      <c r="F534" t="inlineStr">
        <is>
          <t>GÄVLEBORGS LÄN</t>
        </is>
      </c>
      <c r="G534" t="inlineStr">
        <is>
          <t>NORDANSTIG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46268</v>
      </c>
      <c r="F535" t="inlineStr">
        <is>
          <t>GÄVLEBORGS LÄN</t>
        </is>
      </c>
      <c r="G535" t="inlineStr">
        <is>
          <t>NORDANSTIG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45985</v>
      </c>
      <c r="E536" s="1" t="n">
        <v>46268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58595-2025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46268</v>
      </c>
      <c r="F537" t="inlineStr">
        <is>
          <t>GÄVLEBORGS LÄN</t>
        </is>
      </c>
      <c r="G537" t="inlineStr">
        <is>
          <t>NORDANSTIG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46268</v>
      </c>
      <c r="F538" t="inlineStr">
        <is>
          <t>GÄVLEBORGS LÄN</t>
        </is>
      </c>
      <c r="G538" t="inlineStr">
        <is>
          <t>NORDANSTIG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46268</v>
      </c>
      <c r="F539" t="inlineStr">
        <is>
          <t>GÄVLEBORGS LÄN</t>
        </is>
      </c>
      <c r="G539" t="inlineStr">
        <is>
          <t>NORDANSTIG</t>
        </is>
      </c>
      <c r="I539" t="n">
        <v>8.6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46268</v>
      </c>
      <c r="F540" t="inlineStr">
        <is>
          <t>GÄVLEBORGS LÄN</t>
        </is>
      </c>
      <c r="G540" t="inlineStr">
        <is>
          <t>NORDANSTIG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46268</v>
      </c>
      <c r="F541" t="inlineStr">
        <is>
          <t>GÄVLEBORGS LÄN</t>
        </is>
      </c>
      <c r="G541" t="inlineStr">
        <is>
          <t>NORDANSTIG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46268</v>
      </c>
      <c r="F542" t="inlineStr">
        <is>
          <t>GÄVLEBORGS LÄN</t>
        </is>
      </c>
      <c r="G542" t="inlineStr">
        <is>
          <t>NORDANSTIG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58531-2025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45985</v>
      </c>
      <c r="E543" s="1" t="n">
        <v>46268</v>
      </c>
      <c r="F543" t="inlineStr">
        <is>
          <t>GÄVLEBORGS LÄN</t>
        </is>
      </c>
      <c r="G543" t="inlineStr">
        <is>
          <t>NORDANSTIG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59008-2025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45987</v>
      </c>
      <c r="E544" s="1" t="n">
        <v>46268</v>
      </c>
      <c r="F544" t="inlineStr">
        <is>
          <t>GÄVLEBORGS LÄN</t>
        </is>
      </c>
      <c r="G544" t="inlineStr">
        <is>
          <t>NORDANSTIG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46268</v>
      </c>
      <c r="F545" t="inlineStr">
        <is>
          <t>GÄVLEBORGS LÄN</t>
        </is>
      </c>
      <c r="G545" t="inlineStr">
        <is>
          <t>NORDANSTIG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45170</v>
      </c>
      <c r="E546" s="1" t="n">
        <v>46268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7503-2022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44607</v>
      </c>
      <c r="E547" s="1" t="n">
        <v>46268</v>
      </c>
      <c r="F547" t="inlineStr">
        <is>
          <t>GÄVLEBORGS LÄN</t>
        </is>
      </c>
      <c r="G547" t="inlineStr">
        <is>
          <t>NORDANSTIG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46268</v>
      </c>
      <c r="F548" t="inlineStr">
        <is>
          <t>GÄVLEBORGS LÄN</t>
        </is>
      </c>
      <c r="G548" t="inlineStr">
        <is>
          <t>NORDANSTIG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46268</v>
      </c>
      <c r="F549" t="inlineStr">
        <is>
          <t>GÄVLEBORGS LÄN</t>
        </is>
      </c>
      <c r="G549" t="inlineStr">
        <is>
          <t>NORDANSTIG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40798-2022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44824</v>
      </c>
      <c r="E550" s="1" t="n">
        <v>46268</v>
      </c>
      <c r="F550" t="inlineStr">
        <is>
          <t>GÄVLEBORGS LÄN</t>
        </is>
      </c>
      <c r="G550" t="inlineStr">
        <is>
          <t>NORDANSTIG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13270-2022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46268</v>
      </c>
      <c r="F551" t="inlineStr">
        <is>
          <t>GÄVLEBORGS LÄN</t>
        </is>
      </c>
      <c r="G551" t="inlineStr">
        <is>
          <t>NORDANSTIG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12334-2026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46268</v>
      </c>
      <c r="F552" t="inlineStr">
        <is>
          <t>GÄVLEBORGS LÄN</t>
        </is>
      </c>
      <c r="G552" t="inlineStr">
        <is>
          <t>NORDANSTIG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59997-2025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45993</v>
      </c>
      <c r="E553" s="1" t="n">
        <v>46268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46268</v>
      </c>
      <c r="F554" t="inlineStr">
        <is>
          <t>GÄVLEBORGS LÄN</t>
        </is>
      </c>
      <c r="G554" t="inlineStr">
        <is>
          <t>NORDANSTIG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46268</v>
      </c>
      <c r="F555" t="inlineStr">
        <is>
          <t>GÄVLEBORGS LÄN</t>
        </is>
      </c>
      <c r="G555" t="inlineStr">
        <is>
          <t>NORDANSTIG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45324</v>
      </c>
      <c r="E556" s="1" t="n">
        <v>46268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46268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46031</v>
      </c>
      <c r="E558" s="1" t="n">
        <v>46268</v>
      </c>
      <c r="F558" t="inlineStr">
        <is>
          <t>GÄVLEBORGS LÄN</t>
        </is>
      </c>
      <c r="G558" t="inlineStr">
        <is>
          <t>NORDANSTIG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42717-2024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45566</v>
      </c>
      <c r="E559" s="1" t="n">
        <v>46268</v>
      </c>
      <c r="F559" t="inlineStr">
        <is>
          <t>GÄVLEBORGS LÄN</t>
        </is>
      </c>
      <c r="G559" t="inlineStr">
        <is>
          <t>NORDANSTIG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45995</v>
      </c>
      <c r="E560" s="1" t="n">
        <v>46268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38241-2024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45545</v>
      </c>
      <c r="E561" s="1" t="n">
        <v>46268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45994</v>
      </c>
      <c r="E562" s="1" t="n">
        <v>46268</v>
      </c>
      <c r="F562" t="inlineStr">
        <is>
          <t>GÄVLEBORGS LÄN</t>
        </is>
      </c>
      <c r="G562" t="inlineStr">
        <is>
          <t>NORDANSTIG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45489</v>
      </c>
      <c r="E563" s="1" t="n">
        <v>46268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45999</v>
      </c>
      <c r="E564" s="1" t="n">
        <v>46268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38048-2024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46268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46268</v>
      </c>
      <c r="F566" t="inlineStr">
        <is>
          <t>GÄVLEBORGS LÄN</t>
        </is>
      </c>
      <c r="G566" t="inlineStr">
        <is>
          <t>NORDANSTIG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61046-2025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46000</v>
      </c>
      <c r="E567" s="1" t="n">
        <v>46268</v>
      </c>
      <c r="F567" t="inlineStr">
        <is>
          <t>GÄVLEBORGS LÄN</t>
        </is>
      </c>
      <c r="G567" t="inlineStr">
        <is>
          <t>NORDANSTIG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46268</v>
      </c>
      <c r="F568" t="inlineStr">
        <is>
          <t>GÄVLEBORGS LÄN</t>
        </is>
      </c>
      <c r="G568" t="inlineStr">
        <is>
          <t>NORDANSTIG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46003</v>
      </c>
      <c r="E569" s="1" t="n">
        <v>46268</v>
      </c>
      <c r="F569" t="inlineStr">
        <is>
          <t>GÄVLEBORGS LÄN</t>
        </is>
      </c>
      <c r="G569" t="inlineStr">
        <is>
          <t>NORDANSTIG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46268</v>
      </c>
      <c r="F570" t="inlineStr">
        <is>
          <t>GÄVLEBORGS LÄN</t>
        </is>
      </c>
      <c r="G570" t="inlineStr">
        <is>
          <t>NORDANSTIG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46268</v>
      </c>
      <c r="F571" t="inlineStr">
        <is>
          <t>GÄVLEBORGS LÄN</t>
        </is>
      </c>
      <c r="G571" t="inlineStr">
        <is>
          <t>NORDANSTIG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59912-2024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45641</v>
      </c>
      <c r="E572" s="1" t="n">
        <v>46268</v>
      </c>
      <c r="F572" t="inlineStr">
        <is>
          <t>GÄVLEBORGS LÄN</t>
        </is>
      </c>
      <c r="G572" t="inlineStr">
        <is>
          <t>NORDANSTIG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59930-2024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45642</v>
      </c>
      <c r="E573" s="1" t="n">
        <v>46268</v>
      </c>
      <c r="F573" t="inlineStr">
        <is>
          <t>GÄVLEBORGS LÄN</t>
        </is>
      </c>
      <c r="G573" t="inlineStr">
        <is>
          <t>NORDANSTIG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46268</v>
      </c>
      <c r="F574" t="inlineStr">
        <is>
          <t>GÄVLEBORGS LÄN</t>
        </is>
      </c>
      <c r="G574" t="inlineStr">
        <is>
          <t>NORDANSTIG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46006</v>
      </c>
      <c r="E575" s="1" t="n">
        <v>46268</v>
      </c>
      <c r="F575" t="inlineStr">
        <is>
          <t>GÄVLEBORGS LÄN</t>
        </is>
      </c>
      <c r="G575" t="inlineStr">
        <is>
          <t>NORDANSTIG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46268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46097</v>
      </c>
      <c r="E577" s="1" t="n">
        <v>46268</v>
      </c>
      <c r="F577" t="inlineStr">
        <is>
          <t>GÄVLEBORGS LÄN</t>
        </is>
      </c>
      <c r="G577" t="inlineStr">
        <is>
          <t>NORDANSTIG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13982-2026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46268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44964</v>
      </c>
      <c r="E579" s="1" t="n">
        <v>46268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45551-2024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46268</v>
      </c>
      <c r="F580" t="inlineStr">
        <is>
          <t>GÄVLEBORGS LÄN</t>
        </is>
      </c>
      <c r="G580" t="inlineStr">
        <is>
          <t>NORDANSTIG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19568-2024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46268</v>
      </c>
      <c r="F581" t="inlineStr">
        <is>
          <t>GÄVLEBORGS LÄN</t>
        </is>
      </c>
      <c r="G581" t="inlineStr">
        <is>
          <t>NORDANSTIG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19569-2024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46268</v>
      </c>
      <c r="F582" t="inlineStr">
        <is>
          <t>GÄVLEBORGS LÄN</t>
        </is>
      </c>
      <c r="G582" t="inlineStr">
        <is>
          <t>NORDANSTIG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46268</v>
      </c>
      <c r="F583" t="inlineStr">
        <is>
          <t>GÄVLEBORGS LÄN</t>
        </is>
      </c>
      <c r="G583" t="inlineStr">
        <is>
          <t>NORDANSTIG</t>
        </is>
      </c>
      <c r="H583" t="inlineStr">
        <is>
          <t>SCA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46268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46099</v>
      </c>
      <c r="E585" s="1" t="n">
        <v>46268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61141-2022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44915</v>
      </c>
      <c r="E586" s="1" t="n">
        <v>46268</v>
      </c>
      <c r="F586" t="inlineStr">
        <is>
          <t>GÄVLEBORGS LÄN</t>
        </is>
      </c>
      <c r="G586" t="inlineStr">
        <is>
          <t>NORDANSTIG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18401-2023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45042</v>
      </c>
      <c r="E587" s="1" t="n">
        <v>46268</v>
      </c>
      <c r="F587" t="inlineStr">
        <is>
          <t>GÄVLEBORGS LÄN</t>
        </is>
      </c>
      <c r="G587" t="inlineStr">
        <is>
          <t>NORDANSTIG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36525-2024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45537</v>
      </c>
      <c r="E588" s="1" t="n">
        <v>46268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46268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45618</v>
      </c>
      <c r="E590" s="1" t="n">
        <v>46268</v>
      </c>
      <c r="F590" t="inlineStr">
        <is>
          <t>GÄVLEBORGS LÄN</t>
        </is>
      </c>
      <c r="G590" t="inlineStr">
        <is>
          <t>NORDANSTIG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63986-2025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46021</v>
      </c>
      <c r="E591" s="1" t="n">
        <v>46268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46268</v>
      </c>
      <c r="F592" t="inlineStr">
        <is>
          <t>GÄVLEBORGS LÄN</t>
        </is>
      </c>
      <c r="G592" t="inlineStr">
        <is>
          <t>NORDANSTIG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8805-2025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45712</v>
      </c>
      <c r="E593" s="1" t="n">
        <v>46268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45089</v>
      </c>
      <c r="E594" s="1" t="n">
        <v>46268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46268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15009-2026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46268</v>
      </c>
      <c r="F596" t="inlineStr">
        <is>
          <t>GÄVLEBORGS LÄN</t>
        </is>
      </c>
      <c r="G596" t="inlineStr">
        <is>
          <t>NORDANSTIG</t>
        </is>
      </c>
      <c r="I596" t="n">
        <v>8.4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46268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46268</v>
      </c>
      <c r="F598" t="inlineStr">
        <is>
          <t>GÄVLEBORGS LÄN</t>
        </is>
      </c>
      <c r="G598" t="inlineStr">
        <is>
          <t>NORDANSTIG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46125</v>
      </c>
      <c r="E599" s="1" t="n">
        <v>46268</v>
      </c>
      <c r="F599" t="inlineStr">
        <is>
          <t>GÄVLEBORGS LÄN</t>
        </is>
      </c>
      <c r="G599" t="inlineStr">
        <is>
          <t>NORDANSTIG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18638-2023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45043</v>
      </c>
      <c r="E600" s="1" t="n">
        <v>46268</v>
      </c>
      <c r="F600" t="inlineStr">
        <is>
          <t>GÄVLEBORGS LÄN</t>
        </is>
      </c>
      <c r="G600" t="inlineStr">
        <is>
          <t>NORDANSTIG</t>
        </is>
      </c>
      <c r="I600" t="n">
        <v>11.3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42780-2022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44832</v>
      </c>
      <c r="E601" s="1" t="n">
        <v>46268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45222</v>
      </c>
      <c r="E602" s="1" t="n">
        <v>46268</v>
      </c>
      <c r="F602" t="inlineStr">
        <is>
          <t>GÄVLEBORGS LÄN</t>
        </is>
      </c>
      <c r="G602" t="inlineStr">
        <is>
          <t>NORDANSTIG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18529-2022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44686</v>
      </c>
      <c r="E603" s="1" t="n">
        <v>46268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6583-2022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44601</v>
      </c>
      <c r="E604" s="1" t="n">
        <v>46268</v>
      </c>
      <c r="F604" t="inlineStr">
        <is>
          <t>GÄVLEBORGS LÄN</t>
        </is>
      </c>
      <c r="G604" t="inlineStr">
        <is>
          <t>NORDANSTIG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45741</v>
      </c>
      <c r="E605" s="1" t="n">
        <v>46268</v>
      </c>
      <c r="F605" t="inlineStr">
        <is>
          <t>GÄVLEBORGS LÄN</t>
        </is>
      </c>
      <c r="G605" t="inlineStr">
        <is>
          <t>NORDANSTIG</t>
        </is>
      </c>
      <c r="I605" t="n">
        <v>16.7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21157-2022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44704</v>
      </c>
      <c r="E606" s="1" t="n">
        <v>46268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58876-2024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45636</v>
      </c>
      <c r="E607" s="1" t="n">
        <v>46268</v>
      </c>
      <c r="F607" t="inlineStr">
        <is>
          <t>GÄVLEBORGS LÄN</t>
        </is>
      </c>
      <c r="G607" t="inlineStr">
        <is>
          <t>NORDANSTIG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46268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45141</v>
      </c>
      <c r="E609" s="1" t="n">
        <v>46268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16291-2026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46268</v>
      </c>
      <c r="F610" t="inlineStr">
        <is>
          <t>GÄVLEBORGS LÄN</t>
        </is>
      </c>
      <c r="G610" t="inlineStr">
        <is>
          <t>NORDANSTIG</t>
        </is>
      </c>
      <c r="H610" t="inlineStr">
        <is>
          <t>Kommuner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16184-2026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46268</v>
      </c>
      <c r="F611" t="inlineStr">
        <is>
          <t>GÄVLEBORGS LÄN</t>
        </is>
      </c>
      <c r="G611" t="inlineStr">
        <is>
          <t>NORDANSTIG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16294-2026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46268</v>
      </c>
      <c r="F612" t="inlineStr">
        <is>
          <t>GÄVLEBORGS LÄN</t>
        </is>
      </c>
      <c r="G612" t="inlineStr">
        <is>
          <t>NORDANSTIG</t>
        </is>
      </c>
      <c r="H612" t="inlineStr">
        <is>
          <t>Kommuner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46268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16449-2026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46112</v>
      </c>
      <c r="E614" s="1" t="n">
        <v>46268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34.8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16528-2026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46112</v>
      </c>
      <c r="E615" s="1" t="n">
        <v>46268</v>
      </c>
      <c r="F615" t="inlineStr">
        <is>
          <t>GÄVLEBORGS LÄN</t>
        </is>
      </c>
      <c r="G615" t="inlineStr">
        <is>
          <t>NORDANSTIG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46111</v>
      </c>
      <c r="E616" s="1" t="n">
        <v>46268</v>
      </c>
      <c r="F616" t="inlineStr">
        <is>
          <t>GÄVLEBORGS LÄN</t>
        </is>
      </c>
      <c r="G616" t="inlineStr">
        <is>
          <t>NORDANSTIG</t>
        </is>
      </c>
      <c r="H616" t="inlineStr">
        <is>
          <t>Kommuner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46111</v>
      </c>
      <c r="E617" s="1" t="n">
        <v>46268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16310-2026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46111</v>
      </c>
      <c r="E618" s="1" t="n">
        <v>46268</v>
      </c>
      <c r="F618" t="inlineStr">
        <is>
          <t>GÄVLEBORGS LÄN</t>
        </is>
      </c>
      <c r="G618" t="inlineStr">
        <is>
          <t>NORDANSTIG</t>
        </is>
      </c>
      <c r="H618" t="inlineStr">
        <is>
          <t>Kommuner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46268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46113</v>
      </c>
      <c r="E620" s="1" t="n">
        <v>46268</v>
      </c>
      <c r="F620" t="inlineStr">
        <is>
          <t>GÄVLEBORGS LÄN</t>
        </is>
      </c>
      <c r="G620" t="inlineStr">
        <is>
          <t>NORDANSTIG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14415-2022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44652</v>
      </c>
      <c r="E621" s="1" t="n">
        <v>46268</v>
      </c>
      <c r="F621" t="inlineStr">
        <is>
          <t>GÄVLEBORGS LÄN</t>
        </is>
      </c>
      <c r="G621" t="inlineStr">
        <is>
          <t>NORDANSTIG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45297</v>
      </c>
      <c r="E622" s="1" t="n">
        <v>46268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56281-2024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45624</v>
      </c>
      <c r="E623" s="1" t="n">
        <v>46268</v>
      </c>
      <c r="F623" t="inlineStr">
        <is>
          <t>GÄVLEBORGS LÄN</t>
        </is>
      </c>
      <c r="G623" t="inlineStr">
        <is>
          <t>NORDANSTIG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46118</v>
      </c>
      <c r="E624" s="1" t="n">
        <v>46268</v>
      </c>
      <c r="F624" t="inlineStr">
        <is>
          <t>GÄVLEBORGS LÄN</t>
        </is>
      </c>
      <c r="G624" t="inlineStr">
        <is>
          <t>NORDANSTIG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46268</v>
      </c>
      <c r="F625" t="inlineStr">
        <is>
          <t>GÄVLEBORGS LÄN</t>
        </is>
      </c>
      <c r="G625" t="inlineStr">
        <is>
          <t>NORDANSTIG</t>
        </is>
      </c>
      <c r="I625" t="n">
        <v>16.3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46268</v>
      </c>
      <c r="F626" t="inlineStr">
        <is>
          <t>GÄVLEBORGS LÄN</t>
        </is>
      </c>
      <c r="G626" t="inlineStr">
        <is>
          <t>NORDANSTIG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45729</v>
      </c>
      <c r="E627" s="1" t="n">
        <v>46268</v>
      </c>
      <c r="F627" t="inlineStr">
        <is>
          <t>GÄVLEBORGS LÄN</t>
        </is>
      </c>
      <c r="G627" t="inlineStr">
        <is>
          <t>NORDANSTIG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14961-2025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45743</v>
      </c>
      <c r="E628" s="1" t="n">
        <v>46268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46268</v>
      </c>
      <c r="F629" t="inlineStr">
        <is>
          <t>GÄVLEBORGS LÄN</t>
        </is>
      </c>
      <c r="G629" t="inlineStr">
        <is>
          <t>NORDANSTIG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46120</v>
      </c>
      <c r="E630" s="1" t="n">
        <v>46268</v>
      </c>
      <c r="F630" t="inlineStr">
        <is>
          <t>GÄVLEBORGS LÄN</t>
        </is>
      </c>
      <c r="G630" t="inlineStr">
        <is>
          <t>NORDANSTIG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17286-2026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46119</v>
      </c>
      <c r="E631" s="1" t="n">
        <v>46268</v>
      </c>
      <c r="F631" t="inlineStr">
        <is>
          <t>GÄVLEBORGS LÄN</t>
        </is>
      </c>
      <c r="G631" t="inlineStr">
        <is>
          <t>NORDANSTIG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17487-2026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46120</v>
      </c>
      <c r="E632" s="1" t="n">
        <v>46268</v>
      </c>
      <c r="F632" t="inlineStr">
        <is>
          <t>GÄVLEBORGS LÄN</t>
        </is>
      </c>
      <c r="G632" t="inlineStr">
        <is>
          <t>NORDANSTIG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17489-2026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46268</v>
      </c>
      <c r="F633" t="inlineStr">
        <is>
          <t>GÄVLEBORGS LÄN</t>
        </is>
      </c>
      <c r="G633" t="inlineStr">
        <is>
          <t>NORDANSTIG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17498-2026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46120</v>
      </c>
      <c r="E634" s="1" t="n">
        <v>46268</v>
      </c>
      <c r="F634" t="inlineStr">
        <is>
          <t>GÄVLEBORGS LÄN</t>
        </is>
      </c>
      <c r="G634" t="inlineStr">
        <is>
          <t>NORDANSTIG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46268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46268</v>
      </c>
      <c r="F636" t="inlineStr">
        <is>
          <t>GÄVLEBORGS LÄN</t>
        </is>
      </c>
      <c r="G636" t="inlineStr">
        <is>
          <t>NORDANSTIG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45303</v>
      </c>
      <c r="E637" s="1" t="n">
        <v>46268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44783</v>
      </c>
      <c r="E638" s="1" t="n">
        <v>46268</v>
      </c>
      <c r="F638" t="inlineStr">
        <is>
          <t>GÄVLEBORGS LÄN</t>
        </is>
      </c>
      <c r="G638" t="inlineStr">
        <is>
          <t>NORDANSTIG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17872-2026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46122</v>
      </c>
      <c r="E639" s="1" t="n">
        <v>46268</v>
      </c>
      <c r="F639" t="inlineStr">
        <is>
          <t>GÄVLEBORGS LÄN</t>
        </is>
      </c>
      <c r="G639" t="inlineStr">
        <is>
          <t>NORDANSTIG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18385-2026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46126</v>
      </c>
      <c r="E640" s="1" t="n">
        <v>46268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18282-2026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46126</v>
      </c>
      <c r="E641" s="1" t="n">
        <v>46268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43.6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43465-2024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45568</v>
      </c>
      <c r="E642" s="1" t="n">
        <v>46268</v>
      </c>
      <c r="F642" t="inlineStr">
        <is>
          <t>GÄVLEBORGS LÄN</t>
        </is>
      </c>
      <c r="G642" t="inlineStr">
        <is>
          <t>NORDANSTIG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46268</v>
      </c>
      <c r="F643" t="inlineStr">
        <is>
          <t>GÄVLEBORGS LÄN</t>
        </is>
      </c>
      <c r="G643" t="inlineStr">
        <is>
          <t>NORDANSTIG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18153-2026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46125</v>
      </c>
      <c r="E644" s="1" t="n">
        <v>46268</v>
      </c>
      <c r="F644" t="inlineStr">
        <is>
          <t>GÄVLEBORGS LÄN</t>
        </is>
      </c>
      <c r="G644" t="inlineStr">
        <is>
          <t>NORDANSTIG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46268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25200-2022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44729</v>
      </c>
      <c r="E646" s="1" t="n">
        <v>46268</v>
      </c>
      <c r="F646" t="inlineStr">
        <is>
          <t>GÄVLEBORGS LÄN</t>
        </is>
      </c>
      <c r="G646" t="inlineStr">
        <is>
          <t>NORDANSTIG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46268</v>
      </c>
      <c r="F647" t="inlineStr">
        <is>
          <t>GÄVLEBORGS LÄN</t>
        </is>
      </c>
      <c r="G647" t="inlineStr">
        <is>
          <t>NORDANSTIG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38298-2024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45545</v>
      </c>
      <c r="E648" s="1" t="n">
        <v>46268</v>
      </c>
      <c r="F648" t="inlineStr">
        <is>
          <t>GÄVLEBORGS LÄN</t>
        </is>
      </c>
      <c r="G648" t="inlineStr">
        <is>
          <t>NORDANSTIG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36464-2024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45537</v>
      </c>
      <c r="E649" s="1" t="n">
        <v>46268</v>
      </c>
      <c r="F649" t="inlineStr">
        <is>
          <t>GÄVLEBORGS LÄN</t>
        </is>
      </c>
      <c r="G649" t="inlineStr">
        <is>
          <t>NORDANSTIG</t>
        </is>
      </c>
      <c r="H649" t="inlineStr">
        <is>
          <t>SCA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63145-2023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45273</v>
      </c>
      <c r="E650" s="1" t="n">
        <v>46268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45748</v>
      </c>
      <c r="E651" s="1" t="n">
        <v>46268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44616</v>
      </c>
      <c r="E652" s="1" t="n">
        <v>46268</v>
      </c>
      <c r="F652" t="inlineStr">
        <is>
          <t>GÄVLEBORGS LÄN</t>
        </is>
      </c>
      <c r="G652" t="inlineStr">
        <is>
          <t>NORDANSTIG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15494-2023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45020</v>
      </c>
      <c r="E653" s="1" t="n">
        <v>46268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15496-2023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45020</v>
      </c>
      <c r="E654" s="1" t="n">
        <v>46268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46299-2023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45197</v>
      </c>
      <c r="E655" s="1" t="n">
        <v>46268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44987</v>
      </c>
      <c r="E656" s="1" t="n">
        <v>46268</v>
      </c>
      <c r="F656" t="inlineStr">
        <is>
          <t>GÄVLEBORGS LÄN</t>
        </is>
      </c>
      <c r="G656" t="inlineStr">
        <is>
          <t>NORDANSTIG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19367-2026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46133</v>
      </c>
      <c r="E657" s="1" t="n">
        <v>46268</v>
      </c>
      <c r="F657" t="inlineStr">
        <is>
          <t>GÄVLEBORGS LÄN</t>
        </is>
      </c>
      <c r="G657" t="inlineStr">
        <is>
          <t>NORDANSTIG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18531-2026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46127</v>
      </c>
      <c r="E658" s="1" t="n">
        <v>46268</v>
      </c>
      <c r="F658" t="inlineStr">
        <is>
          <t>GÄVLEBORGS LÄN</t>
        </is>
      </c>
      <c r="G658" t="inlineStr">
        <is>
          <t>NORDANSTIG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19231-2024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45428</v>
      </c>
      <c r="E659" s="1" t="n">
        <v>46268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51842-2024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45607</v>
      </c>
      <c r="E660" s="1" t="n">
        <v>46268</v>
      </c>
      <c r="F660" t="inlineStr">
        <is>
          <t>GÄVLEBORGS LÄN</t>
        </is>
      </c>
      <c r="G660" t="inlineStr">
        <is>
          <t>NORDANSTIG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46268</v>
      </c>
      <c r="F661" t="inlineStr">
        <is>
          <t>GÄVLEBORGS LÄN</t>
        </is>
      </c>
      <c r="G661" t="inlineStr">
        <is>
          <t>NORDANSTIG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19896-2025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45771</v>
      </c>
      <c r="E662" s="1" t="n">
        <v>46268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57866-2024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46268</v>
      </c>
      <c r="F663" t="inlineStr">
        <is>
          <t>GÄVLEBORGS LÄN</t>
        </is>
      </c>
      <c r="G663" t="inlineStr">
        <is>
          <t>NORDANSTIG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45618</v>
      </c>
      <c r="E664" s="1" t="n">
        <v>46268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19682-2026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46134</v>
      </c>
      <c r="E665" s="1" t="n">
        <v>46268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38451-2024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45546</v>
      </c>
      <c r="E666" s="1" t="n">
        <v>46268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19679-2026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46134</v>
      </c>
      <c r="E667" s="1" t="n">
        <v>46268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64835-2021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44512</v>
      </c>
      <c r="E668" s="1" t="n">
        <v>46268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46268</v>
      </c>
      <c r="F669" t="inlineStr">
        <is>
          <t>GÄVLEBORGS LÄN</t>
        </is>
      </c>
      <c r="G669" t="inlineStr">
        <is>
          <t>NORDANSTIG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56733-2024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45628</v>
      </c>
      <c r="E670" s="1" t="n">
        <v>46268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37972-2022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44811</v>
      </c>
      <c r="E671" s="1" t="n">
        <v>46268</v>
      </c>
      <c r="F671" t="inlineStr">
        <is>
          <t>GÄVLEBORGS LÄN</t>
        </is>
      </c>
      <c r="G671" t="inlineStr">
        <is>
          <t>NORDANSTIG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51222-2024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45603</v>
      </c>
      <c r="E672" s="1" t="n">
        <v>46268</v>
      </c>
      <c r="F672" t="inlineStr">
        <is>
          <t>GÄVLEBORGS LÄN</t>
        </is>
      </c>
      <c r="G672" t="inlineStr">
        <is>
          <t>NORDANSTIG</t>
        </is>
      </c>
      <c r="I672" t="n">
        <v>15.1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51230-2024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45603</v>
      </c>
      <c r="E673" s="1" t="n">
        <v>46268</v>
      </c>
      <c r="F673" t="inlineStr">
        <is>
          <t>GÄVLEBORGS LÄN</t>
        </is>
      </c>
      <c r="G673" t="inlineStr">
        <is>
          <t>NORDANSTIG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33974-2022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44790</v>
      </c>
      <c r="E674" s="1" t="n">
        <v>46268</v>
      </c>
      <c r="F674" t="inlineStr">
        <is>
          <t>GÄVLEBORGS LÄN</t>
        </is>
      </c>
      <c r="G674" t="inlineStr">
        <is>
          <t>NORDANSTIG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46268</v>
      </c>
      <c r="F675" t="inlineStr">
        <is>
          <t>GÄVLEBORGS LÄN</t>
        </is>
      </c>
      <c r="G675" t="inlineStr">
        <is>
          <t>NORDANSTIG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1057-2026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46268</v>
      </c>
      <c r="F676" t="inlineStr">
        <is>
          <t>GÄVLEBORGS LÄN</t>
        </is>
      </c>
      <c r="G676" t="inlineStr">
        <is>
          <t>NORDANSTIG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45549-2024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45579</v>
      </c>
      <c r="E677" s="1" t="n">
        <v>46268</v>
      </c>
      <c r="F677" t="inlineStr">
        <is>
          <t>GÄVLEBORGS LÄN</t>
        </is>
      </c>
      <c r="G677" t="inlineStr">
        <is>
          <t>NORDANSTIG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9976-2026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46073</v>
      </c>
      <c r="E678" s="1" t="n">
        <v>46268</v>
      </c>
      <c r="F678" t="inlineStr">
        <is>
          <t>GÄVLEBORGS LÄN</t>
        </is>
      </c>
      <c r="G678" t="inlineStr">
        <is>
          <t>NORDANSTIG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64034-2025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46021</v>
      </c>
      <c r="E679" s="1" t="n">
        <v>46268</v>
      </c>
      <c r="F679" t="inlineStr">
        <is>
          <t>GÄVLEBORGS LÄN</t>
        </is>
      </c>
      <c r="G679" t="inlineStr">
        <is>
          <t>NORDANSTIG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15088-2024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45399</v>
      </c>
      <c r="E680" s="1" t="n">
        <v>46268</v>
      </c>
      <c r="F680" t="inlineStr">
        <is>
          <t>GÄVLEBORGS LÄN</t>
        </is>
      </c>
      <c r="G680" t="inlineStr">
        <is>
          <t>NORDANSTIG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45635</v>
      </c>
      <c r="E681" s="1" t="n">
        <v>46268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34502-2024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45525</v>
      </c>
      <c r="E682" s="1" t="n">
        <v>46268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45537</v>
      </c>
      <c r="E683" s="1" t="n">
        <v>46268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44075-2025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46268</v>
      </c>
      <c r="F684" t="inlineStr">
        <is>
          <t>GÄVLEBORGS LÄN</t>
        </is>
      </c>
      <c r="G684" t="inlineStr">
        <is>
          <t>NORDANSTIG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46268</v>
      </c>
      <c r="F685" t="inlineStr">
        <is>
          <t>GÄVLEBORGS LÄN</t>
        </is>
      </c>
      <c r="G685" t="inlineStr">
        <is>
          <t>NORDANSTIG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63786-2025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46019</v>
      </c>
      <c r="E686" s="1" t="n">
        <v>46268</v>
      </c>
      <c r="F686" t="inlineStr">
        <is>
          <t>GÄVLEBORGS LÄN</t>
        </is>
      </c>
      <c r="G686" t="inlineStr">
        <is>
          <t>NORDANSTIG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55523-2024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45622</v>
      </c>
      <c r="E687" s="1" t="n">
        <v>46268</v>
      </c>
      <c r="F687" t="inlineStr">
        <is>
          <t>GÄVLEBORGS LÄN</t>
        </is>
      </c>
      <c r="G687" t="inlineStr">
        <is>
          <t>NORDANSTIG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46268</v>
      </c>
      <c r="F688" t="inlineStr">
        <is>
          <t>GÄVLEBORGS LÄN</t>
        </is>
      </c>
      <c r="G688" t="inlineStr">
        <is>
          <t>NORDANSTIG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1564-2025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45667</v>
      </c>
      <c r="E689" s="1" t="n">
        <v>46268</v>
      </c>
      <c r="F689" t="inlineStr">
        <is>
          <t>GÄVLEBORGS LÄN</t>
        </is>
      </c>
      <c r="G689" t="inlineStr">
        <is>
          <t>NORDANSTIG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1579-2025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45670</v>
      </c>
      <c r="E690" s="1" t="n">
        <v>46268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46033</v>
      </c>
      <c r="E691" s="1" t="n">
        <v>46268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65039-2023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45287</v>
      </c>
      <c r="E692" s="1" t="n">
        <v>46268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23770-2024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45455</v>
      </c>
      <c r="E693" s="1" t="n">
        <v>46268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29401-2025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45824</v>
      </c>
      <c r="E694" s="1" t="n">
        <v>46268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45610</v>
      </c>
      <c r="E695" s="1" t="n">
        <v>46268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5892-2022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44596</v>
      </c>
      <c r="E696" s="1" t="n">
        <v>46268</v>
      </c>
      <c r="F696" t="inlineStr">
        <is>
          <t>GÄVLEBORGS LÄN</t>
        </is>
      </c>
      <c r="G696" t="inlineStr">
        <is>
          <t>NORDANSTIG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31899-2022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44777</v>
      </c>
      <c r="E697" s="1" t="n">
        <v>46268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42796-2024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46268</v>
      </c>
      <c r="F698" t="inlineStr">
        <is>
          <t>GÄVLEBORGS LÄN</t>
        </is>
      </c>
      <c r="G698" t="inlineStr">
        <is>
          <t>NORDANSTIG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45758</v>
      </c>
      <c r="E699" s="1" t="n">
        <v>46268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54896-2024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45618</v>
      </c>
      <c r="E700" s="1" t="n">
        <v>46268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45686</v>
      </c>
      <c r="E701" s="1" t="n">
        <v>46268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20288-2026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46139</v>
      </c>
      <c r="E702" s="1" t="n">
        <v>46268</v>
      </c>
      <c r="F702" t="inlineStr">
        <is>
          <t>GÄVLEBORGS LÄN</t>
        </is>
      </c>
      <c r="G702" t="inlineStr">
        <is>
          <t>NORDANSTIG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46048</v>
      </c>
      <c r="E703" s="1" t="n">
        <v>46268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20019-2026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46136</v>
      </c>
      <c r="E704" s="1" t="n">
        <v>46268</v>
      </c>
      <c r="F704" t="inlineStr">
        <is>
          <t>GÄVLEBORGS LÄN</t>
        </is>
      </c>
      <c r="G704" t="inlineStr">
        <is>
          <t>NORDANSTIG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73748-2021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44552</v>
      </c>
      <c r="E705" s="1" t="n">
        <v>46268</v>
      </c>
      <c r="F705" t="inlineStr">
        <is>
          <t>GÄVLEBORGS LÄN</t>
        </is>
      </c>
      <c r="G705" t="inlineStr">
        <is>
          <t>NORDANSTIG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51387-2024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45604</v>
      </c>
      <c r="E706" s="1" t="n">
        <v>46268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46268</v>
      </c>
      <c r="F707" t="inlineStr">
        <is>
          <t>GÄVLEBORGS LÄN</t>
        </is>
      </c>
      <c r="G707" t="inlineStr">
        <is>
          <t>NORDANSTIG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19970-2026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46136</v>
      </c>
      <c r="E708" s="1" t="n">
        <v>46268</v>
      </c>
      <c r="F708" t="inlineStr">
        <is>
          <t>GÄVLEBORGS LÄN</t>
        </is>
      </c>
      <c r="G708" t="inlineStr">
        <is>
          <t>NORDANSTIG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19898-2026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46268</v>
      </c>
      <c r="F709" t="inlineStr">
        <is>
          <t>GÄVLEBORGS LÄN</t>
        </is>
      </c>
      <c r="G709" t="inlineStr">
        <is>
          <t>NORDANSTIG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35115-2022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44797</v>
      </c>
      <c r="E710" s="1" t="n">
        <v>46268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35765-2024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45532</v>
      </c>
      <c r="E711" s="1" t="n">
        <v>46268</v>
      </c>
      <c r="F711" t="inlineStr">
        <is>
          <t>GÄVLEBORGS LÄN</t>
        </is>
      </c>
      <c r="G711" t="inlineStr">
        <is>
          <t>NORDANSTIG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46268</v>
      </c>
      <c r="F712" t="inlineStr">
        <is>
          <t>GÄVLEBORGS LÄN</t>
        </is>
      </c>
      <c r="G712" t="inlineStr">
        <is>
          <t>NORDANSTIG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38159-2022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44812</v>
      </c>
      <c r="E713" s="1" t="n">
        <v>46268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50657-2024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45601</v>
      </c>
      <c r="E714" s="1" t="n">
        <v>46268</v>
      </c>
      <c r="F714" t="inlineStr">
        <is>
          <t>GÄVLEBORGS LÄN</t>
        </is>
      </c>
      <c r="G714" t="inlineStr">
        <is>
          <t>NORDANSTIG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45499</v>
      </c>
      <c r="E715" s="1" t="n">
        <v>46268</v>
      </c>
      <c r="F715" t="inlineStr">
        <is>
          <t>GÄVLEBORGS LÄN</t>
        </is>
      </c>
      <c r="G715" t="inlineStr">
        <is>
          <t>NORDANSTIG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45140</v>
      </c>
      <c r="E716" s="1" t="n">
        <v>46268</v>
      </c>
      <c r="F716" t="inlineStr">
        <is>
          <t>GÄVLEBORGS LÄN</t>
        </is>
      </c>
      <c r="G716" t="inlineStr">
        <is>
          <t>NORDANSTIG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46268</v>
      </c>
      <c r="F717" t="inlineStr">
        <is>
          <t>GÄVLEBORGS LÄN</t>
        </is>
      </c>
      <c r="G717" t="inlineStr">
        <is>
          <t>NORDANSTIG</t>
        </is>
      </c>
      <c r="I717" t="n">
        <v>6.6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46026</v>
      </c>
      <c r="E718" s="1" t="n">
        <v>46268</v>
      </c>
      <c r="F718" t="inlineStr">
        <is>
          <t>GÄVLEBORGS LÄN</t>
        </is>
      </c>
      <c r="G718" t="inlineStr">
        <is>
          <t>NORDANSTIG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51681-2025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45951</v>
      </c>
      <c r="E719" s="1" t="n">
        <v>46268</v>
      </c>
      <c r="F719" t="inlineStr">
        <is>
          <t>GÄVLEBORGS LÄN</t>
        </is>
      </c>
      <c r="G719" t="inlineStr">
        <is>
          <t>NORDANSTIG</t>
        </is>
      </c>
      <c r="I719" t="n">
        <v>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45884</v>
      </c>
      <c r="E720" s="1" t="n">
        <v>46268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46055</v>
      </c>
      <c r="E721" s="1" t="n">
        <v>46268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64033-2025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46021</v>
      </c>
      <c r="E722" s="1" t="n">
        <v>46268</v>
      </c>
      <c r="F722" t="inlineStr">
        <is>
          <t>GÄVLEBORGS LÄN</t>
        </is>
      </c>
      <c r="G722" t="inlineStr">
        <is>
          <t>NORDANSTIG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20482-2026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46268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8.6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46268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33377-2022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44788</v>
      </c>
      <c r="E725" s="1" t="n">
        <v>46268</v>
      </c>
      <c r="F725" t="inlineStr">
        <is>
          <t>GÄVLEBORGS LÄN</t>
        </is>
      </c>
      <c r="G725" t="inlineStr">
        <is>
          <t>NORDANSTIG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11582-2026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46268</v>
      </c>
      <c r="F726" t="inlineStr">
        <is>
          <t>GÄVLEBORGS LÄN</t>
        </is>
      </c>
      <c r="G726" t="inlineStr">
        <is>
          <t>NORDANSTIG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46054</v>
      </c>
      <c r="E727" s="1" t="n">
        <v>46268</v>
      </c>
      <c r="F727" t="inlineStr">
        <is>
          <t>GÄVLEBORGS LÄN</t>
        </is>
      </c>
      <c r="G727" t="inlineStr">
        <is>
          <t>NORDANSTIG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46070</v>
      </c>
      <c r="E728" s="1" t="n">
        <v>46268</v>
      </c>
      <c r="F728" t="inlineStr">
        <is>
          <t>GÄVLEBORGS LÄN</t>
        </is>
      </c>
      <c r="G728" t="inlineStr">
        <is>
          <t>NORDANSTIG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9031-2026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46268</v>
      </c>
      <c r="F729" t="inlineStr">
        <is>
          <t>GÄVLEBORGS LÄN</t>
        </is>
      </c>
      <c r="G729" t="inlineStr">
        <is>
          <t>NORDANSTIG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46268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37640-2025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45880</v>
      </c>
      <c r="E731" s="1" t="n">
        <v>46268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20532-2026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46140</v>
      </c>
      <c r="E732" s="1" t="n">
        <v>46268</v>
      </c>
      <c r="F732" t="inlineStr">
        <is>
          <t>GÄVLEBORGS LÄN</t>
        </is>
      </c>
      <c r="G732" t="inlineStr">
        <is>
          <t>NORDANSTIG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13826-2026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46098</v>
      </c>
      <c r="E733" s="1" t="n">
        <v>46268</v>
      </c>
      <c r="F733" t="inlineStr">
        <is>
          <t>GÄVLEBORGS LÄN</t>
        </is>
      </c>
      <c r="G733" t="inlineStr">
        <is>
          <t>NORDANSTIG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46038</v>
      </c>
      <c r="E734" s="1" t="n">
        <v>46268</v>
      </c>
      <c r="F734" t="inlineStr">
        <is>
          <t>GÄVLEBORGS LÄN</t>
        </is>
      </c>
      <c r="G734" t="inlineStr">
        <is>
          <t>NORDANSTIG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22784-2025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45789</v>
      </c>
      <c r="E735" s="1" t="n">
        <v>46268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58165-2023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45250</v>
      </c>
      <c r="E736" s="1" t="n">
        <v>46268</v>
      </c>
      <c r="F736" t="inlineStr">
        <is>
          <t>GÄVLEBORGS LÄN</t>
        </is>
      </c>
      <c r="G736" t="inlineStr">
        <is>
          <t>NORDANSTIG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53988-2023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45231</v>
      </c>
      <c r="E737" s="1" t="n">
        <v>46268</v>
      </c>
      <c r="F737" t="inlineStr">
        <is>
          <t>GÄVLEBORGS LÄN</t>
        </is>
      </c>
      <c r="G737" t="inlineStr">
        <is>
          <t>NORDANSTIG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21118-2026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46146</v>
      </c>
      <c r="E738" s="1" t="n">
        <v>46268</v>
      </c>
      <c r="F738" t="inlineStr">
        <is>
          <t>GÄVLEBORGS LÄN</t>
        </is>
      </c>
      <c r="G738" t="inlineStr">
        <is>
          <t>NORDANSTIG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46268</v>
      </c>
      <c r="F739" t="inlineStr">
        <is>
          <t>GÄVLEBORGS LÄN</t>
        </is>
      </c>
      <c r="G739" t="inlineStr">
        <is>
          <t>NORDANSTIG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46268</v>
      </c>
      <c r="F740" t="inlineStr">
        <is>
          <t>GÄVLEBORGS LÄN</t>
        </is>
      </c>
      <c r="G740" t="inlineStr">
        <is>
          <t>NORDANSTIG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46035</v>
      </c>
      <c r="E741" s="1" t="n">
        <v>46268</v>
      </c>
      <c r="F741" t="inlineStr">
        <is>
          <t>GÄVLEBORGS LÄN</t>
        </is>
      </c>
      <c r="G741" t="inlineStr">
        <is>
          <t>NORDANSTIG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45671</v>
      </c>
      <c r="E742" s="1" t="n">
        <v>46268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46268</v>
      </c>
      <c r="F743" t="inlineStr">
        <is>
          <t>GÄVLEBORGS LÄN</t>
        </is>
      </c>
      <c r="G743" t="inlineStr">
        <is>
          <t>NORDANSTIG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21055-2026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46268</v>
      </c>
      <c r="F744" t="inlineStr">
        <is>
          <t>GÄVLEBORGS LÄN</t>
        </is>
      </c>
      <c r="G744" t="inlineStr">
        <is>
          <t>NORDANSTIG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46038</v>
      </c>
      <c r="E745" s="1" t="n">
        <v>46268</v>
      </c>
      <c r="F745" t="inlineStr">
        <is>
          <t>GÄVLEBORGS LÄN</t>
        </is>
      </c>
      <c r="G745" t="inlineStr">
        <is>
          <t>NORDANSTIG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46055</v>
      </c>
      <c r="E746" s="1" t="n">
        <v>46268</v>
      </c>
      <c r="F746" t="inlineStr">
        <is>
          <t>GÄVLEBORGS LÄN</t>
        </is>
      </c>
      <c r="G746" t="inlineStr">
        <is>
          <t>NORDANSTIG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46268</v>
      </c>
      <c r="F747" t="inlineStr">
        <is>
          <t>GÄVLEBORGS LÄN</t>
        </is>
      </c>
      <c r="G747" t="inlineStr">
        <is>
          <t>NORDANSTIG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25946-2023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45090</v>
      </c>
      <c r="E748" s="1" t="n">
        <v>46268</v>
      </c>
      <c r="F748" t="inlineStr">
        <is>
          <t>GÄVLEBORGS LÄN</t>
        </is>
      </c>
      <c r="G748" t="inlineStr">
        <is>
          <t>NORDANSTIG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35070-2022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44797</v>
      </c>
      <c r="E749" s="1" t="n">
        <v>46268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22868-2023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45072</v>
      </c>
      <c r="E750" s="1" t="n">
        <v>46268</v>
      </c>
      <c r="F750" t="inlineStr">
        <is>
          <t>GÄVLEBORGS LÄN</t>
        </is>
      </c>
      <c r="G750" t="inlineStr">
        <is>
          <t>NORDANSTIG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46149</v>
      </c>
      <c r="E751" s="1" t="n">
        <v>46268</v>
      </c>
      <c r="F751" t="inlineStr">
        <is>
          <t>GÄVLEBORGS LÄN</t>
        </is>
      </c>
      <c r="G751" t="inlineStr">
        <is>
          <t>NORDANSTIG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21661-2026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46268</v>
      </c>
      <c r="F752" t="inlineStr">
        <is>
          <t>GÄVLEBORGS LÄN</t>
        </is>
      </c>
      <c r="G752" t="inlineStr">
        <is>
          <t>NORDANSTIG</t>
        </is>
      </c>
      <c r="I752" t="n">
        <v>10.7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10680-2026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46078</v>
      </c>
      <c r="E753" s="1" t="n">
        <v>46268</v>
      </c>
      <c r="F753" t="inlineStr">
        <is>
          <t>GÄVLEBORGS LÄN</t>
        </is>
      </c>
      <c r="G753" t="inlineStr">
        <is>
          <t>NORDANSTIG</t>
        </is>
      </c>
      <c r="I753" t="n">
        <v>10.9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18691-2026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46268</v>
      </c>
      <c r="F754" t="inlineStr">
        <is>
          <t>GÄVLEBORGS LÄN</t>
        </is>
      </c>
      <c r="G754" t="inlineStr">
        <is>
          <t>NORDANSTIG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51560-2023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45222</v>
      </c>
      <c r="E755" s="1" t="n">
        <v>46268</v>
      </c>
      <c r="F755" t="inlineStr">
        <is>
          <t>GÄVLEBORGS LÄN</t>
        </is>
      </c>
      <c r="G755" t="inlineStr">
        <is>
          <t>NORDANSTIG</t>
        </is>
      </c>
      <c r="I755" t="n">
        <v>26.9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22500-2026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46268</v>
      </c>
      <c r="F756" t="inlineStr">
        <is>
          <t>GÄVLEBORGS LÄN</t>
        </is>
      </c>
      <c r="G756" t="inlineStr">
        <is>
          <t>NORDANSTIG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17283-2026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46119</v>
      </c>
      <c r="E757" s="1" t="n">
        <v>46268</v>
      </c>
      <c r="F757" t="inlineStr">
        <is>
          <t>GÄVLEBORGS LÄN</t>
        </is>
      </c>
      <c r="G757" t="inlineStr">
        <is>
          <t>NORDANSTIG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46268</v>
      </c>
      <c r="F758" t="inlineStr">
        <is>
          <t>GÄVLEBORGS LÄN</t>
        </is>
      </c>
      <c r="G758" t="inlineStr">
        <is>
          <t>NORDANSTIG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5660-2023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44960</v>
      </c>
      <c r="E759" s="1" t="n">
        <v>46268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46268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40738-2023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45170</v>
      </c>
      <c r="E761" s="1" t="n">
        <v>46268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9.5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46268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46026</v>
      </c>
      <c r="E763" s="1" t="n">
        <v>46268</v>
      </c>
      <c r="F763" t="inlineStr">
        <is>
          <t>GÄVLEBORGS LÄN</t>
        </is>
      </c>
      <c r="G763" t="inlineStr">
        <is>
          <t>NORDANSTIG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32652-2023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46268</v>
      </c>
      <c r="F764" t="inlineStr">
        <is>
          <t>GÄVLEBORGS LÄN</t>
        </is>
      </c>
      <c r="G764" t="inlineStr">
        <is>
          <t>NORDANSTIG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46268</v>
      </c>
      <c r="F765" t="inlineStr">
        <is>
          <t>GÄVLEBORGS LÄN</t>
        </is>
      </c>
      <c r="G765" t="inlineStr">
        <is>
          <t>NORDANSTIG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46035</v>
      </c>
      <c r="E766" s="1" t="n">
        <v>46268</v>
      </c>
      <c r="F766" t="inlineStr">
        <is>
          <t>GÄVLEBORGS LÄN</t>
        </is>
      </c>
      <c r="G766" t="inlineStr">
        <is>
          <t>NORDANSTIG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5981-2026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46052</v>
      </c>
      <c r="E767" s="1" t="n">
        <v>46268</v>
      </c>
      <c r="F767" t="inlineStr">
        <is>
          <t>GÄVLEBORGS LÄN</t>
        </is>
      </c>
      <c r="G767" t="inlineStr">
        <is>
          <t>NORDANSTIG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46157</v>
      </c>
      <c r="E768" s="1" t="n">
        <v>46268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20747-2023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45058</v>
      </c>
      <c r="E769" s="1" t="n">
        <v>46268</v>
      </c>
      <c r="F769" t="inlineStr">
        <is>
          <t>GÄVLEBORGS LÄN</t>
        </is>
      </c>
      <c r="G769" t="inlineStr">
        <is>
          <t>NORDANSTIG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45541</v>
      </c>
      <c r="E770" s="1" t="n">
        <v>46268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23039-2026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46161</v>
      </c>
      <c r="E771" s="1" t="n">
        <v>46268</v>
      </c>
      <c r="F771" t="inlineStr">
        <is>
          <t>GÄVLEBORGS LÄN</t>
        </is>
      </c>
      <c r="G771" t="inlineStr">
        <is>
          <t>NORDANSTIG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23002-2026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46160</v>
      </c>
      <c r="E772" s="1" t="n">
        <v>46268</v>
      </c>
      <c r="F772" t="inlineStr">
        <is>
          <t>GÄVLEBORGS LÄN</t>
        </is>
      </c>
      <c r="G772" t="inlineStr">
        <is>
          <t>NORDANSTIG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46268</v>
      </c>
      <c r="F773" t="inlineStr">
        <is>
          <t>GÄVLEBORGS LÄN</t>
        </is>
      </c>
      <c r="G773" t="inlineStr">
        <is>
          <t>NORDANSTIG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23506-2026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46163</v>
      </c>
      <c r="E774" s="1" t="n">
        <v>46268</v>
      </c>
      <c r="F774" t="inlineStr">
        <is>
          <t>GÄVLEBORGS LÄN</t>
        </is>
      </c>
      <c r="G774" t="inlineStr">
        <is>
          <t>NORDANSTIG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12858-2025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45733</v>
      </c>
      <c r="E775" s="1" t="n">
        <v>46268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17505-2025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45757</v>
      </c>
      <c r="E776" s="1" t="n">
        <v>46268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46051</v>
      </c>
      <c r="E777" s="1" t="n">
        <v>46268</v>
      </c>
      <c r="F777" t="inlineStr">
        <is>
          <t>GÄVLEBORGS LÄN</t>
        </is>
      </c>
      <c r="G777" t="inlineStr">
        <is>
          <t>NORDANSTIG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11599-2024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45373</v>
      </c>
      <c r="E778" s="1" t="n">
        <v>46268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19906-2026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46136</v>
      </c>
      <c r="E779" s="1" t="n">
        <v>46268</v>
      </c>
      <c r="F779" t="inlineStr">
        <is>
          <t>GÄVLEBORGS LÄN</t>
        </is>
      </c>
      <c r="G779" t="inlineStr">
        <is>
          <t>NORDANSTIG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45636</v>
      </c>
      <c r="E780" s="1" t="n">
        <v>46268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16434-2026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46268</v>
      </c>
      <c r="F781" t="inlineStr">
        <is>
          <t>GÄVLEBORGS LÄN</t>
        </is>
      </c>
      <c r="G781" t="inlineStr">
        <is>
          <t>NORDANSTIG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17052-2023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45034</v>
      </c>
      <c r="E782" s="1" t="n">
        <v>46268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18988-2022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44690</v>
      </c>
      <c r="E783" s="1" t="n">
        <v>46268</v>
      </c>
      <c r="F783" t="inlineStr">
        <is>
          <t>GÄVLEBORGS LÄN</t>
        </is>
      </c>
      <c r="G783" t="inlineStr">
        <is>
          <t>NORDANSTIG</t>
        </is>
      </c>
      <c r="I783" t="n">
        <v>9.300000000000001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46164</v>
      </c>
      <c r="E784" s="1" t="n">
        <v>46268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46268</v>
      </c>
      <c r="F785" t="inlineStr">
        <is>
          <t>GÄVLEBORGS LÄN</t>
        </is>
      </c>
      <c r="G785" t="inlineStr">
        <is>
          <t>NORDANSTIG</t>
        </is>
      </c>
      <c r="I785" t="n">
        <v>18.1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23654-2026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46164</v>
      </c>
      <c r="E786" s="1" t="n">
        <v>46268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46268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46268</v>
      </c>
      <c r="F788" t="inlineStr">
        <is>
          <t>GÄVLEBORGS LÄN</t>
        </is>
      </c>
      <c r="G788" t="inlineStr">
        <is>
          <t>NORDANSTIG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45550-2024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45579</v>
      </c>
      <c r="E789" s="1" t="n">
        <v>46268</v>
      </c>
      <c r="F789" t="inlineStr">
        <is>
          <t>GÄVLEBORGS LÄN</t>
        </is>
      </c>
      <c r="G789" t="inlineStr">
        <is>
          <t>NORDANSTIG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34557-2023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45140</v>
      </c>
      <c r="E790" s="1" t="n">
        <v>46268</v>
      </c>
      <c r="F790" t="inlineStr">
        <is>
          <t>GÄVLEBORGS LÄN</t>
        </is>
      </c>
      <c r="G790" t="inlineStr">
        <is>
          <t>NORDANSTIG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46268</v>
      </c>
      <c r="F791" t="inlineStr">
        <is>
          <t>GÄVLEBORGS LÄN</t>
        </is>
      </c>
      <c r="G791" t="inlineStr">
        <is>
          <t>NORDANSTIG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24178-2026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46168</v>
      </c>
      <c r="E792" s="1" t="n">
        <v>46268</v>
      </c>
      <c r="F792" t="inlineStr">
        <is>
          <t>GÄVLEBORGS LÄN</t>
        </is>
      </c>
      <c r="G792" t="inlineStr">
        <is>
          <t>NORDANSTIG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47876-2023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45204</v>
      </c>
      <c r="E793" s="1" t="n">
        <v>46268</v>
      </c>
      <c r="F793" t="inlineStr">
        <is>
          <t>GÄVLEBORGS LÄN</t>
        </is>
      </c>
      <c r="G793" t="inlineStr">
        <is>
          <t>NORDANSTIG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57863-2024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45631</v>
      </c>
      <c r="E794" s="1" t="n">
        <v>46268</v>
      </c>
      <c r="F794" t="inlineStr">
        <is>
          <t>GÄVLEBORGS LÄN</t>
        </is>
      </c>
      <c r="G794" t="inlineStr">
        <is>
          <t>NORDANSTIG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46268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24500-2026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46268</v>
      </c>
      <c r="F796" t="inlineStr">
        <is>
          <t>GÄVLEBORGS LÄN</t>
        </is>
      </c>
      <c r="G796" t="inlineStr">
        <is>
          <t>NORDANSTIG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675-2023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44930</v>
      </c>
      <c r="E797" s="1" t="n">
        <v>46268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44938</v>
      </c>
      <c r="E798" s="1" t="n">
        <v>46268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3492-2026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46042</v>
      </c>
      <c r="E799" s="1" t="n">
        <v>46268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46035</v>
      </c>
      <c r="E800" s="1" t="n">
        <v>46268</v>
      </c>
      <c r="F800" t="inlineStr">
        <is>
          <t>GÄVLEBORGS LÄN</t>
        </is>
      </c>
      <c r="G800" t="inlineStr">
        <is>
          <t>NORDANSTIG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5479-2023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44960</v>
      </c>
      <c r="E801" s="1" t="n">
        <v>46268</v>
      </c>
      <c r="F801" t="inlineStr">
        <is>
          <t>GÄVLEBORGS LÄN</t>
        </is>
      </c>
      <c r="G801" t="inlineStr">
        <is>
          <t>NORDANSTIG</t>
        </is>
      </c>
      <c r="I801" t="n">
        <v>17.6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10137-2024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45364</v>
      </c>
      <c r="E802" s="1" t="n">
        <v>46268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37217-2024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45539</v>
      </c>
      <c r="E803" s="1" t="n">
        <v>46268</v>
      </c>
      <c r="F803" t="inlineStr">
        <is>
          <t>GÄVLEBORGS LÄN</t>
        </is>
      </c>
      <c r="G803" t="inlineStr">
        <is>
          <t>NORDANSTIG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46029</v>
      </c>
      <c r="E804" s="1" t="n">
        <v>46268</v>
      </c>
      <c r="F804" t="inlineStr">
        <is>
          <t>GÄVLEBORGS LÄN</t>
        </is>
      </c>
      <c r="G804" t="inlineStr">
        <is>
          <t>NORDANSTIG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46030</v>
      </c>
      <c r="E805" s="1" t="n">
        <v>46268</v>
      </c>
      <c r="F805" t="inlineStr">
        <is>
          <t>GÄVLEBORGS LÄN</t>
        </is>
      </c>
      <c r="G805" t="inlineStr">
        <is>
          <t>NORDANSTIG</t>
        </is>
      </c>
      <c r="I805" t="n">
        <v>11.5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24646-2026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46171</v>
      </c>
      <c r="E806" s="1" t="n">
        <v>46268</v>
      </c>
      <c r="F806" t="inlineStr">
        <is>
          <t>GÄVLEBORGS LÄN</t>
        </is>
      </c>
      <c r="G806" t="inlineStr">
        <is>
          <t>NORDANSTIG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9131-2024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45358</v>
      </c>
      <c r="E807" s="1" t="n">
        <v>46268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24612-2026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46171</v>
      </c>
      <c r="E808" s="1" t="n">
        <v>46268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46171</v>
      </c>
      <c r="E809" s="1" t="n">
        <v>46268</v>
      </c>
      <c r="F809" t="inlineStr">
        <is>
          <t>GÄVLEBORGS LÄN</t>
        </is>
      </c>
      <c r="G809" t="inlineStr">
        <is>
          <t>NORDANSTIG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46043</v>
      </c>
      <c r="E810" s="1" t="n">
        <v>46268</v>
      </c>
      <c r="F810" t="inlineStr">
        <is>
          <t>GÄVLEBORGS LÄN</t>
        </is>
      </c>
      <c r="G810" t="inlineStr">
        <is>
          <t>NORDANSTIG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44952</v>
      </c>
      <c r="E811" s="1" t="n">
        <v>46268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46176</v>
      </c>
      <c r="E812" s="1" t="n">
        <v>46268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46175</v>
      </c>
      <c r="E813" s="1" t="n">
        <v>46268</v>
      </c>
      <c r="F813" t="inlineStr">
        <is>
          <t>GÄVLEBORGS LÄN</t>
        </is>
      </c>
      <c r="G813" t="inlineStr">
        <is>
          <t>NORDANSTIG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46175</v>
      </c>
      <c r="E814" s="1" t="n">
        <v>46268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46136</v>
      </c>
      <c r="E815" s="1" t="n">
        <v>46268</v>
      </c>
      <c r="F815" t="inlineStr">
        <is>
          <t>GÄVLEBORGS LÄN</t>
        </is>
      </c>
      <c r="G815" t="inlineStr">
        <is>
          <t>NORDANSTIG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46376-2024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45582</v>
      </c>
      <c r="E816" s="1" t="n">
        <v>46268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46051</v>
      </c>
      <c r="E817" s="1" t="n">
        <v>46268</v>
      </c>
      <c r="F817" t="inlineStr">
        <is>
          <t>GÄVLEBORGS LÄN</t>
        </is>
      </c>
      <c r="G817" t="inlineStr">
        <is>
          <t>NORDANSTIG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46268</v>
      </c>
      <c r="F818" t="inlineStr">
        <is>
          <t>GÄVLEBORGS LÄN</t>
        </is>
      </c>
      <c r="G818" t="inlineStr">
        <is>
          <t>NORDANSTIG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46042</v>
      </c>
      <c r="E819" s="1" t="n">
        <v>46268</v>
      </c>
      <c r="F819" t="inlineStr">
        <is>
          <t>GÄVLEBORGS LÄN</t>
        </is>
      </c>
      <c r="G819" t="inlineStr">
        <is>
          <t>NORDANSTIG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10910-2026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46268</v>
      </c>
      <c r="F820" t="inlineStr">
        <is>
          <t>GÄVLEBORGS LÄN</t>
        </is>
      </c>
      <c r="G820" t="inlineStr">
        <is>
          <t>NORDANSTIG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22547-2022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44713</v>
      </c>
      <c r="E821" s="1" t="n">
        <v>46268</v>
      </c>
      <c r="F821" t="inlineStr">
        <is>
          <t>GÄVLEBORGS LÄN</t>
        </is>
      </c>
      <c r="G821" t="inlineStr">
        <is>
          <t>NORDANSTIG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30816-2022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44765</v>
      </c>
      <c r="E822" s="1" t="n">
        <v>46268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25586-2026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46177</v>
      </c>
      <c r="E823" s="1" t="n">
        <v>46268</v>
      </c>
      <c r="F823" t="inlineStr">
        <is>
          <t>GÄVLEBORGS LÄN</t>
        </is>
      </c>
      <c r="G823" t="inlineStr">
        <is>
          <t>NORDANSTIG</t>
        </is>
      </c>
      <c r="H823" t="inlineStr">
        <is>
          <t>SCA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25704-2026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46268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38342-2024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45545</v>
      </c>
      <c r="E825" s="1" t="n">
        <v>46268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25931-2026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46179</v>
      </c>
      <c r="E826" s="1" t="n">
        <v>46268</v>
      </c>
      <c r="F826" t="inlineStr">
        <is>
          <t>GÄVLEBORGS LÄN</t>
        </is>
      </c>
      <c r="G826" t="inlineStr">
        <is>
          <t>NORDANSTIG</t>
        </is>
      </c>
      <c r="I826" t="n">
        <v>8.4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25633-2026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46268</v>
      </c>
      <c r="F827" t="inlineStr">
        <is>
          <t>GÄVLEBORGS LÄN</t>
        </is>
      </c>
      <c r="G827" t="inlineStr">
        <is>
          <t>NORDANSTIG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16640-2025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45754</v>
      </c>
      <c r="E828" s="1" t="n">
        <v>46268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11627-2026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46084</v>
      </c>
      <c r="E829" s="1" t="n">
        <v>46268</v>
      </c>
      <c r="F829" t="inlineStr">
        <is>
          <t>GÄVLEBORGS LÄN</t>
        </is>
      </c>
      <c r="G829" t="inlineStr">
        <is>
          <t>NORDANSTIG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26044-2026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46181</v>
      </c>
      <c r="E830" s="1" t="n">
        <v>46268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59297-2024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45637</v>
      </c>
      <c r="E831" s="1" t="n">
        <v>46268</v>
      </c>
      <c r="F831" t="inlineStr">
        <is>
          <t>GÄVLEBORGS LÄN</t>
        </is>
      </c>
      <c r="G831" t="inlineStr">
        <is>
          <t>NORDANSTIG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26238-2026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46182</v>
      </c>
      <c r="E832" s="1" t="n">
        <v>46268</v>
      </c>
      <c r="F832" t="inlineStr">
        <is>
          <t>GÄVLEBORGS LÄN</t>
        </is>
      </c>
      <c r="G832" t="inlineStr">
        <is>
          <t>NORDANSTIG</t>
        </is>
      </c>
      <c r="H832" t="inlineStr">
        <is>
          <t>SCA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21473-2023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45063</v>
      </c>
      <c r="E833" s="1" t="n">
        <v>46268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26126-2026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46181</v>
      </c>
      <c r="E834" s="1" t="n">
        <v>46268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31698-2026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46226</v>
      </c>
      <c r="E835" s="1" t="n">
        <v>46268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17843-2023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45037</v>
      </c>
      <c r="E836" s="1" t="n">
        <v>46268</v>
      </c>
      <c r="F836" t="inlineStr">
        <is>
          <t>GÄVLEBORGS LÄN</t>
        </is>
      </c>
      <c r="G836" t="inlineStr">
        <is>
          <t>NORDANSTIG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36025-2023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45149</v>
      </c>
      <c r="E837" s="1" t="n">
        <v>46268</v>
      </c>
      <c r="F837" t="inlineStr">
        <is>
          <t>GÄVLEBORGS LÄN</t>
        </is>
      </c>
      <c r="G837" t="inlineStr">
        <is>
          <t>NORDANSTIG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26486-2026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46268</v>
      </c>
      <c r="F838" t="inlineStr">
        <is>
          <t>GÄVLEBORGS LÄN</t>
        </is>
      </c>
      <c r="G838" t="inlineStr">
        <is>
          <t>NORDANSTIG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41616-2023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45175</v>
      </c>
      <c r="E839" s="1" t="n">
        <v>46268</v>
      </c>
      <c r="F839" t="inlineStr">
        <is>
          <t>GÄVLEBORGS LÄN</t>
        </is>
      </c>
      <c r="G839" t="inlineStr">
        <is>
          <t>NORDANSTIG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31732-2026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46227</v>
      </c>
      <c r="E840" s="1" t="n">
        <v>46268</v>
      </c>
      <c r="F840" t="inlineStr">
        <is>
          <t>GÄVLEBORGS LÄN</t>
        </is>
      </c>
      <c r="G840" t="inlineStr">
        <is>
          <t>NORDANSTIG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26684-2026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46184</v>
      </c>
      <c r="E841" s="1" t="n">
        <v>46268</v>
      </c>
      <c r="F841" t="inlineStr">
        <is>
          <t>GÄVLEBORGS LÄN</t>
        </is>
      </c>
      <c r="G841" t="inlineStr">
        <is>
          <t>NORDANSTIG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31708-2026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46226</v>
      </c>
      <c r="E842" s="1" t="n">
        <v>46268</v>
      </c>
      <c r="F842" t="inlineStr">
        <is>
          <t>GÄVLEBORGS LÄN</t>
        </is>
      </c>
      <c r="G842" t="inlineStr">
        <is>
          <t>NORDANSTIG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57976-2022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44900</v>
      </c>
      <c r="E843" s="1" t="n">
        <v>46268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57983-2022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44900</v>
      </c>
      <c r="E844" s="1" t="n">
        <v>46268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21187-2022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44704</v>
      </c>
      <c r="E845" s="1" t="n">
        <v>46268</v>
      </c>
      <c r="F845" t="inlineStr">
        <is>
          <t>GÄVLEBORGS LÄN</t>
        </is>
      </c>
      <c r="G845" t="inlineStr">
        <is>
          <t>NORDANSTIG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51806-2024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45607</v>
      </c>
      <c r="E846" s="1" t="n">
        <v>46268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51821-2024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45607</v>
      </c>
      <c r="E847" s="1" t="n">
        <v>46268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54156-2024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45616</v>
      </c>
      <c r="E848" s="1" t="n">
        <v>46268</v>
      </c>
      <c r="F848" t="inlineStr">
        <is>
          <t>GÄVLEBORGS LÄN</t>
        </is>
      </c>
      <c r="G848" t="inlineStr">
        <is>
          <t>NORDANSTIG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26634-2026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46184</v>
      </c>
      <c r="E849" s="1" t="n">
        <v>46268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27183-2026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46188</v>
      </c>
      <c r="E850" s="1" t="n">
        <v>46268</v>
      </c>
      <c r="F850" t="inlineStr">
        <is>
          <t>GÄVLEBORGS LÄN</t>
        </is>
      </c>
      <c r="G850" t="inlineStr">
        <is>
          <t>NORDANSTIG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48212-2024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45590</v>
      </c>
      <c r="E851" s="1" t="n">
        <v>46268</v>
      </c>
      <c r="F851" t="inlineStr">
        <is>
          <t>GÄVLEBORGS LÄN</t>
        </is>
      </c>
      <c r="G851" t="inlineStr">
        <is>
          <t>NORDANSTIG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27129-2026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46268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26842-2026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46268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50.7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46185</v>
      </c>
      <c r="E854" s="1" t="n">
        <v>46268</v>
      </c>
      <c r="F854" t="inlineStr">
        <is>
          <t>GÄVLEBORGS LÄN</t>
        </is>
      </c>
      <c r="G854" t="inlineStr">
        <is>
          <t>NORDANSTIG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27149-2026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46188</v>
      </c>
      <c r="E855" s="1" t="n">
        <v>46268</v>
      </c>
      <c r="F855" t="inlineStr">
        <is>
          <t>GÄVLEBORGS LÄN</t>
        </is>
      </c>
      <c r="G855" t="inlineStr">
        <is>
          <t>NORDANSTIG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30630-2022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44763</v>
      </c>
      <c r="E856" s="1" t="n">
        <v>46268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27114-2026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46268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27150-2026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46268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36960-2023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45154</v>
      </c>
      <c r="E859" s="1" t="n">
        <v>46268</v>
      </c>
      <c r="F859" t="inlineStr">
        <is>
          <t>GÄVLEBORGS LÄN</t>
        </is>
      </c>
      <c r="G859" t="inlineStr">
        <is>
          <t>NORDANSTIG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31270-2024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45504</v>
      </c>
      <c r="E860" s="1" t="n">
        <v>46268</v>
      </c>
      <c r="F860" t="inlineStr">
        <is>
          <t>GÄVLEBORGS LÄN</t>
        </is>
      </c>
      <c r="G860" t="inlineStr">
        <is>
          <t>NORDANSTIG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51438-2023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45219</v>
      </c>
      <c r="E861" s="1" t="n">
        <v>46268</v>
      </c>
      <c r="F861" t="inlineStr">
        <is>
          <t>GÄVLEBORGS LÄN</t>
        </is>
      </c>
      <c r="G861" t="inlineStr">
        <is>
          <t>NORDANSTIG</t>
        </is>
      </c>
      <c r="H861" t="inlineStr">
        <is>
          <t>SCA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26838-2026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46185</v>
      </c>
      <c r="E862" s="1" t="n">
        <v>46268</v>
      </c>
      <c r="F862" t="inlineStr">
        <is>
          <t>GÄVLEBORGS LÄN</t>
        </is>
      </c>
      <c r="G862" t="inlineStr">
        <is>
          <t>NORDANSTIG</t>
        </is>
      </c>
      <c r="H862" t="inlineStr">
        <is>
          <t>SCA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5963-2025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45695</v>
      </c>
      <c r="E863" s="1" t="n">
        <v>46268</v>
      </c>
      <c r="F863" t="inlineStr">
        <is>
          <t>GÄVLEBORGS LÄN</t>
        </is>
      </c>
      <c r="G863" t="inlineStr">
        <is>
          <t>NORDANSTIG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27236-2026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46188</v>
      </c>
      <c r="E864" s="1" t="n">
        <v>46268</v>
      </c>
      <c r="F864" t="inlineStr">
        <is>
          <t>GÄVLEBORGS LÄN</t>
        </is>
      </c>
      <c r="G864" t="inlineStr">
        <is>
          <t>NORDANSTIG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17482-2022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44679</v>
      </c>
      <c r="E865" s="1" t="n">
        <v>46268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54519-2024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45617</v>
      </c>
      <c r="E866" s="1" t="n">
        <v>46268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11087-2022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44628</v>
      </c>
      <c r="E867" s="1" t="n">
        <v>46268</v>
      </c>
      <c r="F867" t="inlineStr">
        <is>
          <t>GÄVLEBORGS LÄN</t>
        </is>
      </c>
      <c r="G867" t="inlineStr">
        <is>
          <t>NORDANSTIG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52006-2024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45607</v>
      </c>
      <c r="E868" s="1" t="n">
        <v>46268</v>
      </c>
      <c r="F868" t="inlineStr">
        <is>
          <t>GÄVLEBORGS LÄN</t>
        </is>
      </c>
      <c r="G868" t="inlineStr">
        <is>
          <t>NORDANSTIG</t>
        </is>
      </c>
      <c r="I868" t="n">
        <v>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41773-2025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45902</v>
      </c>
      <c r="E869" s="1" t="n">
        <v>46268</v>
      </c>
      <c r="F869" t="inlineStr">
        <is>
          <t>GÄVLEBORGS LÄN</t>
        </is>
      </c>
      <c r="G869" t="inlineStr">
        <is>
          <t>NORDANSTIG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54401-2024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45617</v>
      </c>
      <c r="E870" s="1" t="n">
        <v>46268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10042-2025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45719</v>
      </c>
      <c r="E871" s="1" t="n">
        <v>46268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6.6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12266-2025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45729</v>
      </c>
      <c r="E872" s="1" t="n">
        <v>46268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26728-2022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44739</v>
      </c>
      <c r="E873" s="1" t="n">
        <v>46268</v>
      </c>
      <c r="F873" t="inlineStr">
        <is>
          <t>GÄVLEBORGS LÄN</t>
        </is>
      </c>
      <c r="G873" t="inlineStr">
        <is>
          <t>NORDANSTIG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32092-2026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46234</v>
      </c>
      <c r="E874" s="1" t="n">
        <v>46268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44500-2024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45574</v>
      </c>
      <c r="E875" s="1" t="n">
        <v>46268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41074-2023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45173</v>
      </c>
      <c r="E876" s="1" t="n">
        <v>46268</v>
      </c>
      <c r="F876" t="inlineStr">
        <is>
          <t>GÄVLEBORGS LÄN</t>
        </is>
      </c>
      <c r="G876" t="inlineStr">
        <is>
          <t>NORDANSTIG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60675-2024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46268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27975-2026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46195</v>
      </c>
      <c r="E878" s="1" t="n">
        <v>46268</v>
      </c>
      <c r="F878" t="inlineStr">
        <is>
          <t>GÄVLEBORGS LÄN</t>
        </is>
      </c>
      <c r="G878" t="inlineStr">
        <is>
          <t>NORDANSTIG</t>
        </is>
      </c>
      <c r="I878" t="n">
        <v>5.6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1802-2023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44938</v>
      </c>
      <c r="E879" s="1" t="n">
        <v>46268</v>
      </c>
      <c r="F879" t="inlineStr">
        <is>
          <t>GÄVLEBORGS LÄN</t>
        </is>
      </c>
      <c r="G879" t="inlineStr">
        <is>
          <t>NORDANSTIG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28391-2026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46268</v>
      </c>
      <c r="F880" t="inlineStr">
        <is>
          <t>GÄVLEBORGS LÄN</t>
        </is>
      </c>
      <c r="G880" t="inlineStr">
        <is>
          <t>NORDANSTIG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43893-2023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46268</v>
      </c>
      <c r="F881" t="inlineStr">
        <is>
          <t>GÄVLEBORGS LÄN</t>
        </is>
      </c>
      <c r="G881" t="inlineStr">
        <is>
          <t>NORDANSTIG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32340-2026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46238</v>
      </c>
      <c r="E882" s="1" t="n">
        <v>46268</v>
      </c>
      <c r="F882" t="inlineStr">
        <is>
          <t>GÄVLEBORGS LÄN</t>
        </is>
      </c>
      <c r="G882" t="inlineStr">
        <is>
          <t>NORDANSTIG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27976-2026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46195</v>
      </c>
      <c r="E883" s="1" t="n">
        <v>46268</v>
      </c>
      <c r="F883" t="inlineStr">
        <is>
          <t>GÄVLEBORGS LÄN</t>
        </is>
      </c>
      <c r="G883" t="inlineStr">
        <is>
          <t>NORDANSTIG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27981-2026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46195</v>
      </c>
      <c r="E884" s="1" t="n">
        <v>46268</v>
      </c>
      <c r="F884" t="inlineStr">
        <is>
          <t>GÄVLEBORGS LÄN</t>
        </is>
      </c>
      <c r="G884" t="inlineStr">
        <is>
          <t>NORDANSTIG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21153-2023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45062</v>
      </c>
      <c r="E885" s="1" t="n">
        <v>46268</v>
      </c>
      <c r="F885" t="inlineStr">
        <is>
          <t>GÄVLEBORGS LÄN</t>
        </is>
      </c>
      <c r="G885" t="inlineStr">
        <is>
          <t>NORDANSTIG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28226-2026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46196</v>
      </c>
      <c r="E886" s="1" t="n">
        <v>46268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31894-2026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46231</v>
      </c>
      <c r="E887" s="1" t="n">
        <v>46268</v>
      </c>
      <c r="F887" t="inlineStr">
        <is>
          <t>GÄVLEBORGS LÄN</t>
        </is>
      </c>
      <c r="G887" t="inlineStr">
        <is>
          <t>NORDANSTIG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28370-2026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46196</v>
      </c>
      <c r="E888" s="1" t="n">
        <v>46268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4001-2023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44952</v>
      </c>
      <c r="E889" s="1" t="n">
        <v>46268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4024-2023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44952</v>
      </c>
      <c r="E890" s="1" t="n">
        <v>46268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32602-2024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45513</v>
      </c>
      <c r="E891" s="1" t="n">
        <v>46268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73389-2021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44551</v>
      </c>
      <c r="E892" s="1" t="n">
        <v>46268</v>
      </c>
      <c r="F892" t="inlineStr">
        <is>
          <t>GÄVLEBORGS LÄN</t>
        </is>
      </c>
      <c r="G892" t="inlineStr">
        <is>
          <t>NORDANSTIG</t>
        </is>
      </c>
      <c r="I892" t="n">
        <v>4.2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32726-2026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46241</v>
      </c>
      <c r="E893" s="1" t="n">
        <v>46268</v>
      </c>
      <c r="F893" t="inlineStr">
        <is>
          <t>GÄVLEBORGS LÄN</t>
        </is>
      </c>
      <c r="G893" t="inlineStr">
        <is>
          <t>NORDANSTIG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28777-2026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46268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34913-2023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45142</v>
      </c>
      <c r="E895" s="1" t="n">
        <v>46268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34918-2023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45142</v>
      </c>
      <c r="E896" s="1" t="n">
        <v>46268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25273-2024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45462</v>
      </c>
      <c r="E897" s="1" t="n">
        <v>46268</v>
      </c>
      <c r="F897" t="inlineStr">
        <is>
          <t>GÄVLEBORGS LÄN</t>
        </is>
      </c>
      <c r="G897" t="inlineStr">
        <is>
          <t>NORDANSTIG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19569-2025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45770</v>
      </c>
      <c r="E898" s="1" t="n">
        <v>46268</v>
      </c>
      <c r="F898" t="inlineStr">
        <is>
          <t>GÄVLEBORGS LÄN</t>
        </is>
      </c>
      <c r="G898" t="inlineStr">
        <is>
          <t>NORDANSTIG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28724-2026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46198</v>
      </c>
      <c r="E899" s="1" t="n">
        <v>46268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28739-2026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46198</v>
      </c>
      <c r="E900" s="1" t="n">
        <v>46268</v>
      </c>
      <c r="F900" t="inlineStr">
        <is>
          <t>GÄVLEBORGS LÄN</t>
        </is>
      </c>
      <c r="G900" t="inlineStr">
        <is>
          <t>NORDANSTIG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51250-2022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44868</v>
      </c>
      <c r="E901" s="1" t="n">
        <v>46268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25821-2026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46268</v>
      </c>
      <c r="F902" t="inlineStr">
        <is>
          <t>GÄVLEBORGS LÄN</t>
        </is>
      </c>
      <c r="G902" t="inlineStr">
        <is>
          <t>NORDANSTIG</t>
        </is>
      </c>
      <c r="I902" t="n">
        <v>11.2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28529-2026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46197</v>
      </c>
      <c r="E903" s="1" t="n">
        <v>46268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28734-2026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46268</v>
      </c>
      <c r="F904" t="inlineStr">
        <is>
          <t>GÄVLEBORGS LÄN</t>
        </is>
      </c>
      <c r="G904" t="inlineStr">
        <is>
          <t>NORDANSTIG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58870-2023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45252</v>
      </c>
      <c r="E905" s="1" t="n">
        <v>46268</v>
      </c>
      <c r="F905" t="inlineStr">
        <is>
          <t>GÄVLEBORGS LÄN</t>
        </is>
      </c>
      <c r="G905" t="inlineStr">
        <is>
          <t>NORDANSTIG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51091-2024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45603</v>
      </c>
      <c r="E906" s="1" t="n">
        <v>46268</v>
      </c>
      <c r="F906" t="inlineStr">
        <is>
          <t>GÄVLEBORGS LÄN</t>
        </is>
      </c>
      <c r="G906" t="inlineStr">
        <is>
          <t>NORDANSTIG</t>
        </is>
      </c>
      <c r="H906" t="inlineStr">
        <is>
          <t>SCA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30130-2024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45489</v>
      </c>
      <c r="E907" s="1" t="n">
        <v>46268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29162-2026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46202</v>
      </c>
      <c r="E908" s="1" t="n">
        <v>46268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32938-2026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46268</v>
      </c>
      <c r="F909" t="inlineStr">
        <is>
          <t>GÄVLEBORGS LÄN</t>
        </is>
      </c>
      <c r="G909" t="inlineStr">
        <is>
          <t>NORDANSTIG</t>
        </is>
      </c>
      <c r="I909" t="n">
        <v>4.1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25402-2024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45463</v>
      </c>
      <c r="E910" s="1" t="n">
        <v>46268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54385-2024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45617</v>
      </c>
      <c r="E911" s="1" t="n">
        <v>46268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52206-2022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44869</v>
      </c>
      <c r="E912" s="1" t="n">
        <v>46268</v>
      </c>
      <c r="F912" t="inlineStr">
        <is>
          <t>GÄVLEBORGS LÄN</t>
        </is>
      </c>
      <c r="G912" t="inlineStr">
        <is>
          <t>NORDANSTIG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4556-2025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45687</v>
      </c>
      <c r="E913" s="1" t="n">
        <v>46268</v>
      </c>
      <c r="F913" t="inlineStr">
        <is>
          <t>GÄVLEBORGS LÄN</t>
        </is>
      </c>
      <c r="G913" t="inlineStr">
        <is>
          <t>NORDANSTIG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12398-2023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44999</v>
      </c>
      <c r="E914" s="1" t="n">
        <v>46268</v>
      </c>
      <c r="F914" t="inlineStr">
        <is>
          <t>GÄVLEBORGS LÄN</t>
        </is>
      </c>
      <c r="G914" t="inlineStr">
        <is>
          <t>NORDANSTIG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32917-2026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46244</v>
      </c>
      <c r="E915" s="1" t="n">
        <v>46268</v>
      </c>
      <c r="F915" t="inlineStr">
        <is>
          <t>GÄVLEBORGS LÄN</t>
        </is>
      </c>
      <c r="G915" t="inlineStr">
        <is>
          <t>NORDANSTIG</t>
        </is>
      </c>
      <c r="I915" t="n">
        <v>7.4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6324-2023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44965</v>
      </c>
      <c r="E916" s="1" t="n">
        <v>46268</v>
      </c>
      <c r="F916" t="inlineStr">
        <is>
          <t>GÄVLEBORGS LÄN</t>
        </is>
      </c>
      <c r="G916" t="inlineStr">
        <is>
          <t>NORDANSTIG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2105-2023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44939</v>
      </c>
      <c r="E917" s="1" t="n">
        <v>46268</v>
      </c>
      <c r="F917" t="inlineStr">
        <is>
          <t>GÄVLEBORGS LÄN</t>
        </is>
      </c>
      <c r="G917" t="inlineStr">
        <is>
          <t>NORDANSTIG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59851-2024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45639</v>
      </c>
      <c r="E918" s="1" t="n">
        <v>46268</v>
      </c>
      <c r="F918" t="inlineStr">
        <is>
          <t>GÄVLEBORGS LÄN</t>
        </is>
      </c>
      <c r="G918" t="inlineStr">
        <is>
          <t>NORDANSTIG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15464-2023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45020</v>
      </c>
      <c r="E919" s="1" t="n">
        <v>46268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62619-2023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45271</v>
      </c>
      <c r="E920" s="1" t="n">
        <v>46268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2.7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60285-2024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45642</v>
      </c>
      <c r="E921" s="1" t="n">
        <v>46268</v>
      </c>
      <c r="F921" t="inlineStr">
        <is>
          <t>GÄVLEBORGS LÄN</t>
        </is>
      </c>
      <c r="G921" t="inlineStr">
        <is>
          <t>NORDANSTIG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58162-2024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45632</v>
      </c>
      <c r="E922" s="1" t="n">
        <v>46268</v>
      </c>
      <c r="F922" t="inlineStr">
        <is>
          <t>GÄVLEBORGS LÄN</t>
        </is>
      </c>
      <c r="G922" t="inlineStr">
        <is>
          <t>NORDANSTIG</t>
        </is>
      </c>
      <c r="H922" t="inlineStr">
        <is>
          <t>Kyrkan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29733-2026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46204</v>
      </c>
      <c r="E923" s="1" t="n">
        <v>46268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8.800000000000001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72820-2021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44547</v>
      </c>
      <c r="E924" s="1" t="n">
        <v>46268</v>
      </c>
      <c r="F924" t="inlineStr">
        <is>
          <t>GÄVLEBORGS LÄN</t>
        </is>
      </c>
      <c r="G924" t="inlineStr">
        <is>
          <t>NORDANSTIG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51930-2023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45223</v>
      </c>
      <c r="E925" s="1" t="n">
        <v>46268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4414-2022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44589</v>
      </c>
      <c r="E926" s="1" t="n">
        <v>46268</v>
      </c>
      <c r="F926" t="inlineStr">
        <is>
          <t>GÄVLEBORGS LÄN</t>
        </is>
      </c>
      <c r="G926" t="inlineStr">
        <is>
          <t>NORDANSTIG</t>
        </is>
      </c>
      <c r="I926" t="n">
        <v>12.6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30263-2026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46206</v>
      </c>
      <c r="E927" s="1" t="n">
        <v>46268</v>
      </c>
      <c r="F927" t="inlineStr">
        <is>
          <t>GÄVLEBORGS LÄN</t>
        </is>
      </c>
      <c r="G927" t="inlineStr">
        <is>
          <t>NORDANSTIG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30259-2026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46206</v>
      </c>
      <c r="E928" s="1" t="n">
        <v>46268</v>
      </c>
      <c r="F928" t="inlineStr">
        <is>
          <t>GÄVLEBORGS LÄN</t>
        </is>
      </c>
      <c r="G928" t="inlineStr">
        <is>
          <t>NORDANSTIG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30267-2026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46206</v>
      </c>
      <c r="E929" s="1" t="n">
        <v>46268</v>
      </c>
      <c r="F929" t="inlineStr">
        <is>
          <t>GÄVLEBORGS LÄN</t>
        </is>
      </c>
      <c r="G929" t="inlineStr">
        <is>
          <t>NORDANSTIG</t>
        </is>
      </c>
      <c r="I929" t="n">
        <v>8.1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33884-2026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46251</v>
      </c>
      <c r="E930" s="1" t="n">
        <v>46268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34229-2026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46253</v>
      </c>
      <c r="E931" s="1" t="n">
        <v>46268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48636-2024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45593</v>
      </c>
      <c r="E932" s="1" t="n">
        <v>46268</v>
      </c>
      <c r="F932" t="inlineStr">
        <is>
          <t>GÄVLEBORGS LÄN</t>
        </is>
      </c>
      <c r="G932" t="inlineStr">
        <is>
          <t>NORDANSTIG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30431-2026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46209</v>
      </c>
      <c r="E933" s="1" t="n">
        <v>46268</v>
      </c>
      <c r="F933" t="inlineStr">
        <is>
          <t>GÄVLEBORGS LÄN</t>
        </is>
      </c>
      <c r="G933" t="inlineStr">
        <is>
          <t>NORDANSTIG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9884-2023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44985</v>
      </c>
      <c r="E934" s="1" t="n">
        <v>46268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55694-2024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46268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30428-2026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46209</v>
      </c>
      <c r="E936" s="1" t="n">
        <v>46268</v>
      </c>
      <c r="F936" t="inlineStr">
        <is>
          <t>GÄVLEBORGS LÄN</t>
        </is>
      </c>
      <c r="G936" t="inlineStr">
        <is>
          <t>NORDANSTIG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11434-2024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45372</v>
      </c>
      <c r="E937" s="1" t="n">
        <v>46268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30390-2026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46209</v>
      </c>
      <c r="E938" s="1" t="n">
        <v>46268</v>
      </c>
      <c r="F938" t="inlineStr">
        <is>
          <t>GÄVLEBORGS LÄN</t>
        </is>
      </c>
      <c r="G938" t="inlineStr">
        <is>
          <t>NORDANSTIG</t>
        </is>
      </c>
      <c r="I938" t="n">
        <v>9.199999999999999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30391-2026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46209</v>
      </c>
      <c r="E939" s="1" t="n">
        <v>46268</v>
      </c>
      <c r="F939" t="inlineStr">
        <is>
          <t>GÄVLEBORGS LÄN</t>
        </is>
      </c>
      <c r="G939" t="inlineStr">
        <is>
          <t>NORDANSTIG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34235-2026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46253</v>
      </c>
      <c r="E940" s="1" t="n">
        <v>46268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46268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15226-2023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45019</v>
      </c>
      <c r="E942" s="1" t="n">
        <v>46268</v>
      </c>
      <c r="F942" t="inlineStr">
        <is>
          <t>GÄVLEBORGS LÄN</t>
        </is>
      </c>
      <c r="G942" t="inlineStr">
        <is>
          <t>NORDANSTIG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34212-2026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46253</v>
      </c>
      <c r="E943" s="1" t="n">
        <v>46268</v>
      </c>
      <c r="F943" t="inlineStr">
        <is>
          <t>GÄVLEBORGS LÄN</t>
        </is>
      </c>
      <c r="G943" t="inlineStr">
        <is>
          <t>NORDANSTIG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19566-2025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45770</v>
      </c>
      <c r="E944" s="1" t="n">
        <v>46268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23369-2022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44720</v>
      </c>
      <c r="E945" s="1" t="n">
        <v>46268</v>
      </c>
      <c r="F945" t="inlineStr">
        <is>
          <t>GÄVLEBORGS LÄN</t>
        </is>
      </c>
      <c r="G945" t="inlineStr">
        <is>
          <t>NORDANSTIG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12607-2024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45382</v>
      </c>
      <c r="E946" s="1" t="n">
        <v>46268</v>
      </c>
      <c r="F946" t="inlineStr">
        <is>
          <t>GÄVLEBORGS LÄN</t>
        </is>
      </c>
      <c r="G946" t="inlineStr">
        <is>
          <t>NORDANSTIG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46213</v>
      </c>
      <c r="E947" s="1" t="n">
        <v>46268</v>
      </c>
      <c r="F947" t="inlineStr">
        <is>
          <t>GÄVLEBORGS LÄN</t>
        </is>
      </c>
      <c r="G947" t="inlineStr">
        <is>
          <t>NORDANSTIG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31366-2026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46213</v>
      </c>
      <c r="E948" s="1" t="n">
        <v>46268</v>
      </c>
      <c r="F948" t="inlineStr">
        <is>
          <t>GÄVLEBORGS LÄN</t>
        </is>
      </c>
      <c r="G948" t="inlineStr">
        <is>
          <t>NORDANSTIG</t>
        </is>
      </c>
      <c r="I948" t="n">
        <v>9.6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34542-2026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46268</v>
      </c>
      <c r="F949" t="inlineStr">
        <is>
          <t>GÄVLEBORGS LÄN</t>
        </is>
      </c>
      <c r="G949" t="inlineStr">
        <is>
          <t>NORDANSTIG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45310-2022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44844</v>
      </c>
      <c r="E950" s="1" t="n">
        <v>46268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6820-2023</t>
        </is>
      </c>
      <c r="B951" t="inlineStr">
        <is>
          <t>avverkningsanmälan</t>
        </is>
      </c>
      <c r="C951" t="inlineStr">
        <is>
          <t>Avverkning för att bevara och utveckla /försöksver</t>
        </is>
      </c>
      <c r="D951" s="1" t="n">
        <v>44967</v>
      </c>
      <c r="E951" s="1" t="n">
        <v>46268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34475-2026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46254</v>
      </c>
      <c r="E952" s="1" t="n">
        <v>46268</v>
      </c>
      <c r="F952" t="inlineStr">
        <is>
          <t>GÄVLEBORGS LÄN</t>
        </is>
      </c>
      <c r="G952" t="inlineStr">
        <is>
          <t>NORDANSTIG</t>
        </is>
      </c>
      <c r="H952" t="inlineStr">
        <is>
          <t>SCA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2592-2023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44943</v>
      </c>
      <c r="E953" s="1" t="n">
        <v>46268</v>
      </c>
      <c r="F953" t="inlineStr">
        <is>
          <t>GÄVLEBORGS LÄN</t>
        </is>
      </c>
      <c r="G953" t="inlineStr">
        <is>
          <t>NORDANSTIG</t>
        </is>
      </c>
      <c r="I953" t="n">
        <v>4.1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8646-2026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46066</v>
      </c>
      <c r="E954" s="1" t="n">
        <v>46268</v>
      </c>
      <c r="F954" t="inlineStr">
        <is>
          <t>GÄVLEBORGS LÄN</t>
        </is>
      </c>
      <c r="G954" t="inlineStr">
        <is>
          <t>NORDANSTIG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43075-2024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45567</v>
      </c>
      <c r="E955" s="1" t="n">
        <v>46268</v>
      </c>
      <c r="F955" t="inlineStr">
        <is>
          <t>GÄVLEBORGS LÄN</t>
        </is>
      </c>
      <c r="G955" t="inlineStr">
        <is>
          <t>NORDANSTIG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58891-2024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45636</v>
      </c>
      <c r="E956" s="1" t="n">
        <v>46268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56351-2024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45624</v>
      </c>
      <c r="E957" s="1" t="n">
        <v>46268</v>
      </c>
      <c r="F957" t="inlineStr">
        <is>
          <t>GÄVLEBORGS LÄN</t>
        </is>
      </c>
      <c r="G957" t="inlineStr">
        <is>
          <t>NORDANSTIG</t>
        </is>
      </c>
      <c r="I957" t="n">
        <v>4.2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58112-2024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45632</v>
      </c>
      <c r="E958" s="1" t="n">
        <v>46268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34998-2026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46259</v>
      </c>
      <c r="E959" s="1" t="n">
        <v>46268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34999-2026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46259</v>
      </c>
      <c r="E960" s="1" t="n">
        <v>46268</v>
      </c>
      <c r="F960" t="inlineStr">
        <is>
          <t>GÄVLEBORGS LÄN</t>
        </is>
      </c>
      <c r="G960" t="inlineStr">
        <is>
          <t>NORDANSTIG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18525-2025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46268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62816-2023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45271</v>
      </c>
      <c r="E962" s="1" t="n">
        <v>46268</v>
      </c>
      <c r="F962" t="inlineStr">
        <is>
          <t>GÄVLEBORGS LÄN</t>
        </is>
      </c>
      <c r="G962" t="inlineStr">
        <is>
          <t>NORDANSTIG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37295-2022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44808</v>
      </c>
      <c r="E963" s="1" t="n">
        <v>46268</v>
      </c>
      <c r="F963" t="inlineStr">
        <is>
          <t>GÄVLEBORGS LÄN</t>
        </is>
      </c>
      <c r="G963" t="inlineStr">
        <is>
          <t>NORDANSTIG</t>
        </is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30899-2026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46213</v>
      </c>
      <c r="E964" s="1" t="n">
        <v>46268</v>
      </c>
      <c r="F964" t="inlineStr">
        <is>
          <t>GÄVLEBORGS LÄN</t>
        </is>
      </c>
      <c r="G964" t="inlineStr">
        <is>
          <t>NORDANSTIG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15385-2023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45019</v>
      </c>
      <c r="E965" s="1" t="n">
        <v>46268</v>
      </c>
      <c r="F965" t="inlineStr">
        <is>
          <t>GÄVLEBORGS LÄN</t>
        </is>
      </c>
      <c r="G965" t="inlineStr">
        <is>
          <t>NORDANSTIG</t>
        </is>
      </c>
      <c r="I965" t="n">
        <v>5.9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7149-2022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44603</v>
      </c>
      <c r="E966" s="1" t="n">
        <v>46268</v>
      </c>
      <c r="F966" t="inlineStr">
        <is>
          <t>GÄVLEBORGS LÄN</t>
        </is>
      </c>
      <c r="G966" t="inlineStr">
        <is>
          <t>NORDANSTIG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46258</v>
      </c>
      <c r="E967" s="1" t="n">
        <v>46268</v>
      </c>
      <c r="F967" t="inlineStr">
        <is>
          <t>GÄVLEBORGS LÄN</t>
        </is>
      </c>
      <c r="G967" t="inlineStr">
        <is>
          <t>NORDANSTIG</t>
        </is>
      </c>
      <c r="I967" t="n">
        <v>9.199999999999999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55531-2024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45622</v>
      </c>
      <c r="E968" s="1" t="n">
        <v>46268</v>
      </c>
      <c r="F968" t="inlineStr">
        <is>
          <t>GÄVLEBORGS LÄN</t>
        </is>
      </c>
      <c r="G968" t="inlineStr">
        <is>
          <t>NORDANSTIG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3773-2026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46268</v>
      </c>
      <c r="F969" t="inlineStr">
        <is>
          <t>GÄVLEBORGS LÄN</t>
        </is>
      </c>
      <c r="G969" t="inlineStr">
        <is>
          <t>NORDANSTIG</t>
        </is>
      </c>
      <c r="I969" t="n">
        <v>14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26671-2026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46184</v>
      </c>
      <c r="E970" s="1" t="n">
        <v>46268</v>
      </c>
      <c r="F970" t="inlineStr">
        <is>
          <t>GÄVLEBORGS LÄN</t>
        </is>
      </c>
      <c r="G970" t="inlineStr">
        <is>
          <t>NORDANSTIG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7013-2023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44967</v>
      </c>
      <c r="E971" s="1" t="n">
        <v>46268</v>
      </c>
      <c r="F971" t="inlineStr">
        <is>
          <t>GÄVLEBORGS LÄN</t>
        </is>
      </c>
      <c r="G971" t="inlineStr">
        <is>
          <t>NORDANSTIG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7014-2023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44967</v>
      </c>
      <c r="E972" s="1" t="n">
        <v>46268</v>
      </c>
      <c r="F972" t="inlineStr">
        <is>
          <t>GÄVLEBORGS LÄN</t>
        </is>
      </c>
      <c r="G972" t="inlineStr">
        <is>
          <t>NORDANSTIG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37974-2024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45544</v>
      </c>
      <c r="E973" s="1" t="n">
        <v>46268</v>
      </c>
      <c r="F973" t="inlineStr">
        <is>
          <t>GÄVLEBORGS LÄN</t>
        </is>
      </c>
      <c r="G973" t="inlineStr">
        <is>
          <t>NORDANSTIG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54524-2024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46268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59422-2022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44907</v>
      </c>
      <c r="E975" s="1" t="n">
        <v>46268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37031-2024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45539</v>
      </c>
      <c r="E976" s="1" t="n">
        <v>46268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29372-2026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46203</v>
      </c>
      <c r="E977" s="1" t="n">
        <v>46268</v>
      </c>
      <c r="F977" t="inlineStr">
        <is>
          <t>GÄVLEBORGS LÄN</t>
        </is>
      </c>
      <c r="G977" t="inlineStr">
        <is>
          <t>NORDANSTIG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51380-2024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45604</v>
      </c>
      <c r="E978" s="1" t="n">
        <v>46268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26700-2026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46268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26696-2026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46184</v>
      </c>
      <c r="E980" s="1" t="n">
        <v>46268</v>
      </c>
      <c r="F980" t="inlineStr">
        <is>
          <t>GÄVLEBORGS LÄN</t>
        </is>
      </c>
      <c r="G980" t="inlineStr">
        <is>
          <t>NORDANSTIG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51988-2024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45607</v>
      </c>
      <c r="E981" s="1" t="n">
        <v>46268</v>
      </c>
      <c r="F981" t="inlineStr">
        <is>
          <t>GÄVLEBORGS LÄN</t>
        </is>
      </c>
      <c r="G981" t="inlineStr">
        <is>
          <t>NORDANSTIG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29371-2026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46203</v>
      </c>
      <c r="E982" s="1" t="n">
        <v>46268</v>
      </c>
      <c r="F982" t="inlineStr">
        <is>
          <t>GÄVLEBORGS LÄN</t>
        </is>
      </c>
      <c r="G982" t="inlineStr">
        <is>
          <t>NORDANSTIG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35342-2026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46261</v>
      </c>
      <c r="E983" s="1" t="n">
        <v>46268</v>
      </c>
      <c r="F983" t="inlineStr">
        <is>
          <t>GÄVLEBORGS LÄN</t>
        </is>
      </c>
      <c r="G983" t="inlineStr">
        <is>
          <t>NORDANSTIG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47762-2021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44448</v>
      </c>
      <c r="E984" s="1" t="n">
        <v>46268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38346-2024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45545</v>
      </c>
      <c r="E985" s="1" t="n">
        <v>46268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31422-2026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46220</v>
      </c>
      <c r="E986" s="1" t="n">
        <v>46268</v>
      </c>
      <c r="F986" t="inlineStr">
        <is>
          <t>GÄVLEBORGS LÄN</t>
        </is>
      </c>
      <c r="G986" t="inlineStr">
        <is>
          <t>NORDANSTIG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18322-2024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45422</v>
      </c>
      <c r="E987" s="1" t="n">
        <v>46268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31385-2026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46220</v>
      </c>
      <c r="E988" s="1" t="n">
        <v>46268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54685-2024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45618</v>
      </c>
      <c r="E989" s="1" t="n">
        <v>46268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35782-2026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46265</v>
      </c>
      <c r="E990" s="1" t="n">
        <v>46268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46262</v>
      </c>
      <c r="E991" s="1" t="n">
        <v>46268</v>
      </c>
      <c r="F991" t="inlineStr">
        <is>
          <t>GÄVLEBORGS LÄN</t>
        </is>
      </c>
      <c r="G991" t="inlineStr">
        <is>
          <t>NORDANSTIG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23417-2023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45076</v>
      </c>
      <c r="E992" s="1" t="n">
        <v>46268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45439</v>
      </c>
      <c r="E993" s="1" t="n">
        <v>46268</v>
      </c>
      <c r="F993" t="inlineStr">
        <is>
          <t>GÄVLEBORGS LÄN</t>
        </is>
      </c>
      <c r="G993" t="inlineStr">
        <is>
          <t>NORDANSTIG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31406-2026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46220</v>
      </c>
      <c r="E994" s="1" t="n">
        <v>46268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31423-2026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46268</v>
      </c>
      <c r="F995" t="inlineStr">
        <is>
          <t>GÄVLEBORGS LÄN</t>
        </is>
      </c>
      <c r="G995" t="inlineStr">
        <is>
          <t>NORDANSTIG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20512-2022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44699</v>
      </c>
      <c r="E996" s="1" t="n">
        <v>46268</v>
      </c>
      <c r="F996" t="inlineStr">
        <is>
          <t>GÄVLEBORGS LÄN</t>
        </is>
      </c>
      <c r="G996" t="inlineStr">
        <is>
          <t>NORDANSTIG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45357</v>
      </c>
      <c r="E997" s="1" t="n">
        <v>46268</v>
      </c>
      <c r="F997" t="inlineStr">
        <is>
          <t>GÄVLEBORGS LÄN</t>
        </is>
      </c>
      <c r="G997" t="inlineStr">
        <is>
          <t>NORDANSTIG</t>
        </is>
      </c>
      <c r="I997" t="n">
        <v>8.199999999999999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41620-2023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45175</v>
      </c>
      <c r="E998" s="1" t="n">
        <v>46268</v>
      </c>
      <c r="F998" t="inlineStr">
        <is>
          <t>GÄVLEBORGS LÄN</t>
        </is>
      </c>
      <c r="G998" t="inlineStr">
        <is>
          <t>NORDANSTIG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12764-2025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45733</v>
      </c>
      <c r="E999" s="1" t="n">
        <v>46268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4.4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53691-2024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45615</v>
      </c>
      <c r="E1000" s="1" t="n">
        <v>46268</v>
      </c>
      <c r="F1000" t="inlineStr">
        <is>
          <t>GÄVLEBORGS LÄN</t>
        </is>
      </c>
      <c r="G1000" t="inlineStr">
        <is>
          <t>NORDANSTIG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44964</v>
      </c>
      <c r="E1001" s="1" t="n">
        <v>46268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31538-2026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46223</v>
      </c>
      <c r="E1002" s="1" t="n">
        <v>46268</v>
      </c>
      <c r="F1002" t="inlineStr">
        <is>
          <t>GÄVLEBORGS LÄN</t>
        </is>
      </c>
      <c r="G1002" t="inlineStr">
        <is>
          <t>NORDANSTIG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31500-2026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46223</v>
      </c>
      <c r="E1003" s="1" t="n">
        <v>46268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6.2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59799-2022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44908</v>
      </c>
      <c r="E1004" s="1" t="n">
        <v>46268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18332-2024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45422</v>
      </c>
      <c r="E1005" s="1" t="n">
        <v>46268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31571-2024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45506</v>
      </c>
      <c r="E1006" s="1" t="n">
        <v>46268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5411-2022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44595</v>
      </c>
      <c r="E1007" s="1" t="n">
        <v>46268</v>
      </c>
      <c r="F1007" t="inlineStr">
        <is>
          <t>GÄVLEBORGS LÄN</t>
        </is>
      </c>
      <c r="G1007" t="inlineStr">
        <is>
          <t>NORDANSTIG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55450-2024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45622</v>
      </c>
      <c r="E1008" s="1" t="n">
        <v>46268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55498-2024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45622</v>
      </c>
      <c r="E1009" s="1" t="n">
        <v>46268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41957-2023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45177</v>
      </c>
      <c r="E1010" s="1" t="n">
        <v>46268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10069-2025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45719</v>
      </c>
      <c r="E1011" s="1" t="n">
        <v>46268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60839-2023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45260</v>
      </c>
      <c r="E1012" s="1" t="n">
        <v>46268</v>
      </c>
      <c r="F1012" t="inlineStr">
        <is>
          <t>GÄVLEBORGS LÄN</t>
        </is>
      </c>
      <c r="G1012" t="inlineStr">
        <is>
          <t>NORDANSTIG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4559-2025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45687</v>
      </c>
      <c r="E1013" s="1" t="n">
        <v>46268</v>
      </c>
      <c r="F1013" t="inlineStr">
        <is>
          <t>GÄVLEBORGS LÄN</t>
        </is>
      </c>
      <c r="G1013" t="inlineStr">
        <is>
          <t>NORDANSTIG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14402-2025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45741</v>
      </c>
      <c r="E1014" s="1" t="n">
        <v>46268</v>
      </c>
      <c r="F1014" t="inlineStr">
        <is>
          <t>GÄVLEBORGS LÄN</t>
        </is>
      </c>
      <c r="G1014" t="inlineStr">
        <is>
          <t>NORDANSTIG</t>
        </is>
      </c>
      <c r="I1014" t="n">
        <v>17.1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48832-2022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44859</v>
      </c>
      <c r="E1015" s="1" t="n">
        <v>46268</v>
      </c>
      <c r="F1015" t="inlineStr">
        <is>
          <t>GÄVLEBORGS LÄN</t>
        </is>
      </c>
      <c r="G1015" t="inlineStr">
        <is>
          <t>NORDANSTIG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38332-2024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45545</v>
      </c>
      <c r="E1016" s="1" t="n">
        <v>46268</v>
      </c>
      <c r="F1016" t="inlineStr">
        <is>
          <t>GÄVLEBORGS LÄN</t>
        </is>
      </c>
      <c r="G1016" t="inlineStr">
        <is>
          <t>NORDANSTIG</t>
        </is>
      </c>
      <c r="I1016" t="n">
        <v>11.5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62089-2021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44502</v>
      </c>
      <c r="E1017" s="1" t="n">
        <v>46268</v>
      </c>
      <c r="F1017" t="inlineStr">
        <is>
          <t>GÄVLEBORGS LÄN</t>
        </is>
      </c>
      <c r="G1017" t="inlineStr">
        <is>
          <t>NORDANSTIG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32827-2023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45124</v>
      </c>
      <c r="E1018" s="1" t="n">
        <v>46268</v>
      </c>
      <c r="F1018" t="inlineStr">
        <is>
          <t>GÄVLEBORGS LÄN</t>
        </is>
      </c>
      <c r="G1018" t="inlineStr">
        <is>
          <t>NORDANSTIG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33535-2022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44789</v>
      </c>
      <c r="E1019" s="1" t="n">
        <v>46268</v>
      </c>
      <c r="F1019" t="inlineStr">
        <is>
          <t>GÄVLEBORGS LÄN</t>
        </is>
      </c>
      <c r="G1019" t="inlineStr">
        <is>
          <t>NORDANSTIG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33559-2022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44789</v>
      </c>
      <c r="E1020" s="1" t="n">
        <v>46268</v>
      </c>
      <c r="F1020" t="inlineStr">
        <is>
          <t>GÄVLEBORGS LÄN</t>
        </is>
      </c>
      <c r="G1020" t="inlineStr">
        <is>
          <t>NORDANSTIG</t>
        </is>
      </c>
      <c r="I1020" t="n">
        <v>3.3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30078-2024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45489</v>
      </c>
      <c r="E1021" s="1" t="n">
        <v>46268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884-2024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45301</v>
      </c>
      <c r="E1022" s="1" t="n">
        <v>46268</v>
      </c>
      <c r="F1022" t="inlineStr">
        <is>
          <t>GÄVLEBORGS LÄN</t>
        </is>
      </c>
      <c r="G1022" t="inlineStr">
        <is>
          <t>NORDANSTIG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59043-2024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45636</v>
      </c>
      <c r="E1023" s="1" t="n">
        <v>46268</v>
      </c>
      <c r="F1023" t="inlineStr">
        <is>
          <t>GÄVLEBORGS LÄN</t>
        </is>
      </c>
      <c r="G1023" t="inlineStr">
        <is>
          <t>NORDANSTIG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18680-2025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45763</v>
      </c>
      <c r="E1024" s="1" t="n">
        <v>46268</v>
      </c>
      <c r="F1024" t="inlineStr">
        <is>
          <t>GÄVLEBORGS LÄN</t>
        </is>
      </c>
      <c r="G1024" t="inlineStr">
        <is>
          <t>NORDANSTIG</t>
        </is>
      </c>
      <c r="I1024" t="n">
        <v>9.4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20876-2025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46268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18707-2025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46268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18716-2025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45763</v>
      </c>
      <c r="E1027" s="1" t="n">
        <v>46268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21725-2025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45783</v>
      </c>
      <c r="E1028" s="1" t="n">
        <v>46268</v>
      </c>
      <c r="F1028" t="inlineStr">
        <is>
          <t>GÄVLEBORGS LÄN</t>
        </is>
      </c>
      <c r="G1028" t="inlineStr">
        <is>
          <t>NORDANSTIG</t>
        </is>
      </c>
      <c r="I1028" t="n">
        <v>6.4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12389-2023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44999</v>
      </c>
      <c r="E1029" s="1" t="n">
        <v>46268</v>
      </c>
      <c r="F1029" t="inlineStr">
        <is>
          <t>GÄVLEBORGS LÄN</t>
        </is>
      </c>
      <c r="G1029" t="inlineStr">
        <is>
          <t>NORDANSTIG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45498</v>
      </c>
      <c r="E1030" s="1" t="n">
        <v>46268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21928-2025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45784</v>
      </c>
      <c r="E1031" s="1" t="n">
        <v>46268</v>
      </c>
      <c r="F1031" t="inlineStr">
        <is>
          <t>GÄVLEBORGS LÄN</t>
        </is>
      </c>
      <c r="G1031" t="inlineStr">
        <is>
          <t>NORDANSTIG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32470-2023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45120</v>
      </c>
      <c r="E1032" s="1" t="n">
        <v>46268</v>
      </c>
      <c r="F1032" t="inlineStr">
        <is>
          <t>GÄVLEBORGS LÄN</t>
        </is>
      </c>
      <c r="G1032" t="inlineStr">
        <is>
          <t>NORDANSTIG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22310-2025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45786</v>
      </c>
      <c r="E1033" s="1" t="n">
        <v>46268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27.9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22319-2025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45786</v>
      </c>
      <c r="E1034" s="1" t="n">
        <v>46268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67879-2021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44525</v>
      </c>
      <c r="E1035" s="1" t="n">
        <v>46268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33414-2022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44788</v>
      </c>
      <c r="E1036" s="1" t="n">
        <v>46268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17678-2025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45758</v>
      </c>
      <c r="E1037" s="1" t="n">
        <v>46268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23072-2025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45790</v>
      </c>
      <c r="E1038" s="1" t="n">
        <v>46268</v>
      </c>
      <c r="F1038" t="inlineStr">
        <is>
          <t>GÄVLEBORGS LÄN</t>
        </is>
      </c>
      <c r="G1038" t="inlineStr">
        <is>
          <t>NORDANSTIG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23119-2025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46268</v>
      </c>
      <c r="F1039" t="inlineStr">
        <is>
          <t>GÄVLEBORGS LÄN</t>
        </is>
      </c>
      <c r="G1039" t="inlineStr">
        <is>
          <t>NORDANSTIG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23154-2025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46268</v>
      </c>
      <c r="F1040" t="inlineStr">
        <is>
          <t>GÄVLEBORGS LÄN</t>
        </is>
      </c>
      <c r="G1040" t="inlineStr">
        <is>
          <t>NORDANSTIG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23122-2025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45791</v>
      </c>
      <c r="E1041" s="1" t="n">
        <v>46268</v>
      </c>
      <c r="F1041" t="inlineStr">
        <is>
          <t>GÄVLEBORGS LÄN</t>
        </is>
      </c>
      <c r="G1041" t="inlineStr">
        <is>
          <t>NORDANSTIG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16616-2025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45754</v>
      </c>
      <c r="E1042" s="1" t="n">
        <v>46268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20137-2023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45055</v>
      </c>
      <c r="E1043" s="1" t="n">
        <v>46268</v>
      </c>
      <c r="F1043" t="inlineStr">
        <is>
          <t>GÄVLEBORGS LÄN</t>
        </is>
      </c>
      <c r="G1043" t="inlineStr">
        <is>
          <t>NORDANSTIG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23791-2025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45793</v>
      </c>
      <c r="E1044" s="1" t="n">
        <v>46268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54803-2023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45236</v>
      </c>
      <c r="E1045" s="1" t="n">
        <v>46268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23623-2025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45792</v>
      </c>
      <c r="E1046" s="1" t="n">
        <v>46268</v>
      </c>
      <c r="F1046" t="inlineStr">
        <is>
          <t>GÄVLEBORGS LÄN</t>
        </is>
      </c>
      <c r="G1046" t="inlineStr">
        <is>
          <t>NORDANSTIG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23788-2025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45793</v>
      </c>
      <c r="E1047" s="1" t="n">
        <v>46268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23993-2025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45796</v>
      </c>
      <c r="E1048" s="1" t="n">
        <v>46268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45312-2023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45191</v>
      </c>
      <c r="E1049" s="1" t="n">
        <v>46268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24101-2025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45796</v>
      </c>
      <c r="E1050" s="1" t="n">
        <v>46268</v>
      </c>
      <c r="F1050" t="inlineStr">
        <is>
          <t>GÄVLEBORGS LÄN</t>
        </is>
      </c>
      <c r="G1050" t="inlineStr">
        <is>
          <t>NORDANSTIG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43523-2024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45569</v>
      </c>
      <c r="E1051" s="1" t="n">
        <v>46268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25068-2025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45799</v>
      </c>
      <c r="E1052" s="1" t="n">
        <v>46268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16.7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25723-2024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45463</v>
      </c>
      <c r="E1053" s="1" t="n">
        <v>46268</v>
      </c>
      <c r="F1053" t="inlineStr">
        <is>
          <t>GÄVLEBORGS LÄN</t>
        </is>
      </c>
      <c r="G1053" t="inlineStr">
        <is>
          <t>NORDANSTIG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46268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46268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46268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46268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46268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46268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46268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46268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46268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46268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46268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46268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46268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46268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46268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46268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46268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46268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46268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2026-09-03T02:03:35Z</dcterms:created>
  <dcterms:modified xmlns:dcterms="http://purl.org/dc/terms/" xmlns:xsi="http://www.w3.org/2001/XMLSchema-instance" xsi:type="dcterms:W3CDTF">2026-09-03T02:03:37Z</dcterms:modified>
</cp:coreProperties>
</file>