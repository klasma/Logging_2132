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8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57296-2025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45979</v>
      </c>
      <c r="E2" s="1" t="n">
        <v>46309</v>
      </c>
      <c r="F2" t="inlineStr">
        <is>
          <t>GÄVLEBORGS LÄN</t>
        </is>
      </c>
      <c r="G2" t="inlineStr">
        <is>
          <t>NORDANSTIG</t>
        </is>
      </c>
      <c r="I2" t="n">
        <v>5.4</v>
      </c>
      <c r="J2" t="n">
        <v>8</v>
      </c>
      <c r="K2" t="n">
        <v>3</v>
      </c>
      <c r="L2" t="n">
        <v>7</v>
      </c>
      <c r="M2" t="n">
        <v>3</v>
      </c>
      <c r="N2" t="n">
        <v>0</v>
      </c>
      <c r="O2" t="n">
        <v>0</v>
      </c>
      <c r="P2" t="n">
        <v>0</v>
      </c>
      <c r="Q2" t="n">
        <v>10</v>
      </c>
      <c r="R2" t="n">
        <v>3</v>
      </c>
      <c r="S2" t="n">
        <v>17</v>
      </c>
      <c r="T2" t="n">
        <v>34</v>
      </c>
      <c r="U2" t="n">
        <v>34</v>
      </c>
      <c r="V2" s="2" t="inlineStr">
        <is>
          <t>Garnlav
Knärot
Raggbock
Enkelbeckasin
Lunglav
Skogshare
Sparvuggla
Tallticka
Talltita
Tretåig hackspett
Bårdlav
Norrlandslav
Vedticka
Spillkråka
Timmerticka
Tjäder
Orre</t>
        </is>
      </c>
      <c r="W2">
        <f>HYPERLINK("https://klasma.github.io/Logging_2132/artfynd/A 57296-2025 artfynd.xlsx", "A 57296-2025")</f>
        <v/>
      </c>
      <c r="X2">
        <f>HYPERLINK("https://klasma.github.io/Logging_2132/kartor/A 57296-2025 karta.png", "A 57296-2025")</f>
        <v/>
      </c>
      <c r="Y2">
        <f>HYPERLINK("https://klasma.github.io/Logging_2132/kartor_geotiff/A 57296-2025 georefererad karta.tif", "A 57296-2025")</f>
        <v/>
      </c>
      <c r="Z2">
        <f>HYPERLINK("https://klasma.github.io/Logging_2132/knärot/A 57296-2025 karta knärot.png", "A 57296-2025")</f>
        <v/>
      </c>
      <c r="AA2">
        <f>HYPERLINK("https://klasma.github.io/Logging_2132/klagomål/A 57296-2025 FSC-klagomål.docx", "A 57296-2025")</f>
        <v/>
      </c>
      <c r="AB2">
        <f>HYPERLINK("https://klasma.github.io/Logging_2132/klagomålsmail/A 57296-2025 FSC-klagomål mail.docx", "A 57296-2025")</f>
        <v/>
      </c>
      <c r="AC2">
        <f>HYPERLINK("https://klasma.github.io/Logging_2132/tillsyn/A 57296-2025 tillsynsbegäran.docx", "A 57296-2025")</f>
        <v/>
      </c>
      <c r="AD2">
        <f>HYPERLINK("https://klasma.github.io/Logging_2132/tillsynsmail/A 57296-2025 tillsynsbegäran mail.docx", "A 57296-2025")</f>
        <v/>
      </c>
      <c r="AE2">
        <f>HYPERLINK("https://klasma.github.io/Logging_2132/fåglar/A 57296-2025 prioriterade fågelarter.docx", "A 57296-2025")</f>
        <v/>
      </c>
    </row>
    <row r="3" ht="15" customHeight="1">
      <c r="A3" t="inlineStr">
        <is>
          <t>A 568-2025</t>
        </is>
      </c>
      <c r="B3" t="inlineStr">
        <is>
          <t>avverkningsanmälan</t>
        </is>
      </c>
      <c r="C3" t="inlineStr">
        <is>
          <t>Avverkning för att bevara och utveckla /försöksver</t>
        </is>
      </c>
      <c r="D3" s="1" t="n">
        <v>45664</v>
      </c>
      <c r="E3" s="1" t="n">
        <v>46309</v>
      </c>
      <c r="F3" t="inlineStr">
        <is>
          <t>GÄVLEBORGS LÄN</t>
        </is>
      </c>
      <c r="G3" t="inlineStr">
        <is>
          <t>NORDANSTIG</t>
        </is>
      </c>
      <c r="H3" t="inlineStr">
        <is>
          <t>Holmen skog AB</t>
        </is>
      </c>
      <c r="I3" t="n">
        <v>13.3</v>
      </c>
      <c r="J3" t="n">
        <v>1</v>
      </c>
      <c r="K3" t="n">
        <v>4</v>
      </c>
      <c r="L3" t="n">
        <v>10</v>
      </c>
      <c r="M3" t="n">
        <v>2</v>
      </c>
      <c r="N3" t="n">
        <v>0</v>
      </c>
      <c r="O3" t="n">
        <v>0</v>
      </c>
      <c r="P3" t="n">
        <v>0</v>
      </c>
      <c r="Q3" t="n">
        <v>12</v>
      </c>
      <c r="R3" t="n">
        <v>2</v>
      </c>
      <c r="S3" t="n">
        <v>16</v>
      </c>
      <c r="T3" t="n">
        <v>47</v>
      </c>
      <c r="U3" t="n">
        <v>0</v>
      </c>
      <c r="V3" s="2" t="inlineStr">
        <is>
          <t>Garnlav
Knärot
Blanksvart spiklav
Doftskinn
Dvärgbägarlav
Grönhjon
Kattfotslav
Lunglav
Tallticka
Ullticka
Vedskivlav
Violettgrå tagellav
Bronshjon
Skinnlav
Vedticka
Vågbandad barkbock</t>
        </is>
      </c>
      <c r="W3">
        <f>HYPERLINK("https://klasma.github.io/Logging_2132/artfynd/A 568-2025 artfynd.xlsx", "A 568-2025")</f>
        <v/>
      </c>
      <c r="X3">
        <f>HYPERLINK("https://klasma.github.io/Logging_2132/kartor/A 568-2025 karta.png", "A 568-2025")</f>
        <v/>
      </c>
      <c r="Y3">
        <f>HYPERLINK("https://klasma.github.io/Logging_2132/kartor_geotiff/A 568-2025 georefererad karta.tif", "A 568-2025")</f>
        <v/>
      </c>
      <c r="Z3">
        <f>HYPERLINK("https://klasma.github.io/Logging_2132/knärot/A 568-2025 karta knärot.png", "A 568-2025")</f>
        <v/>
      </c>
      <c r="AA3">
        <f>HYPERLINK("https://klasma.github.io/Logging_2132/klagomål/A 568-2025 FSC-klagomål.docx", "A 568-2025")</f>
        <v/>
      </c>
      <c r="AB3">
        <f>HYPERLINK("https://klasma.github.io/Logging_2132/klagomålsmail/A 568-2025 FSC-klagomål mail.docx", "A 568-2025")</f>
        <v/>
      </c>
      <c r="AC3">
        <f>HYPERLINK("https://klasma.github.io/Logging_2132/tillsyn/A 568-2025 tillsynsbegäran.docx", "A 568-2025")</f>
        <v/>
      </c>
      <c r="AD3">
        <f>HYPERLINK("https://klasma.github.io/Logging_2132/tillsynsmail/A 568-2025 tillsynsbegäran mail.docx", "A 568-2025")</f>
        <v/>
      </c>
    </row>
    <row r="4" ht="15" customHeight="1">
      <c r="A4" t="inlineStr">
        <is>
          <t>A 13026-2022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44643</v>
      </c>
      <c r="E4" s="1" t="n">
        <v>46309</v>
      </c>
      <c r="F4" t="inlineStr">
        <is>
          <t>GÄVLEBORGS LÄN</t>
        </is>
      </c>
      <c r="G4" t="inlineStr">
        <is>
          <t>NORDANSTIG</t>
        </is>
      </c>
      <c r="I4" t="n">
        <v>17.3</v>
      </c>
      <c r="J4" t="n">
        <v>6</v>
      </c>
      <c r="K4" t="n">
        <v>1</v>
      </c>
      <c r="L4" t="n">
        <v>5</v>
      </c>
      <c r="M4" t="n">
        <v>2</v>
      </c>
      <c r="N4" t="n">
        <v>0</v>
      </c>
      <c r="O4" t="n">
        <v>0</v>
      </c>
      <c r="P4" t="n">
        <v>0</v>
      </c>
      <c r="Q4" t="n">
        <v>7</v>
      </c>
      <c r="R4" t="n">
        <v>2</v>
      </c>
      <c r="S4" t="n">
        <v>13</v>
      </c>
      <c r="T4" t="n">
        <v>26</v>
      </c>
      <c r="U4" t="n">
        <v>26</v>
      </c>
      <c r="V4" s="2" t="inlineStr">
        <is>
          <t>Garnlav
Ringlav
Kolflarnlav
Lunglav
Reliktbock
Talltita
Veckticka
Vedticka
Gråspett
Spillkråka
Tjäder
Grönsiska
Orre</t>
        </is>
      </c>
      <c r="W4">
        <f>HYPERLINK("https://klasma.github.io/Logging_2132/artfynd/A 13026-2022 artfynd.xlsx", "A 13026-2022")</f>
        <v/>
      </c>
      <c r="X4">
        <f>HYPERLINK("https://klasma.github.io/Logging_2132/kartor/A 13026-2022 karta.png", "A 13026-2022")</f>
        <v/>
      </c>
      <c r="Y4">
        <f>HYPERLINK("https://klasma.github.io/Logging_2132/kartor_geotiff/A 13026-2022 georefererad karta.tif", "A 13026-2022")</f>
        <v/>
      </c>
      <c r="AA4">
        <f>HYPERLINK("https://klasma.github.io/Logging_2132/klagomål/A 13026-2022 FSC-klagomål.docx", "A 13026-2022")</f>
        <v/>
      </c>
      <c r="AB4">
        <f>HYPERLINK("https://klasma.github.io/Logging_2132/klagomålsmail/A 13026-2022 FSC-klagomål mail.docx", "A 13026-2022")</f>
        <v/>
      </c>
      <c r="AC4">
        <f>HYPERLINK("https://klasma.github.io/Logging_2132/tillsyn/A 13026-2022 tillsynsbegäran.docx", "A 13026-2022")</f>
        <v/>
      </c>
      <c r="AD4">
        <f>HYPERLINK("https://klasma.github.io/Logging_2132/tillsynsmail/A 13026-2022 tillsynsbegäran mail.docx", "A 13026-2022")</f>
        <v/>
      </c>
      <c r="AE4">
        <f>HYPERLINK("https://klasma.github.io/Logging_2132/fåglar/A 13026-2022 prioriterade fågelarter.docx", "A 13026-2022")</f>
        <v/>
      </c>
    </row>
    <row r="5" ht="15" customHeight="1">
      <c r="A5" t="inlineStr">
        <is>
          <t>S 3985-2023</t>
        </is>
      </c>
      <c r="B5" t="inlineStr">
        <is>
          <t>samrådsanmälan</t>
        </is>
      </c>
      <c r="C5" t="inlineStr">
        <is>
          <t>Skogsgödsling</t>
        </is>
      </c>
      <c r="D5" s="1" t="n">
        <v>45238</v>
      </c>
      <c r="E5" s="1" t="n">
        <v>46309</v>
      </c>
      <c r="F5" t="inlineStr">
        <is>
          <t>GÄVLEBORGS LÄN</t>
        </is>
      </c>
      <c r="G5" t="inlineStr">
        <is>
          <t>NORDANSTIG</t>
        </is>
      </c>
      <c r="H5" t="inlineStr">
        <is>
          <t>Holmen skog AB</t>
        </is>
      </c>
      <c r="I5" t="n">
        <v>129.9</v>
      </c>
      <c r="J5" t="n">
        <v>7</v>
      </c>
      <c r="K5" t="n">
        <v>5</v>
      </c>
      <c r="L5" t="n">
        <v>2</v>
      </c>
      <c r="M5" t="n">
        <v>1</v>
      </c>
      <c r="N5" t="n">
        <v>0</v>
      </c>
      <c r="O5" t="n">
        <v>0</v>
      </c>
      <c r="P5" t="n">
        <v>0</v>
      </c>
      <c r="Q5" t="n">
        <v>3</v>
      </c>
      <c r="R5" t="n">
        <v>1</v>
      </c>
      <c r="S5" t="n">
        <v>12</v>
      </c>
      <c r="T5" t="n">
        <v>12</v>
      </c>
      <c r="U5" t="n">
        <v>12</v>
      </c>
      <c r="V5" s="2" t="inlineStr">
        <is>
          <t>Bredgentiana
Brunklöver
Vårärt
Korallrot
Kransrams
Svart trolldruva
Tibast
Tvåblad
Blåsippa
Brudsporre
Fläcknycklar
Lopplummer (aggregat)</t>
        </is>
      </c>
      <c r="W5">
        <f>HYPERLINK("https://klasma.github.io/Logging_2132/artfynd/S 3985-2023 artfynd.xlsx", "S 3985-2023")</f>
        <v/>
      </c>
      <c r="X5">
        <f>HYPERLINK("https://klasma.github.io/Logging_2132/kartor/S 3985-2023 karta.png", "S 3985-2023")</f>
        <v/>
      </c>
      <c r="Y5">
        <f>HYPERLINK("https://klasma.github.io/Logging_2132/kartor_geotiff/S 3985-2023 georefererad karta.tif", "S 3985-2023")</f>
        <v/>
      </c>
      <c r="AA5">
        <f>HYPERLINK("https://klasma.github.io/Logging_2132/klagomål/S 3985-2023 FSC-klagomål.docx", "S 3985-2023")</f>
        <v/>
      </c>
      <c r="AB5">
        <f>HYPERLINK("https://klasma.github.io/Logging_2132/klagomålsmail/S 3985-2023 FSC-klagomål mail.docx", "S 3985-2023")</f>
        <v/>
      </c>
      <c r="AC5">
        <f>HYPERLINK("https://klasma.github.io/Logging_2132/tillsyn/S 3985-2023 tillsynsbegäran.docx", "S 3985-2023")</f>
        <v/>
      </c>
      <c r="AD5">
        <f>HYPERLINK("https://klasma.github.io/Logging_2132/tillsynsmail/S 3985-2023 tillsynsbegäran mail.docx", "S 3985-2023")</f>
        <v/>
      </c>
    </row>
    <row r="6" ht="15" customHeight="1">
      <c r="A6" t="inlineStr">
        <is>
          <t>A 57253-2023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45245</v>
      </c>
      <c r="E6" s="1" t="n">
        <v>46309</v>
      </c>
      <c r="F6" t="inlineStr">
        <is>
          <t>GÄVLEBORGS LÄN</t>
        </is>
      </c>
      <c r="G6" t="inlineStr">
        <is>
          <t>NORDANSTIG</t>
        </is>
      </c>
      <c r="H6" t="inlineStr">
        <is>
          <t>Holmen skog AB</t>
        </is>
      </c>
      <c r="I6" t="n">
        <v>16</v>
      </c>
      <c r="J6" t="n">
        <v>2</v>
      </c>
      <c r="K6" t="n">
        <v>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</v>
      </c>
      <c r="T6" t="n">
        <v>14</v>
      </c>
      <c r="U6" t="n">
        <v>14</v>
      </c>
      <c r="V6" s="2" t="inlineStr">
        <is>
          <t>Björksplintborre
Korallrot
Kransrams
Källpraktmossa
Mörk husmossa
Svart trolldruva
Ögonpyrola
Blåsippa
Kransmossa
Ormbär
Torta</t>
        </is>
      </c>
      <c r="W6">
        <f>HYPERLINK("https://klasma.github.io/Logging_2132/artfynd/A 57253-2023 artfynd.xlsx", "A 57253-2023")</f>
        <v/>
      </c>
      <c r="X6">
        <f>HYPERLINK("https://klasma.github.io/Logging_2132/kartor/A 57253-2023 karta.png", "A 57253-2023")</f>
        <v/>
      </c>
      <c r="Y6">
        <f>HYPERLINK("https://klasma.github.io/Logging_2132/kartor_geotiff/A 57253-2023 georefererad karta.tif", "A 57253-2023")</f>
        <v/>
      </c>
      <c r="AA6">
        <f>HYPERLINK("https://klasma.github.io/Logging_2132/klagomål/A 57253-2023 FSC-klagomål.docx", "A 57253-2023")</f>
        <v/>
      </c>
      <c r="AB6">
        <f>HYPERLINK("https://klasma.github.io/Logging_2132/klagomålsmail/A 57253-2023 FSC-klagomål mail.docx", "A 57253-2023")</f>
        <v/>
      </c>
      <c r="AC6">
        <f>HYPERLINK("https://klasma.github.io/Logging_2132/tillsyn/A 57253-2023 tillsynsbegäran.docx", "A 57253-2023")</f>
        <v/>
      </c>
      <c r="AD6">
        <f>HYPERLINK("https://klasma.github.io/Logging_2132/tillsynsmail/A 57253-2023 tillsynsbegäran mail.docx", "A 57253-2023")</f>
        <v/>
      </c>
    </row>
    <row r="7" ht="15" customHeight="1">
      <c r="A7" t="inlineStr">
        <is>
          <t>A 57970-2022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44900</v>
      </c>
      <c r="E7" s="1" t="n">
        <v>46309</v>
      </c>
      <c r="F7" t="inlineStr">
        <is>
          <t>GÄVLEBORGS LÄN</t>
        </is>
      </c>
      <c r="G7" t="inlineStr">
        <is>
          <t>NORDANSTIG</t>
        </is>
      </c>
      <c r="I7" t="n">
        <v>5</v>
      </c>
      <c r="J7" t="n">
        <v>0</v>
      </c>
      <c r="K7" t="n">
        <v>5</v>
      </c>
      <c r="L7" t="n">
        <v>3</v>
      </c>
      <c r="M7" t="n">
        <v>0</v>
      </c>
      <c r="N7" t="n">
        <v>0</v>
      </c>
      <c r="O7" t="n">
        <v>0</v>
      </c>
      <c r="P7" t="n">
        <v>0</v>
      </c>
      <c r="Q7" t="n">
        <v>3</v>
      </c>
      <c r="R7" t="n">
        <v>0</v>
      </c>
      <c r="S7" t="n">
        <v>10</v>
      </c>
      <c r="T7" t="n">
        <v>17</v>
      </c>
      <c r="U7" t="n">
        <v>17</v>
      </c>
      <c r="V7" s="2" t="inlineStr">
        <is>
          <t>Gammelgransskål
Lunglav
Rosenticka
Korallblylav
Luddlav
Mörk husmossa
Svavelriska
Ögonpyrola
Kärrfibbla
Torta</t>
        </is>
      </c>
      <c r="W7">
        <f>HYPERLINK("https://klasma.github.io/Logging_2132/artfynd/A 57970-2022 artfynd.xlsx", "A 57970-2022")</f>
        <v/>
      </c>
      <c r="X7">
        <f>HYPERLINK("https://klasma.github.io/Logging_2132/kartor/A 57970-2022 karta.png", "A 57970-2022")</f>
        <v/>
      </c>
      <c r="Y7">
        <f>HYPERLINK("https://klasma.github.io/Logging_2132/kartor_geotiff/A 57970-2022 georefererad karta.tif", "A 57970-2022")</f>
        <v/>
      </c>
      <c r="AA7">
        <f>HYPERLINK("https://klasma.github.io/Logging_2132/klagomål/A 57970-2022 FSC-klagomål.docx", "A 57970-2022")</f>
        <v/>
      </c>
      <c r="AB7">
        <f>HYPERLINK("https://klasma.github.io/Logging_2132/klagomålsmail/A 57970-2022 FSC-klagomål mail.docx", "A 57970-2022")</f>
        <v/>
      </c>
      <c r="AC7">
        <f>HYPERLINK("https://klasma.github.io/Logging_2132/tillsyn/A 57970-2022 tillsynsbegäran.docx", "A 57970-2022")</f>
        <v/>
      </c>
      <c r="AD7">
        <f>HYPERLINK("https://klasma.github.io/Logging_2132/tillsynsmail/A 57970-2022 tillsynsbegäran mail.docx", "A 57970-2022")</f>
        <v/>
      </c>
    </row>
    <row r="8" ht="15" customHeight="1">
      <c r="A8" t="inlineStr">
        <is>
          <t>A 53665-2025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45960</v>
      </c>
      <c r="E8" s="1" t="n">
        <v>46309</v>
      </c>
      <c r="F8" t="inlineStr">
        <is>
          <t>GÄVLEBORGS LÄN</t>
        </is>
      </c>
      <c r="G8" t="inlineStr">
        <is>
          <t>NORDANSTIG</t>
        </is>
      </c>
      <c r="H8" t="inlineStr">
        <is>
          <t>Holmen skog AB</t>
        </is>
      </c>
      <c r="I8" t="n">
        <v>0.8</v>
      </c>
      <c r="J8" t="n">
        <v>3</v>
      </c>
      <c r="K8" t="n">
        <v>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</v>
      </c>
      <c r="T8" t="n">
        <v>9</v>
      </c>
      <c r="U8" t="n">
        <v>9</v>
      </c>
      <c r="V8" s="2" t="inlineStr">
        <is>
          <t>Korallrot
Kransrams
Källpraktmossa
Skogshakmossa
Svart trolldruva
Tvåblad
Blåsippa
Fjällskråp
Kransmossa</t>
        </is>
      </c>
      <c r="W8">
        <f>HYPERLINK("https://klasma.github.io/Logging_2132/artfynd/A 53665-2025 artfynd.xlsx", "A 53665-2025")</f>
        <v/>
      </c>
      <c r="X8">
        <f>HYPERLINK("https://klasma.github.io/Logging_2132/kartor/A 53665-2025 karta.png", "A 53665-2025")</f>
        <v/>
      </c>
      <c r="Y8">
        <f>HYPERLINK("https://klasma.github.io/Logging_2132/kartor_geotiff/A 53665-2025 georefererad karta.tif", "A 53665-2025")</f>
        <v/>
      </c>
      <c r="AA8">
        <f>HYPERLINK("https://klasma.github.io/Logging_2132/klagomål/A 53665-2025 FSC-klagomål.docx", "A 53665-2025")</f>
        <v/>
      </c>
      <c r="AB8">
        <f>HYPERLINK("https://klasma.github.io/Logging_2132/klagomålsmail/A 53665-2025 FSC-klagomål mail.docx", "A 53665-2025")</f>
        <v/>
      </c>
      <c r="AC8">
        <f>HYPERLINK("https://klasma.github.io/Logging_2132/tillsyn/A 53665-2025 tillsynsbegäran.docx", "A 53665-2025")</f>
        <v/>
      </c>
      <c r="AD8">
        <f>HYPERLINK("https://klasma.github.io/Logging_2132/tillsynsmail/A 53665-2025 tillsynsbegäran mail.docx", "A 53665-2025")</f>
        <v/>
      </c>
    </row>
    <row r="9" ht="15" customHeight="1">
      <c r="A9" t="inlineStr">
        <is>
          <t>A 63804-2025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46019</v>
      </c>
      <c r="E9" s="1" t="n">
        <v>46309</v>
      </c>
      <c r="F9" t="inlineStr">
        <is>
          <t>GÄVLEBORGS LÄN</t>
        </is>
      </c>
      <c r="G9" t="inlineStr">
        <is>
          <t>NORDANSTIG</t>
        </is>
      </c>
      <c r="I9" t="n">
        <v>31.4</v>
      </c>
      <c r="J9" t="n">
        <v>4</v>
      </c>
      <c r="K9" t="n">
        <v>0</v>
      </c>
      <c r="L9" t="n">
        <v>3</v>
      </c>
      <c r="M9" t="n">
        <v>0</v>
      </c>
      <c r="N9" t="n">
        <v>0</v>
      </c>
      <c r="O9" t="n">
        <v>0</v>
      </c>
      <c r="P9" t="n">
        <v>0</v>
      </c>
      <c r="Q9" t="n">
        <v>3</v>
      </c>
      <c r="R9" t="n">
        <v>0</v>
      </c>
      <c r="S9" t="n">
        <v>6</v>
      </c>
      <c r="T9" t="n">
        <v>6</v>
      </c>
      <c r="U9" t="n">
        <v>0</v>
      </c>
      <c r="V9" s="2" t="inlineStr">
        <is>
          <t>Tallkötticka
Talltita
Älg
Spillkråka
Kråka
Kungsfågel</t>
        </is>
      </c>
      <c r="W9">
        <f>HYPERLINK("https://klasma.github.io/Logging_2132/artfynd/A 63804-2025 artfynd.xlsx", "A 63804-2025")</f>
        <v/>
      </c>
      <c r="X9">
        <f>HYPERLINK("https://klasma.github.io/Logging_2132/kartor/A 63804-2025 karta.png", "A 63804-2025")</f>
        <v/>
      </c>
      <c r="Y9">
        <f>HYPERLINK("https://klasma.github.io/Logging_2132/kartor_geotiff/A 63804-2025 georefererad karta.tif", "A 63804-2025")</f>
        <v/>
      </c>
      <c r="AA9">
        <f>HYPERLINK("https://klasma.github.io/Logging_2132/klagomål/A 63804-2025 FSC-klagomål.docx", "A 63804-2025")</f>
        <v/>
      </c>
      <c r="AB9">
        <f>HYPERLINK("https://klasma.github.io/Logging_2132/klagomålsmail/A 63804-2025 FSC-klagomål mail.docx", "A 63804-2025")</f>
        <v/>
      </c>
      <c r="AC9">
        <f>HYPERLINK("https://klasma.github.io/Logging_2132/tillsyn/A 63804-2025 tillsynsbegäran.docx", "A 63804-2025")</f>
        <v/>
      </c>
      <c r="AD9">
        <f>HYPERLINK("https://klasma.github.io/Logging_2132/tillsynsmail/A 63804-2025 tillsynsbegäran mail.docx", "A 63804-2025")</f>
        <v/>
      </c>
      <c r="AE9">
        <f>HYPERLINK("https://klasma.github.io/Logging_2132/fåglar/A 63804-2025 prioriterade fågelarter.docx", "A 63804-2025")</f>
        <v/>
      </c>
    </row>
    <row r="10" ht="15" customHeight="1">
      <c r="A10" t="inlineStr">
        <is>
          <t>A 31224-2022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44771</v>
      </c>
      <c r="E10" s="1" t="n">
        <v>46309</v>
      </c>
      <c r="F10" t="inlineStr">
        <is>
          <t>GÄVLEBORGS LÄN</t>
        </is>
      </c>
      <c r="G10" t="inlineStr">
        <is>
          <t>NORDANSTIG</t>
        </is>
      </c>
      <c r="I10" t="n">
        <v>1.2</v>
      </c>
      <c r="J10" t="n">
        <v>1</v>
      </c>
      <c r="K10" t="n">
        <v>0</v>
      </c>
      <c r="L10" t="n">
        <v>3</v>
      </c>
      <c r="M10" t="n">
        <v>2</v>
      </c>
      <c r="N10" t="n">
        <v>1</v>
      </c>
      <c r="O10" t="n">
        <v>0</v>
      </c>
      <c r="P10" t="n">
        <v>0</v>
      </c>
      <c r="Q10" t="n">
        <v>6</v>
      </c>
      <c r="R10" t="n">
        <v>3</v>
      </c>
      <c r="S10" t="n">
        <v>6</v>
      </c>
      <c r="T10" t="n">
        <v>13</v>
      </c>
      <c r="U10" t="n">
        <v>4</v>
      </c>
      <c r="V10" s="2" t="inlineStr">
        <is>
          <t>Bitter taggsvamp
Knärot
Lammticka
Orange taggsvamp
Tallfingersvamp
Talltaggsvamp</t>
        </is>
      </c>
      <c r="W10">
        <f>HYPERLINK("https://klasma.github.io/Logging_2132/artfynd/A 31224-2022 artfynd.xlsx", "A 31224-2022")</f>
        <v/>
      </c>
      <c r="X10">
        <f>HYPERLINK("https://klasma.github.io/Logging_2132/kartor/A 31224-2022 karta.png", "A 31224-2022")</f>
        <v/>
      </c>
      <c r="Y10">
        <f>HYPERLINK("https://klasma.github.io/Logging_2132/kartor_geotiff/A 31224-2022 georefererad karta.tif", "A 31224-2022")</f>
        <v/>
      </c>
      <c r="Z10">
        <f>HYPERLINK("https://klasma.github.io/Logging_2132/knärot/A 31224-2022 karta knärot.png", "A 31224-2022")</f>
        <v/>
      </c>
      <c r="AA10">
        <f>HYPERLINK("https://klasma.github.io/Logging_2132/klagomål/A 31224-2022 FSC-klagomål.docx", "A 31224-2022")</f>
        <v/>
      </c>
      <c r="AB10">
        <f>HYPERLINK("https://klasma.github.io/Logging_2132/klagomålsmail/A 31224-2022 FSC-klagomål mail.docx", "A 31224-2022")</f>
        <v/>
      </c>
      <c r="AC10">
        <f>HYPERLINK("https://klasma.github.io/Logging_2132/tillsyn/A 31224-2022 tillsynsbegäran.docx", "A 31224-2022")</f>
        <v/>
      </c>
      <c r="AD10">
        <f>HYPERLINK("https://klasma.github.io/Logging_2132/tillsynsmail/A 31224-2022 tillsynsbegäran mail.docx", "A 31224-2022")</f>
        <v/>
      </c>
    </row>
    <row r="11" ht="15" customHeight="1">
      <c r="A11" t="inlineStr">
        <is>
          <t>A 28822-2024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45478</v>
      </c>
      <c r="E11" s="1" t="n">
        <v>46309</v>
      </c>
      <c r="F11" t="inlineStr">
        <is>
          <t>GÄVLEBORGS LÄN</t>
        </is>
      </c>
      <c r="G11" t="inlineStr">
        <is>
          <t>NORDANSTIG</t>
        </is>
      </c>
      <c r="I11" t="n">
        <v>7</v>
      </c>
      <c r="J11" t="n">
        <v>0</v>
      </c>
      <c r="K11" t="n">
        <v>2</v>
      </c>
      <c r="L11" t="n">
        <v>2</v>
      </c>
      <c r="M11" t="n">
        <v>2</v>
      </c>
      <c r="N11" t="n">
        <v>0</v>
      </c>
      <c r="O11" t="n">
        <v>0</v>
      </c>
      <c r="P11" t="n">
        <v>0</v>
      </c>
      <c r="Q11" t="n">
        <v>4</v>
      </c>
      <c r="R11" t="n">
        <v>2</v>
      </c>
      <c r="S11" t="n">
        <v>6</v>
      </c>
      <c r="T11" t="n">
        <v>15</v>
      </c>
      <c r="U11" t="n">
        <v>15</v>
      </c>
      <c r="V11" s="2" t="inlineStr">
        <is>
          <t>Aspgelélav
Garnlav
Ullticka
Vedskivlav
Korallblylav
Skinnlav</t>
        </is>
      </c>
      <c r="W11">
        <f>HYPERLINK("https://klasma.github.io/Logging_2132/artfynd/A 28822-2024 artfynd.xlsx", "A 28822-2024")</f>
        <v/>
      </c>
      <c r="X11">
        <f>HYPERLINK("https://klasma.github.io/Logging_2132/kartor/A 28822-2024 karta.png", "A 28822-2024")</f>
        <v/>
      </c>
      <c r="Y11">
        <f>HYPERLINK("https://klasma.github.io/Logging_2132/kartor_geotiff/A 28822-2024 georefererad karta.tif", "A 28822-2024")</f>
        <v/>
      </c>
      <c r="AA11">
        <f>HYPERLINK("https://klasma.github.io/Logging_2132/klagomål/A 28822-2024 FSC-klagomål.docx", "A 28822-2024")</f>
        <v/>
      </c>
      <c r="AB11">
        <f>HYPERLINK("https://klasma.github.io/Logging_2132/klagomålsmail/A 28822-2024 FSC-klagomål mail.docx", "A 28822-2024")</f>
        <v/>
      </c>
      <c r="AC11">
        <f>HYPERLINK("https://klasma.github.io/Logging_2132/tillsyn/A 28822-2024 tillsynsbegäran.docx", "A 28822-2024")</f>
        <v/>
      </c>
      <c r="AD11">
        <f>HYPERLINK("https://klasma.github.io/Logging_2132/tillsynsmail/A 28822-2024 tillsynsbegäran mail.docx", "A 28822-2024")</f>
        <v/>
      </c>
    </row>
    <row r="12" ht="15" customHeight="1">
      <c r="A12" t="inlineStr">
        <is>
          <t>A 382-2024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45296</v>
      </c>
      <c r="E12" s="1" t="n">
        <v>46309</v>
      </c>
      <c r="F12" t="inlineStr">
        <is>
          <t>GÄVLEBORGS LÄN</t>
        </is>
      </c>
      <c r="G12" t="inlineStr">
        <is>
          <t>NORDANSTIG</t>
        </is>
      </c>
      <c r="H12" t="inlineStr">
        <is>
          <t>Holmen skog AB</t>
        </is>
      </c>
      <c r="I12" t="n">
        <v>2.7</v>
      </c>
      <c r="J12" t="n">
        <v>0</v>
      </c>
      <c r="K12" t="n">
        <v>2</v>
      </c>
      <c r="L12" t="n">
        <v>3</v>
      </c>
      <c r="M12" t="n">
        <v>1</v>
      </c>
      <c r="N12" t="n">
        <v>0</v>
      </c>
      <c r="O12" t="n">
        <v>0</v>
      </c>
      <c r="P12" t="n">
        <v>0</v>
      </c>
      <c r="Q12" t="n">
        <v>4</v>
      </c>
      <c r="R12" t="n">
        <v>1</v>
      </c>
      <c r="S12" t="n">
        <v>6</v>
      </c>
      <c r="T12" t="n">
        <v>26</v>
      </c>
      <c r="U12" t="n">
        <v>26</v>
      </c>
      <c r="V12" s="2" t="inlineStr">
        <is>
          <t>Ringlav
Lunglav
Rosenticka
Violettgrå tagellav
Stuplav
Vedticka</t>
        </is>
      </c>
      <c r="W12">
        <f>HYPERLINK("https://klasma.github.io/Logging_2132/artfynd/A 382-2024 artfynd.xlsx", "A 382-2024")</f>
        <v/>
      </c>
      <c r="X12">
        <f>HYPERLINK("https://klasma.github.io/Logging_2132/kartor/A 382-2024 karta.png", "A 382-2024")</f>
        <v/>
      </c>
      <c r="Y12">
        <f>HYPERLINK("https://klasma.github.io/Logging_2132/kartor_geotiff/A 382-2024 georefererad karta.tif", "A 382-2024")</f>
        <v/>
      </c>
      <c r="AA12">
        <f>HYPERLINK("https://klasma.github.io/Logging_2132/klagomål/A 382-2024 FSC-klagomål.docx", "A 382-2024")</f>
        <v/>
      </c>
      <c r="AB12">
        <f>HYPERLINK("https://klasma.github.io/Logging_2132/klagomålsmail/A 382-2024 FSC-klagomål mail.docx", "A 382-2024")</f>
        <v/>
      </c>
      <c r="AC12">
        <f>HYPERLINK("https://klasma.github.io/Logging_2132/tillsyn/A 382-2024 tillsynsbegäran.docx", "A 382-2024")</f>
        <v/>
      </c>
      <c r="AD12">
        <f>HYPERLINK("https://klasma.github.io/Logging_2132/tillsynsmail/A 382-2024 tillsynsbegäran mail.docx", "A 382-2024")</f>
        <v/>
      </c>
    </row>
    <row r="13" ht="15" customHeight="1">
      <c r="A13" t="inlineStr">
        <is>
          <t>A 31054-2024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45502</v>
      </c>
      <c r="E13" s="1" t="n">
        <v>46309</v>
      </c>
      <c r="F13" t="inlineStr">
        <is>
          <t>GÄVLEBORGS LÄN</t>
        </is>
      </c>
      <c r="G13" t="inlineStr">
        <is>
          <t>NORDANSTIG</t>
        </is>
      </c>
      <c r="H13" t="inlineStr">
        <is>
          <t>Holmen skog AB</t>
        </is>
      </c>
      <c r="I13" t="n">
        <v>4.7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5</v>
      </c>
      <c r="T13" t="n">
        <v>5</v>
      </c>
      <c r="U13" t="n">
        <v>2</v>
      </c>
      <c r="V13" s="2" t="inlineStr">
        <is>
          <t>Rosenticka
Svartvit taggsvamp
Kamjordstjärna
Smal svampklubba
Stor aspticka</t>
        </is>
      </c>
      <c r="W13">
        <f>HYPERLINK("https://klasma.github.io/Logging_2132/artfynd/A 31054-2024 artfynd.xlsx", "A 31054-2024")</f>
        <v/>
      </c>
      <c r="X13">
        <f>HYPERLINK("https://klasma.github.io/Logging_2132/kartor/A 31054-2024 karta.png", "A 31054-2024")</f>
        <v/>
      </c>
      <c r="Y13">
        <f>HYPERLINK("https://klasma.github.io/Logging_2132/kartor_geotiff/A 31054-2024 georefererad karta.tif", "A 31054-2024")</f>
        <v/>
      </c>
      <c r="AA13">
        <f>HYPERLINK("https://klasma.github.io/Logging_2132/klagomål/A 31054-2024 FSC-klagomål.docx", "A 31054-2024")</f>
        <v/>
      </c>
      <c r="AB13">
        <f>HYPERLINK("https://klasma.github.io/Logging_2132/klagomålsmail/A 31054-2024 FSC-klagomål mail.docx", "A 31054-2024")</f>
        <v/>
      </c>
      <c r="AC13">
        <f>HYPERLINK("https://klasma.github.io/Logging_2132/tillsyn/A 31054-2024 tillsynsbegäran.docx", "A 31054-2024")</f>
        <v/>
      </c>
      <c r="AD13">
        <f>HYPERLINK("https://klasma.github.io/Logging_2132/tillsynsmail/A 31054-2024 tillsynsbegäran mail.docx", "A 31054-2024")</f>
        <v/>
      </c>
    </row>
    <row r="14" ht="15" customHeight="1">
      <c r="A14" t="inlineStr">
        <is>
          <t>A 44837-2024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45574</v>
      </c>
      <c r="E14" s="1" t="n">
        <v>46309</v>
      </c>
      <c r="F14" t="inlineStr">
        <is>
          <t>GÄVLEBORGS LÄN</t>
        </is>
      </c>
      <c r="G14" t="inlineStr">
        <is>
          <t>NORDANSTIG</t>
        </is>
      </c>
      <c r="H14" t="inlineStr">
        <is>
          <t>Holmen skog AB</t>
        </is>
      </c>
      <c r="I14" t="n">
        <v>1.6</v>
      </c>
      <c r="J14" t="n">
        <v>2</v>
      </c>
      <c r="K14" t="n">
        <v>1</v>
      </c>
      <c r="L14" t="n">
        <v>1</v>
      </c>
      <c r="M14" t="n">
        <v>2</v>
      </c>
      <c r="N14" t="n">
        <v>0</v>
      </c>
      <c r="O14" t="n">
        <v>0</v>
      </c>
      <c r="P14" t="n">
        <v>0</v>
      </c>
      <c r="Q14" t="n">
        <v>3</v>
      </c>
      <c r="R14" t="n">
        <v>2</v>
      </c>
      <c r="S14" t="n">
        <v>5</v>
      </c>
      <c r="T14" t="n">
        <v>6</v>
      </c>
      <c r="U14" t="n">
        <v>6</v>
      </c>
      <c r="V14" s="2" t="inlineStr">
        <is>
          <t>Garnlav
Knärot
Violettgrå tagellav
Luddlav
Blåsippa</t>
        </is>
      </c>
      <c r="W14">
        <f>HYPERLINK("https://klasma.github.io/Logging_2132/artfynd/A 44837-2024 artfynd.xlsx", "A 44837-2024")</f>
        <v/>
      </c>
      <c r="X14">
        <f>HYPERLINK("https://klasma.github.io/Logging_2132/kartor/A 44837-2024 karta.png", "A 44837-2024")</f>
        <v/>
      </c>
      <c r="Y14">
        <f>HYPERLINK("https://klasma.github.io/Logging_2132/kartor_geotiff/A 44837-2024 georefererad karta.tif", "A 44837-2024")</f>
        <v/>
      </c>
      <c r="Z14">
        <f>HYPERLINK("https://klasma.github.io/Logging_2132/knärot/A 44837-2024 karta knärot.png", "A 44837-2024")</f>
        <v/>
      </c>
      <c r="AA14">
        <f>HYPERLINK("https://klasma.github.io/Logging_2132/klagomål/A 44837-2024 FSC-klagomål.docx", "A 44837-2024")</f>
        <v/>
      </c>
      <c r="AB14">
        <f>HYPERLINK("https://klasma.github.io/Logging_2132/klagomålsmail/A 44837-2024 FSC-klagomål mail.docx", "A 44837-2024")</f>
        <v/>
      </c>
      <c r="AC14">
        <f>HYPERLINK("https://klasma.github.io/Logging_2132/tillsyn/A 44837-2024 tillsynsbegäran.docx", "A 44837-2024")</f>
        <v/>
      </c>
      <c r="AD14">
        <f>HYPERLINK("https://klasma.github.io/Logging_2132/tillsynsmail/A 44837-2024 tillsynsbegäran mail.docx", "A 44837-2024")</f>
        <v/>
      </c>
    </row>
    <row r="15" ht="15" customHeight="1">
      <c r="A15" t="inlineStr">
        <is>
          <t>A 44589-2022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44840</v>
      </c>
      <c r="E15" s="1" t="n">
        <v>46309</v>
      </c>
      <c r="F15" t="inlineStr">
        <is>
          <t>GÄVLEBORGS LÄN</t>
        </is>
      </c>
      <c r="G15" t="inlineStr">
        <is>
          <t>NORDANSTIG</t>
        </is>
      </c>
      <c r="H15" t="inlineStr">
        <is>
          <t>Holmen skog AB</t>
        </is>
      </c>
      <c r="I15" t="n">
        <v>8.199999999999999</v>
      </c>
      <c r="J15" t="n">
        <v>0</v>
      </c>
      <c r="K15" t="n">
        <v>1</v>
      </c>
      <c r="L15" t="n">
        <v>3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4</v>
      </c>
      <c r="T15" t="n">
        <v>4</v>
      </c>
      <c r="U15" t="n">
        <v>4</v>
      </c>
      <c r="V15" s="2" t="inlineStr">
        <is>
          <t>Gammelgransskål
Vedtrappmossa
Vitgrynig nållav
Bollvitmossa</t>
        </is>
      </c>
      <c r="W15">
        <f>HYPERLINK("https://klasma.github.io/Logging_2132/artfynd/A 44589-2022 artfynd.xlsx", "A 44589-2022")</f>
        <v/>
      </c>
      <c r="X15">
        <f>HYPERLINK("https://klasma.github.io/Logging_2132/kartor/A 44589-2022 karta.png", "A 44589-2022")</f>
        <v/>
      </c>
      <c r="Y15">
        <f>HYPERLINK("https://klasma.github.io/Logging_2132/kartor_geotiff/A 44589-2022 georefererad karta.tif", "A 44589-2022")</f>
        <v/>
      </c>
      <c r="AA15">
        <f>HYPERLINK("https://klasma.github.io/Logging_2132/klagomål/A 44589-2022 FSC-klagomål.docx", "A 44589-2022")</f>
        <v/>
      </c>
      <c r="AB15">
        <f>HYPERLINK("https://klasma.github.io/Logging_2132/klagomålsmail/A 44589-2022 FSC-klagomål mail.docx", "A 44589-2022")</f>
        <v/>
      </c>
      <c r="AC15">
        <f>HYPERLINK("https://klasma.github.io/Logging_2132/tillsyn/A 44589-2022 tillsynsbegäran.docx", "A 44589-2022")</f>
        <v/>
      </c>
      <c r="AD15">
        <f>HYPERLINK("https://klasma.github.io/Logging_2132/tillsynsmail/A 44589-2022 tillsynsbegäran mail.docx", "A 44589-2022")</f>
        <v/>
      </c>
    </row>
    <row r="16" ht="15" customHeight="1">
      <c r="A16" t="inlineStr">
        <is>
          <t>A 51489-2025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45950</v>
      </c>
      <c r="E16" s="1" t="n">
        <v>46309</v>
      </c>
      <c r="F16" t="inlineStr">
        <is>
          <t>GÄVLEBORGS LÄN</t>
        </is>
      </c>
      <c r="G16" t="inlineStr">
        <is>
          <t>NORDANSTIG</t>
        </is>
      </c>
      <c r="I16" t="n">
        <v>8.5</v>
      </c>
      <c r="J16" t="n">
        <v>1</v>
      </c>
      <c r="K16" t="n">
        <v>1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4</v>
      </c>
      <c r="T16" t="n">
        <v>5</v>
      </c>
      <c r="U16" t="n">
        <v>0</v>
      </c>
      <c r="V16" s="2" t="inlineStr">
        <is>
          <t>Brunklöver
Slåtterfibbla
Tibast
Revlummer</t>
        </is>
      </c>
      <c r="W16">
        <f>HYPERLINK("https://klasma.github.io/Logging_2132/artfynd/A 51489-2025 artfynd.xlsx", "A 51489-2025")</f>
        <v/>
      </c>
      <c r="X16">
        <f>HYPERLINK("https://klasma.github.io/Logging_2132/kartor/A 51489-2025 karta.png", "A 51489-2025")</f>
        <v/>
      </c>
      <c r="Y16">
        <f>HYPERLINK("https://klasma.github.io/Logging_2132/kartor_geotiff/A 51489-2025 georefererad karta.tif", "A 51489-2025")</f>
        <v/>
      </c>
      <c r="AA16">
        <f>HYPERLINK("https://klasma.github.io/Logging_2132/klagomål/A 51489-2025 FSC-klagomål.docx", "A 51489-2025")</f>
        <v/>
      </c>
      <c r="AB16">
        <f>HYPERLINK("https://klasma.github.io/Logging_2132/klagomålsmail/A 51489-2025 FSC-klagomål mail.docx", "A 51489-2025")</f>
        <v/>
      </c>
      <c r="AC16">
        <f>HYPERLINK("https://klasma.github.io/Logging_2132/tillsyn/A 51489-2025 tillsynsbegäran.docx", "A 51489-2025")</f>
        <v/>
      </c>
      <c r="AD16">
        <f>HYPERLINK("https://klasma.github.io/Logging_2132/tillsynsmail/A 51489-2025 tillsynsbegäran mail.docx", "A 51489-2025")</f>
        <v/>
      </c>
    </row>
    <row r="17" ht="15" customHeight="1">
      <c r="A17" t="inlineStr">
        <is>
          <t>A 57831-2025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45981</v>
      </c>
      <c r="E17" s="1" t="n">
        <v>46309</v>
      </c>
      <c r="F17" t="inlineStr">
        <is>
          <t>GÄVLEBORGS LÄN</t>
        </is>
      </c>
      <c r="G17" t="inlineStr">
        <is>
          <t>NORDANSTIG</t>
        </is>
      </c>
      <c r="I17" t="n">
        <v>3.3</v>
      </c>
      <c r="J17" t="n">
        <v>4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</v>
      </c>
      <c r="T17" t="n">
        <v>11</v>
      </c>
      <c r="U17" t="n">
        <v>11</v>
      </c>
      <c r="V17" s="2" t="inlineStr">
        <is>
          <t>Plattlummer
Mattlummer
Fläcknycklar
Revlummer</t>
        </is>
      </c>
      <c r="W17">
        <f>HYPERLINK("https://klasma.github.io/Logging_2132/artfynd/A 57831-2025 artfynd.xlsx", "A 57831-2025")</f>
        <v/>
      </c>
      <c r="X17">
        <f>HYPERLINK("https://klasma.github.io/Logging_2132/kartor/A 57831-2025 karta.png", "A 57831-2025")</f>
        <v/>
      </c>
      <c r="Y17">
        <f>HYPERLINK("https://klasma.github.io/Logging_2132/kartor_geotiff/A 57831-2025 georefererad karta.tif", "A 57831-2025")</f>
        <v/>
      </c>
      <c r="AA17">
        <f>HYPERLINK("https://klasma.github.io/Logging_2132/klagomål/A 57831-2025 FSC-klagomål.docx", "A 57831-2025")</f>
        <v/>
      </c>
      <c r="AB17">
        <f>HYPERLINK("https://klasma.github.io/Logging_2132/klagomålsmail/A 57831-2025 FSC-klagomål mail.docx", "A 57831-2025")</f>
        <v/>
      </c>
      <c r="AC17">
        <f>HYPERLINK("https://klasma.github.io/Logging_2132/tillsyn/A 57831-2025 tillsynsbegäran.docx", "A 57831-2025")</f>
        <v/>
      </c>
      <c r="AD17">
        <f>HYPERLINK("https://klasma.github.io/Logging_2132/tillsynsmail/A 57831-2025 tillsynsbegäran mail.docx", "A 57831-2025")</f>
        <v/>
      </c>
    </row>
    <row r="18" ht="15" customHeight="1">
      <c r="A18" t="inlineStr">
        <is>
          <t>A 9973-2026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46073</v>
      </c>
      <c r="E18" s="1" t="n">
        <v>46309</v>
      </c>
      <c r="F18" t="inlineStr">
        <is>
          <t>GÄVLEBORGS LÄN</t>
        </is>
      </c>
      <c r="G18" t="inlineStr">
        <is>
          <t>NORDANSTIG</t>
        </is>
      </c>
      <c r="I18" t="n">
        <v>17.9</v>
      </c>
      <c r="J18" t="n">
        <v>1</v>
      </c>
      <c r="K18" t="n">
        <v>2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4</v>
      </c>
      <c r="T18" t="n">
        <v>4</v>
      </c>
      <c r="U18" t="n">
        <v>0</v>
      </c>
      <c r="V18" s="2" t="inlineStr">
        <is>
          <t>Lunglav
Skinnlav
Zontaggsvamp
Blåsippa</t>
        </is>
      </c>
      <c r="W18">
        <f>HYPERLINK("https://klasma.github.io/Logging_2132/artfynd/A 9973-2026 artfynd.xlsx", "A 9973-2026")</f>
        <v/>
      </c>
      <c r="X18">
        <f>HYPERLINK("https://klasma.github.io/Logging_2132/kartor/A 9973-2026 karta.png", "A 9973-2026")</f>
        <v/>
      </c>
      <c r="Y18">
        <f>HYPERLINK("https://klasma.github.io/Logging_2132/kartor_geotiff/A 9973-2026 georefererad karta.tif", "A 9973-2026")</f>
        <v/>
      </c>
      <c r="AA18">
        <f>HYPERLINK("https://klasma.github.io/Logging_2132/klagomål/A 9973-2026 FSC-klagomål.docx", "A 9973-2026")</f>
        <v/>
      </c>
      <c r="AB18">
        <f>HYPERLINK("https://klasma.github.io/Logging_2132/klagomålsmail/A 9973-2026 FSC-klagomål mail.docx", "A 9973-2026")</f>
        <v/>
      </c>
      <c r="AC18">
        <f>HYPERLINK("https://klasma.github.io/Logging_2132/tillsyn/A 9973-2026 tillsynsbegäran.docx", "A 9973-2026")</f>
        <v/>
      </c>
      <c r="AD18">
        <f>HYPERLINK("https://klasma.github.io/Logging_2132/tillsynsmail/A 9973-2026 tillsynsbegäran mail.docx", "A 9973-2026")</f>
        <v/>
      </c>
    </row>
    <row r="19" ht="15" customHeight="1">
      <c r="A19" t="inlineStr">
        <is>
          <t>A 6798-2026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46057</v>
      </c>
      <c r="E19" s="1" t="n">
        <v>46309</v>
      </c>
      <c r="F19" t="inlineStr">
        <is>
          <t>GÄVLEBORGS LÄN</t>
        </is>
      </c>
      <c r="G19" t="inlineStr">
        <is>
          <t>NORDANSTIG</t>
        </is>
      </c>
      <c r="I19" t="n">
        <v>5.6</v>
      </c>
      <c r="J19" t="n">
        <v>3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4</v>
      </c>
      <c r="T19" t="n">
        <v>4</v>
      </c>
      <c r="U19" t="n">
        <v>0</v>
      </c>
      <c r="V19" s="2" t="inlineStr">
        <is>
          <t>Knärot
Ögonpyrola
Blåsippa
Spillkråka</t>
        </is>
      </c>
      <c r="W19">
        <f>HYPERLINK("https://klasma.github.io/Logging_2132/artfynd/A 6798-2026 artfynd.xlsx", "A 6798-2026")</f>
        <v/>
      </c>
      <c r="X19">
        <f>HYPERLINK("https://klasma.github.io/Logging_2132/kartor/A 6798-2026 karta.png", "A 6798-2026")</f>
        <v/>
      </c>
      <c r="Y19">
        <f>HYPERLINK("https://klasma.github.io/Logging_2132/kartor_geotiff/A 6798-2026 georefererad karta.tif", "A 6798-2026")</f>
        <v/>
      </c>
      <c r="Z19">
        <f>HYPERLINK("https://klasma.github.io/Logging_2132/knärot/A 6798-2026 karta knärot.png", "A 6798-2026")</f>
        <v/>
      </c>
      <c r="AA19">
        <f>HYPERLINK("https://klasma.github.io/Logging_2132/klagomål/A 6798-2026 FSC-klagomål.docx", "A 6798-2026")</f>
        <v/>
      </c>
      <c r="AB19">
        <f>HYPERLINK("https://klasma.github.io/Logging_2132/klagomålsmail/A 6798-2026 FSC-klagomål mail.docx", "A 6798-2026")</f>
        <v/>
      </c>
      <c r="AC19">
        <f>HYPERLINK("https://klasma.github.io/Logging_2132/tillsyn/A 6798-2026 tillsynsbegäran.docx", "A 6798-2026")</f>
        <v/>
      </c>
      <c r="AD19">
        <f>HYPERLINK("https://klasma.github.io/Logging_2132/tillsynsmail/A 6798-2026 tillsynsbegäran mail.docx", "A 6798-2026")</f>
        <v/>
      </c>
      <c r="AE19">
        <f>HYPERLINK("https://klasma.github.io/Logging_2132/fåglar/A 6798-2026 prioriterade fågelarter.docx", "A 6798-2026")</f>
        <v/>
      </c>
    </row>
    <row r="20" ht="15" customHeight="1">
      <c r="A20" t="inlineStr">
        <is>
          <t>A 13025-2025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45734</v>
      </c>
      <c r="E20" s="1" t="n">
        <v>46309</v>
      </c>
      <c r="F20" t="inlineStr">
        <is>
          <t>GÄVLEBORGS LÄN</t>
        </is>
      </c>
      <c r="G20" t="inlineStr">
        <is>
          <t>NORDANSTIG</t>
        </is>
      </c>
      <c r="I20" t="n">
        <v>9.699999999999999</v>
      </c>
      <c r="J20" t="n">
        <v>3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4</v>
      </c>
      <c r="T20" t="n">
        <v>4</v>
      </c>
      <c r="U20" t="n">
        <v>4</v>
      </c>
      <c r="V20" s="2" t="inlineStr">
        <is>
          <t>Älg
Spillkråka
Kråka
Kungsfågel</t>
        </is>
      </c>
      <c r="W20">
        <f>HYPERLINK("https://klasma.github.io/Logging_2132/artfynd/A 13025-2025 artfynd.xlsx", "A 13025-2025")</f>
        <v/>
      </c>
      <c r="X20">
        <f>HYPERLINK("https://klasma.github.io/Logging_2132/kartor/A 13025-2025 karta.png", "A 13025-2025")</f>
        <v/>
      </c>
      <c r="Y20">
        <f>HYPERLINK("https://klasma.github.io/Logging_2132/kartor_geotiff/A 13025-2025 georefererad karta.tif", "A 13025-2025")</f>
        <v/>
      </c>
      <c r="AA20">
        <f>HYPERLINK("https://klasma.github.io/Logging_2132/klagomål/A 13025-2025 FSC-klagomål.docx", "A 13025-2025")</f>
        <v/>
      </c>
      <c r="AB20">
        <f>HYPERLINK("https://klasma.github.io/Logging_2132/klagomålsmail/A 13025-2025 FSC-klagomål mail.docx", "A 13025-2025")</f>
        <v/>
      </c>
      <c r="AC20">
        <f>HYPERLINK("https://klasma.github.io/Logging_2132/tillsyn/A 13025-2025 tillsynsbegäran.docx", "A 13025-2025")</f>
        <v/>
      </c>
      <c r="AD20">
        <f>HYPERLINK("https://klasma.github.io/Logging_2132/tillsynsmail/A 13025-2025 tillsynsbegäran mail.docx", "A 13025-2025")</f>
        <v/>
      </c>
      <c r="AE20">
        <f>HYPERLINK("https://klasma.github.io/Logging_2132/fåglar/A 13025-2025 prioriterade fågelarter.docx", "A 13025-2025")</f>
        <v/>
      </c>
    </row>
    <row r="21" ht="15" customHeight="1">
      <c r="A21" t="inlineStr">
        <is>
          <t>A 49419-2024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45595</v>
      </c>
      <c r="E21" s="1" t="n">
        <v>46309</v>
      </c>
      <c r="F21" t="inlineStr">
        <is>
          <t>GÄVLEBORGS LÄN</t>
        </is>
      </c>
      <c r="G21" t="inlineStr">
        <is>
          <t>NORDANSTIG</t>
        </is>
      </c>
      <c r="I21" t="n">
        <v>1.3</v>
      </c>
      <c r="J21" t="n">
        <v>0</v>
      </c>
      <c r="K21" t="n">
        <v>0</v>
      </c>
      <c r="L21" t="n">
        <v>2</v>
      </c>
      <c r="M21" t="n">
        <v>2</v>
      </c>
      <c r="N21" t="n">
        <v>0</v>
      </c>
      <c r="O21" t="n">
        <v>0</v>
      </c>
      <c r="P21" t="n">
        <v>0</v>
      </c>
      <c r="Q21" t="n">
        <v>4</v>
      </c>
      <c r="R21" t="n">
        <v>2</v>
      </c>
      <c r="S21" t="n">
        <v>4</v>
      </c>
      <c r="T21" t="n">
        <v>9</v>
      </c>
      <c r="U21" t="n">
        <v>0</v>
      </c>
      <c r="V21" s="2" t="inlineStr">
        <is>
          <t>Goliatmusseron
Skrovlig taggsvamp
Dropptaggsvamp
Skarp dropptaggsvamp</t>
        </is>
      </c>
      <c r="W21">
        <f>HYPERLINK("https://klasma.github.io/Logging_2132/artfynd/A 49419-2024 artfynd.xlsx", "A 49419-2024")</f>
        <v/>
      </c>
      <c r="X21">
        <f>HYPERLINK("https://klasma.github.io/Logging_2132/kartor/A 49419-2024 karta.png", "A 49419-2024")</f>
        <v/>
      </c>
      <c r="Y21">
        <f>HYPERLINK("https://klasma.github.io/Logging_2132/kartor_geotiff/A 49419-2024 georefererad karta.tif", "A 49419-2024")</f>
        <v/>
      </c>
      <c r="AA21">
        <f>HYPERLINK("https://klasma.github.io/Logging_2132/klagomål/A 49419-2024 FSC-klagomål.docx", "A 49419-2024")</f>
        <v/>
      </c>
      <c r="AB21">
        <f>HYPERLINK("https://klasma.github.io/Logging_2132/klagomålsmail/A 49419-2024 FSC-klagomål mail.docx", "A 49419-2024")</f>
        <v/>
      </c>
      <c r="AC21">
        <f>HYPERLINK("https://klasma.github.io/Logging_2132/tillsyn/A 49419-2024 tillsynsbegäran.docx", "A 49419-2024")</f>
        <v/>
      </c>
      <c r="AD21">
        <f>HYPERLINK("https://klasma.github.io/Logging_2132/tillsynsmail/A 49419-2024 tillsynsbegäran mail.docx", "A 49419-2024")</f>
        <v/>
      </c>
    </row>
    <row r="22" ht="15" customHeight="1">
      <c r="A22" t="inlineStr">
        <is>
          <t>A 26325-2023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45091</v>
      </c>
      <c r="E22" s="1" t="n">
        <v>46309</v>
      </c>
      <c r="F22" t="inlineStr">
        <is>
          <t>GÄVLEBORGS LÄN</t>
        </is>
      </c>
      <c r="G22" t="inlineStr">
        <is>
          <t>NORDANSTIG</t>
        </is>
      </c>
      <c r="H22" t="inlineStr">
        <is>
          <t>Holmen skog AB</t>
        </is>
      </c>
      <c r="I22" t="n">
        <v>9.9</v>
      </c>
      <c r="J22" t="n">
        <v>0</v>
      </c>
      <c r="K22" t="n">
        <v>0</v>
      </c>
      <c r="L22" t="n">
        <v>2</v>
      </c>
      <c r="M22" t="n">
        <v>2</v>
      </c>
      <c r="N22" t="n">
        <v>0</v>
      </c>
      <c r="O22" t="n">
        <v>0</v>
      </c>
      <c r="P22" t="n">
        <v>0</v>
      </c>
      <c r="Q22" t="n">
        <v>4</v>
      </c>
      <c r="R22" t="n">
        <v>2</v>
      </c>
      <c r="S22" t="n">
        <v>4</v>
      </c>
      <c r="T22" t="n">
        <v>13</v>
      </c>
      <c r="U22" t="n">
        <v>12</v>
      </c>
      <c r="V22" s="2" t="inlineStr">
        <is>
          <t>Garnlav
Ringlav
Lunglav
Rosenticka</t>
        </is>
      </c>
      <c r="W22">
        <f>HYPERLINK("https://klasma.github.io/Logging_2132/artfynd/A 26325-2023 artfynd.xlsx", "A 26325-2023")</f>
        <v/>
      </c>
      <c r="X22">
        <f>HYPERLINK("https://klasma.github.io/Logging_2132/kartor/A 26325-2023 karta.png", "A 26325-2023")</f>
        <v/>
      </c>
      <c r="Y22">
        <f>HYPERLINK("https://klasma.github.io/Logging_2132/kartor_geotiff/A 26325-2023 georefererad karta.tif", "A 26325-2023")</f>
        <v/>
      </c>
      <c r="AA22">
        <f>HYPERLINK("https://klasma.github.io/Logging_2132/klagomål/A 26325-2023 FSC-klagomål.docx", "A 26325-2023")</f>
        <v/>
      </c>
      <c r="AB22">
        <f>HYPERLINK("https://klasma.github.io/Logging_2132/klagomålsmail/A 26325-2023 FSC-klagomål mail.docx", "A 26325-2023")</f>
        <v/>
      </c>
      <c r="AC22">
        <f>HYPERLINK("https://klasma.github.io/Logging_2132/tillsyn/A 26325-2023 tillsynsbegäran.docx", "A 26325-2023")</f>
        <v/>
      </c>
      <c r="AD22">
        <f>HYPERLINK("https://klasma.github.io/Logging_2132/tillsynsmail/A 26325-2023 tillsynsbegäran mail.docx", "A 26325-2023")</f>
        <v/>
      </c>
    </row>
    <row r="23" ht="15" customHeight="1">
      <c r="A23" t="inlineStr">
        <is>
          <t>A 30490-2026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46210</v>
      </c>
      <c r="E23" s="1" t="n">
        <v>46309</v>
      </c>
      <c r="F23" t="inlineStr">
        <is>
          <t>GÄVLEBORGS LÄN</t>
        </is>
      </c>
      <c r="G23" t="inlineStr">
        <is>
          <t>NORDANSTIG</t>
        </is>
      </c>
      <c r="I23" t="n">
        <v>2.9</v>
      </c>
      <c r="J23" t="n">
        <v>0</v>
      </c>
      <c r="K23" t="n">
        <v>3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4</v>
      </c>
      <c r="T23" t="n">
        <v>7</v>
      </c>
      <c r="U23" t="n">
        <v>0</v>
      </c>
      <c r="V23" s="2" t="inlineStr">
        <is>
          <t>Lunglav
Korallblylav
Luddlav
Ögonpyrola</t>
        </is>
      </c>
      <c r="W23">
        <f>HYPERLINK("https://klasma.github.io/Logging_2132/artfynd/A 30490-2026 artfynd.xlsx", "A 30490-2026")</f>
        <v/>
      </c>
      <c r="X23">
        <f>HYPERLINK("https://klasma.github.io/Logging_2132/kartor/A 30490-2026 karta.png", "A 30490-2026")</f>
        <v/>
      </c>
      <c r="Y23">
        <f>HYPERLINK("https://klasma.github.io/Logging_2132/kartor_geotiff/A 30490-2026 georefererad karta.tif", "A 30490-2026")</f>
        <v/>
      </c>
      <c r="AA23">
        <f>HYPERLINK("https://klasma.github.io/Logging_2132/klagomål/A 30490-2026 FSC-klagomål.docx", "A 30490-2026")</f>
        <v/>
      </c>
      <c r="AB23">
        <f>HYPERLINK("https://klasma.github.io/Logging_2132/klagomålsmail/A 30490-2026 FSC-klagomål mail.docx", "A 30490-2026")</f>
        <v/>
      </c>
      <c r="AC23">
        <f>HYPERLINK("https://klasma.github.io/Logging_2132/tillsyn/A 30490-2026 tillsynsbegäran.docx", "A 30490-2026")</f>
        <v/>
      </c>
      <c r="AD23">
        <f>HYPERLINK("https://klasma.github.io/Logging_2132/tillsynsmail/A 30490-2026 tillsynsbegäran mail.docx", "A 30490-2026")</f>
        <v/>
      </c>
    </row>
    <row r="24" ht="15" customHeight="1">
      <c r="A24" t="inlineStr">
        <is>
          <t>A 51227-2023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45219</v>
      </c>
      <c r="E24" s="1" t="n">
        <v>46309</v>
      </c>
      <c r="F24" t="inlineStr">
        <is>
          <t>GÄVLEBORGS LÄN</t>
        </is>
      </c>
      <c r="G24" t="inlineStr">
        <is>
          <t>NORDANSTIG</t>
        </is>
      </c>
      <c r="I24" t="n">
        <v>10.2</v>
      </c>
      <c r="J24" t="n">
        <v>0</v>
      </c>
      <c r="K24" t="n">
        <v>2</v>
      </c>
      <c r="L24" t="n">
        <v>2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4</v>
      </c>
      <c r="T24" t="n">
        <v>6</v>
      </c>
      <c r="U24" t="n">
        <v>6</v>
      </c>
      <c r="V24" s="2" t="inlineStr">
        <is>
          <t>Kattfotslav
Violettgrå tagellav
Granbarkgnagare
Vedticka</t>
        </is>
      </c>
      <c r="W24">
        <f>HYPERLINK("https://klasma.github.io/Logging_2132/artfynd/A 51227-2023 artfynd.xlsx", "A 51227-2023")</f>
        <v/>
      </c>
      <c r="X24">
        <f>HYPERLINK("https://klasma.github.io/Logging_2132/kartor/A 51227-2023 karta.png", "A 51227-2023")</f>
        <v/>
      </c>
      <c r="Y24">
        <f>HYPERLINK("https://klasma.github.io/Logging_2132/kartor_geotiff/A 51227-2023 georefererad karta.tif", "A 51227-2023")</f>
        <v/>
      </c>
      <c r="AA24">
        <f>HYPERLINK("https://klasma.github.io/Logging_2132/klagomål/A 51227-2023 FSC-klagomål.docx", "A 51227-2023")</f>
        <v/>
      </c>
      <c r="AB24">
        <f>HYPERLINK("https://klasma.github.io/Logging_2132/klagomålsmail/A 51227-2023 FSC-klagomål mail.docx", "A 51227-2023")</f>
        <v/>
      </c>
      <c r="AC24">
        <f>HYPERLINK("https://klasma.github.io/Logging_2132/tillsyn/A 51227-2023 tillsynsbegäran.docx", "A 51227-2023")</f>
        <v/>
      </c>
      <c r="AD24">
        <f>HYPERLINK("https://klasma.github.io/Logging_2132/tillsynsmail/A 51227-2023 tillsynsbegäran mail.docx", "A 51227-2023")</f>
        <v/>
      </c>
    </row>
    <row r="25" ht="15" customHeight="1">
      <c r="A25" t="inlineStr">
        <is>
          <t>A 67716-2021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44525</v>
      </c>
      <c r="E25" s="1" t="n">
        <v>46309</v>
      </c>
      <c r="F25" t="inlineStr">
        <is>
          <t>GÄVLEBORGS LÄN</t>
        </is>
      </c>
      <c r="G25" t="inlineStr">
        <is>
          <t>NORDANSTIG</t>
        </is>
      </c>
      <c r="H25" t="inlineStr">
        <is>
          <t>Holmen skog AB</t>
        </is>
      </c>
      <c r="I25" t="n">
        <v>7.4</v>
      </c>
      <c r="J25" t="n">
        <v>0</v>
      </c>
      <c r="K25" t="n">
        <v>1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2</v>
      </c>
      <c r="R25" t="n">
        <v>1</v>
      </c>
      <c r="S25" t="n">
        <v>3</v>
      </c>
      <c r="T25" t="n">
        <v>3</v>
      </c>
      <c r="U25" t="n">
        <v>2</v>
      </c>
      <c r="V25" s="2" t="inlineStr">
        <is>
          <t>Glesgröe
Lunglav
Strutbräken</t>
        </is>
      </c>
      <c r="W25">
        <f>HYPERLINK("https://klasma.github.io/Logging_2132/artfynd/A 67716-2021 artfynd.xlsx", "A 67716-2021")</f>
        <v/>
      </c>
      <c r="X25">
        <f>HYPERLINK("https://klasma.github.io/Logging_2132/kartor/A 67716-2021 karta.png", "A 67716-2021")</f>
        <v/>
      </c>
      <c r="Y25">
        <f>HYPERLINK("https://klasma.github.io/Logging_2132/kartor_geotiff/A 67716-2021 georefererad karta.tif", "A 67716-2021")</f>
        <v/>
      </c>
      <c r="AA25">
        <f>HYPERLINK("https://klasma.github.io/Logging_2132/klagomål/A 67716-2021 FSC-klagomål.docx", "A 67716-2021")</f>
        <v/>
      </c>
      <c r="AB25">
        <f>HYPERLINK("https://klasma.github.io/Logging_2132/klagomålsmail/A 67716-2021 FSC-klagomål mail.docx", "A 67716-2021")</f>
        <v/>
      </c>
      <c r="AC25">
        <f>HYPERLINK("https://klasma.github.io/Logging_2132/tillsyn/A 67716-2021 tillsynsbegäran.docx", "A 67716-2021")</f>
        <v/>
      </c>
      <c r="AD25">
        <f>HYPERLINK("https://klasma.github.io/Logging_2132/tillsynsmail/A 67716-2021 tillsynsbegäran mail.docx", "A 67716-2021")</f>
        <v/>
      </c>
    </row>
    <row r="26" ht="15" customHeight="1">
      <c r="A26" t="inlineStr">
        <is>
          <t>A 72433-2021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44545</v>
      </c>
      <c r="E26" s="1" t="n">
        <v>46309</v>
      </c>
      <c r="F26" t="inlineStr">
        <is>
          <t>GÄVLEBORGS LÄN</t>
        </is>
      </c>
      <c r="G26" t="inlineStr">
        <is>
          <t>NORDANSTIG</t>
        </is>
      </c>
      <c r="I26" t="n">
        <v>6.1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</v>
      </c>
      <c r="T26" t="n">
        <v>3</v>
      </c>
      <c r="U26" t="n">
        <v>3</v>
      </c>
      <c r="V26" s="2" t="inlineStr">
        <is>
          <t>Järpe
Tjäder
Grönsiska</t>
        </is>
      </c>
      <c r="W26">
        <f>HYPERLINK("https://klasma.github.io/Logging_2132/artfynd/A 72433-2021 artfynd.xlsx", "A 72433-2021")</f>
        <v/>
      </c>
      <c r="X26">
        <f>HYPERLINK("https://klasma.github.io/Logging_2132/kartor/A 72433-2021 karta.png", "A 72433-2021")</f>
        <v/>
      </c>
      <c r="Y26">
        <f>HYPERLINK("https://klasma.github.io/Logging_2132/kartor_geotiff/A 72433-2021 georefererad karta.tif", "A 72433-2021")</f>
        <v/>
      </c>
      <c r="AA26">
        <f>HYPERLINK("https://klasma.github.io/Logging_2132/klagomål/A 72433-2021 FSC-klagomål.docx", "A 72433-2021")</f>
        <v/>
      </c>
      <c r="AB26">
        <f>HYPERLINK("https://klasma.github.io/Logging_2132/klagomålsmail/A 72433-2021 FSC-klagomål mail.docx", "A 72433-2021")</f>
        <v/>
      </c>
      <c r="AC26">
        <f>HYPERLINK("https://klasma.github.io/Logging_2132/tillsyn/A 72433-2021 tillsynsbegäran.docx", "A 72433-2021")</f>
        <v/>
      </c>
      <c r="AD26">
        <f>HYPERLINK("https://klasma.github.io/Logging_2132/tillsynsmail/A 72433-2021 tillsynsbegäran mail.docx", "A 72433-2021")</f>
        <v/>
      </c>
      <c r="AE26">
        <f>HYPERLINK("https://klasma.github.io/Logging_2132/fåglar/A 72433-2021 prioriterade fågelarter.docx", "A 72433-2021")</f>
        <v/>
      </c>
    </row>
    <row r="27" ht="15" customHeight="1">
      <c r="A27" t="inlineStr">
        <is>
          <t>A 38050-2024</t>
        </is>
      </c>
      <c r="B27" t="inlineStr">
        <is>
          <t>avverkningsanmälan</t>
        </is>
      </c>
      <c r="C27" t="inlineStr">
        <is>
          <t>Avverkning för att bevara och utveckla /försöksver</t>
        </is>
      </c>
      <c r="D27" s="1" t="n">
        <v>45544</v>
      </c>
      <c r="E27" s="1" t="n">
        <v>46309</v>
      </c>
      <c r="F27" t="inlineStr">
        <is>
          <t>GÄVLEBORGS LÄN</t>
        </is>
      </c>
      <c r="G27" t="inlineStr">
        <is>
          <t>NORDANSTIG</t>
        </is>
      </c>
      <c r="H27" t="inlineStr">
        <is>
          <t>Holmen skog AB</t>
        </is>
      </c>
      <c r="I27" t="n">
        <v>3.1</v>
      </c>
      <c r="J27" t="n">
        <v>2</v>
      </c>
      <c r="K27" t="n">
        <v>1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2</v>
      </c>
      <c r="R27" t="n">
        <v>1</v>
      </c>
      <c r="S27" t="n">
        <v>3</v>
      </c>
      <c r="T27" t="n">
        <v>6</v>
      </c>
      <c r="U27" t="n">
        <v>6</v>
      </c>
      <c r="V27" s="2" t="inlineStr">
        <is>
          <t>Knärot
Tallticka
Plattlummer</t>
        </is>
      </c>
      <c r="W27">
        <f>HYPERLINK("https://klasma.github.io/Logging_2132/artfynd/A 38050-2024 artfynd.xlsx", "A 38050-2024")</f>
        <v/>
      </c>
      <c r="X27">
        <f>HYPERLINK("https://klasma.github.io/Logging_2132/kartor/A 38050-2024 karta.png", "A 38050-2024")</f>
        <v/>
      </c>
      <c r="Y27">
        <f>HYPERLINK("https://klasma.github.io/Logging_2132/kartor_geotiff/A 38050-2024 georefererad karta.tif", "A 38050-2024")</f>
        <v/>
      </c>
      <c r="Z27">
        <f>HYPERLINK("https://klasma.github.io/Logging_2132/knärot/A 38050-2024 karta knärot.png", "A 38050-2024")</f>
        <v/>
      </c>
      <c r="AA27">
        <f>HYPERLINK("https://klasma.github.io/Logging_2132/klagomål/A 38050-2024 FSC-klagomål.docx", "A 38050-2024")</f>
        <v/>
      </c>
      <c r="AB27">
        <f>HYPERLINK("https://klasma.github.io/Logging_2132/klagomålsmail/A 38050-2024 FSC-klagomål mail.docx", "A 38050-2024")</f>
        <v/>
      </c>
      <c r="AC27">
        <f>HYPERLINK("https://klasma.github.io/Logging_2132/tillsyn/A 38050-2024 tillsynsbegäran.docx", "A 38050-2024")</f>
        <v/>
      </c>
      <c r="AD27">
        <f>HYPERLINK("https://klasma.github.io/Logging_2132/tillsynsmail/A 38050-2024 tillsynsbegäran mail.docx", "A 38050-2024")</f>
        <v/>
      </c>
    </row>
    <row r="28" ht="15" customHeight="1">
      <c r="A28" t="inlineStr">
        <is>
          <t>A 7608-2023</t>
        </is>
      </c>
      <c r="B28" t="inlineStr">
        <is>
          <t>avverkningsanmälan</t>
        </is>
      </c>
      <c r="C28" t="inlineStr">
        <is>
          <t>Avverkning för att bevara och utveckla /försöksver</t>
        </is>
      </c>
      <c r="D28" s="1" t="n">
        <v>44972</v>
      </c>
      <c r="E28" s="1" t="n">
        <v>46309</v>
      </c>
      <c r="F28" t="inlineStr">
        <is>
          <t>GÄVLEBORGS LÄN</t>
        </is>
      </c>
      <c r="G28" t="inlineStr">
        <is>
          <t>NORDANSTIG</t>
        </is>
      </c>
      <c r="H28" t="inlineStr">
        <is>
          <t>Holmen skog AB</t>
        </is>
      </c>
      <c r="I28" t="n">
        <v>13</v>
      </c>
      <c r="J28" t="n">
        <v>1</v>
      </c>
      <c r="K28" t="n">
        <v>1</v>
      </c>
      <c r="L28" t="n">
        <v>2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0</v>
      </c>
      <c r="S28" t="n">
        <v>3</v>
      </c>
      <c r="T28" t="n">
        <v>10</v>
      </c>
      <c r="U28" t="n">
        <v>1</v>
      </c>
      <c r="V28" s="2" t="inlineStr">
        <is>
          <t>Sädesärla
Tallticka
Mindre märgborre</t>
        </is>
      </c>
      <c r="W28">
        <f>HYPERLINK("https://klasma.github.io/Logging_2132/artfynd/A 7608-2023 artfynd.xlsx", "A 7608-2023")</f>
        <v/>
      </c>
      <c r="X28">
        <f>HYPERLINK("https://klasma.github.io/Logging_2132/kartor/A 7608-2023 karta.png", "A 7608-2023")</f>
        <v/>
      </c>
      <c r="Y28">
        <f>HYPERLINK("https://klasma.github.io/Logging_2132/kartor_geotiff/A 7608-2023 georefererad karta.tif", "A 7608-2023")</f>
        <v/>
      </c>
      <c r="AA28">
        <f>HYPERLINK("https://klasma.github.io/Logging_2132/klagomål/A 7608-2023 FSC-klagomål.docx", "A 7608-2023")</f>
        <v/>
      </c>
      <c r="AB28">
        <f>HYPERLINK("https://klasma.github.io/Logging_2132/klagomålsmail/A 7608-2023 FSC-klagomål mail.docx", "A 7608-2023")</f>
        <v/>
      </c>
      <c r="AC28">
        <f>HYPERLINK("https://klasma.github.io/Logging_2132/tillsyn/A 7608-2023 tillsynsbegäran.docx", "A 7608-2023")</f>
        <v/>
      </c>
      <c r="AD28">
        <f>HYPERLINK("https://klasma.github.io/Logging_2132/tillsynsmail/A 7608-2023 tillsynsbegäran mail.docx", "A 7608-2023")</f>
        <v/>
      </c>
      <c r="AE28">
        <f>HYPERLINK("https://klasma.github.io/Logging_2132/fåglar/A 7608-2023 prioriterade fågelarter.docx", "A 7608-2023")</f>
        <v/>
      </c>
    </row>
    <row r="29" ht="15" customHeight="1">
      <c r="A29" t="inlineStr">
        <is>
          <t>S 307-2024</t>
        </is>
      </c>
      <c r="B29" t="inlineStr">
        <is>
          <t>samrådsanmälan</t>
        </is>
      </c>
      <c r="C29" t="inlineStr">
        <is>
          <t>Skogsgödsling</t>
        </is>
      </c>
      <c r="D29" s="1" t="n">
        <v>45323</v>
      </c>
      <c r="E29" s="1" t="n">
        <v>46309</v>
      </c>
      <c r="F29" t="inlineStr">
        <is>
          <t>GÄVLEBORGS LÄN</t>
        </is>
      </c>
      <c r="G29" t="inlineStr">
        <is>
          <t>NORDANSTIG</t>
        </is>
      </c>
      <c r="H29" t="inlineStr">
        <is>
          <t>SCA</t>
        </is>
      </c>
      <c r="I29" t="n">
        <v>150.8</v>
      </c>
      <c r="J29" t="n">
        <v>3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3</v>
      </c>
      <c r="T29" t="n">
        <v>3</v>
      </c>
      <c r="U29" t="n">
        <v>3</v>
      </c>
      <c r="V29" s="2" t="inlineStr">
        <is>
          <t>Drillsnäppa
Grönsiska
Kungsfågel</t>
        </is>
      </c>
      <c r="W29">
        <f>HYPERLINK("https://klasma.github.io/Logging_2132/artfynd/S 307-2024 artfynd.xlsx", "S 307-2024")</f>
        <v/>
      </c>
      <c r="X29">
        <f>HYPERLINK("https://klasma.github.io/Logging_2132/kartor/S 307-2024 karta.png", "S 307-2024")</f>
        <v/>
      </c>
      <c r="Y29">
        <f>HYPERLINK("https://klasma.github.io/Logging_2132/kartor_geotiff/S 307-2024 georefererad karta.tif", "S 307-2024")</f>
        <v/>
      </c>
      <c r="AA29">
        <f>HYPERLINK("https://klasma.github.io/Logging_2132/klagomål/S 307-2024 FSC-klagomål.docx", "S 307-2024")</f>
        <v/>
      </c>
      <c r="AB29">
        <f>HYPERLINK("https://klasma.github.io/Logging_2132/klagomålsmail/S 307-2024 FSC-klagomål mail.docx", "S 307-2024")</f>
        <v/>
      </c>
      <c r="AC29">
        <f>HYPERLINK("https://klasma.github.io/Logging_2132/tillsyn/S 307-2024 tillsynsbegäran.docx", "S 307-2024")</f>
        <v/>
      </c>
      <c r="AD29">
        <f>HYPERLINK("https://klasma.github.io/Logging_2132/tillsynsmail/S 307-2024 tillsynsbegäran mail.docx", "S 307-2024")</f>
        <v/>
      </c>
      <c r="AE29">
        <f>HYPERLINK("https://klasma.github.io/Logging_2132/fåglar/S 307-2024 prioriterade fågelarter.docx", "S 307-2024")</f>
        <v/>
      </c>
    </row>
    <row r="30" ht="15" customHeight="1">
      <c r="A30" t="inlineStr">
        <is>
          <t>S 143-2025</t>
        </is>
      </c>
      <c r="B30" t="inlineStr">
        <is>
          <t>samrådsanmälan</t>
        </is>
      </c>
      <c r="C30" t="inlineStr">
        <is>
          <t>Skogsgödsling</t>
        </is>
      </c>
      <c r="D30" s="1" t="n">
        <v>45670</v>
      </c>
      <c r="E30" s="1" t="n">
        <v>46309</v>
      </c>
      <c r="F30" t="inlineStr">
        <is>
          <t>GÄVLEBORGS LÄN</t>
        </is>
      </c>
      <c r="G30" t="inlineStr">
        <is>
          <t>NORDANSTIG</t>
        </is>
      </c>
      <c r="H30" t="inlineStr">
        <is>
          <t>Holmen skog AB</t>
        </is>
      </c>
      <c r="I30" t="n">
        <v>70</v>
      </c>
      <c r="J30" t="n">
        <v>2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3</v>
      </c>
      <c r="T30" t="n">
        <v>3</v>
      </c>
      <c r="U30" t="n">
        <v>2</v>
      </c>
      <c r="V30" s="2" t="inlineStr">
        <is>
          <t>Vitfläckig guldvinge
Tjäder
Orre</t>
        </is>
      </c>
      <c r="W30">
        <f>HYPERLINK("https://klasma.github.io/Logging_2132/artfynd/S 143-2025 artfynd.xlsx", "S 143-2025")</f>
        <v/>
      </c>
      <c r="X30">
        <f>HYPERLINK("https://klasma.github.io/Logging_2132/kartor/S 143-2025 karta.png", "S 143-2025")</f>
        <v/>
      </c>
      <c r="Y30">
        <f>HYPERLINK("https://klasma.github.io/Logging_2132/kartor_geotiff/S 143-2025 georefererad karta.tif", "S 143-2025")</f>
        <v/>
      </c>
      <c r="AA30">
        <f>HYPERLINK("https://klasma.github.io/Logging_2132/klagomål/S 143-2025 FSC-klagomål.docx", "S 143-2025")</f>
        <v/>
      </c>
      <c r="AB30">
        <f>HYPERLINK("https://klasma.github.io/Logging_2132/klagomålsmail/S 143-2025 FSC-klagomål mail.docx", "S 143-2025")</f>
        <v/>
      </c>
      <c r="AC30">
        <f>HYPERLINK("https://klasma.github.io/Logging_2132/tillsyn/S 143-2025 tillsynsbegäran.docx", "S 143-2025")</f>
        <v/>
      </c>
      <c r="AD30">
        <f>HYPERLINK("https://klasma.github.io/Logging_2132/tillsynsmail/S 143-2025 tillsynsbegäran mail.docx", "S 143-2025")</f>
        <v/>
      </c>
      <c r="AE30">
        <f>HYPERLINK("https://klasma.github.io/Logging_2132/fåglar/S 143-2025 prioriterade fågelarter.docx", "S 143-2025")</f>
        <v/>
      </c>
    </row>
    <row r="31" ht="15" customHeight="1">
      <c r="A31" t="inlineStr">
        <is>
          <t>S 139-2025</t>
        </is>
      </c>
      <c r="B31" t="inlineStr">
        <is>
          <t>samrådsanmälan</t>
        </is>
      </c>
      <c r="C31" t="inlineStr">
        <is>
          <t>Skogsgödsling</t>
        </is>
      </c>
      <c r="D31" s="1" t="n">
        <v>45670</v>
      </c>
      <c r="E31" s="1" t="n">
        <v>46309</v>
      </c>
      <c r="F31" t="inlineStr">
        <is>
          <t>GÄVLEBORGS LÄN</t>
        </is>
      </c>
      <c r="G31" t="inlineStr">
        <is>
          <t>NORDANSTIG</t>
        </is>
      </c>
      <c r="H31" t="inlineStr">
        <is>
          <t>Holmen skog AB</t>
        </is>
      </c>
      <c r="I31" t="n">
        <v>63.4</v>
      </c>
      <c r="J31" t="n">
        <v>2</v>
      </c>
      <c r="K31" t="n">
        <v>2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3</v>
      </c>
      <c r="T31" t="n">
        <v>3</v>
      </c>
      <c r="U31" t="n">
        <v>0</v>
      </c>
      <c r="V31" s="2" t="inlineStr">
        <is>
          <t>Tretåig hackspett
Tibast
Tvåblad</t>
        </is>
      </c>
      <c r="W31">
        <f>HYPERLINK("https://klasma.github.io/Logging_2132/artfynd/S 139-2025 artfynd.xlsx", "S 139-2025")</f>
        <v/>
      </c>
      <c r="X31">
        <f>HYPERLINK("https://klasma.github.io/Logging_2132/kartor/S 139-2025 karta.png", "S 139-2025")</f>
        <v/>
      </c>
      <c r="Y31">
        <f>HYPERLINK("https://klasma.github.io/Logging_2132/kartor_geotiff/S 139-2025 georefererad karta.tif", "S 139-2025")</f>
        <v/>
      </c>
      <c r="AA31">
        <f>HYPERLINK("https://klasma.github.io/Logging_2132/klagomål/S 139-2025 FSC-klagomål.docx", "S 139-2025")</f>
        <v/>
      </c>
      <c r="AB31">
        <f>HYPERLINK("https://klasma.github.io/Logging_2132/klagomålsmail/S 139-2025 FSC-klagomål mail.docx", "S 139-2025")</f>
        <v/>
      </c>
      <c r="AC31">
        <f>HYPERLINK("https://klasma.github.io/Logging_2132/tillsyn/S 139-2025 tillsynsbegäran.docx", "S 139-2025")</f>
        <v/>
      </c>
      <c r="AD31">
        <f>HYPERLINK("https://klasma.github.io/Logging_2132/tillsynsmail/S 139-2025 tillsynsbegäran mail.docx", "S 139-2025")</f>
        <v/>
      </c>
      <c r="AE31">
        <f>HYPERLINK("https://klasma.github.io/Logging_2132/fåglar/S 139-2025 prioriterade fågelarter.docx", "S 139-2025")</f>
        <v/>
      </c>
    </row>
    <row r="32" ht="15" customHeight="1">
      <c r="A32" t="inlineStr">
        <is>
          <t>A 1708-2026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46034</v>
      </c>
      <c r="E32" s="1" t="n">
        <v>46309</v>
      </c>
      <c r="F32" t="inlineStr">
        <is>
          <t>GÄVLEBORGS LÄN</t>
        </is>
      </c>
      <c r="G32" t="inlineStr">
        <is>
          <t>NORDANSTIG</t>
        </is>
      </c>
      <c r="I32" t="n">
        <v>8.699999999999999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</v>
      </c>
      <c r="T32" t="n">
        <v>12</v>
      </c>
      <c r="U32" t="n">
        <v>0</v>
      </c>
      <c r="V32" s="2" t="inlineStr">
        <is>
          <t>Tjäder
Fläcknycklar</t>
        </is>
      </c>
      <c r="W32">
        <f>HYPERLINK("https://klasma.github.io/Logging_2132/artfynd/A 1708-2026 artfynd.xlsx", "A 1708-2026")</f>
        <v/>
      </c>
      <c r="X32">
        <f>HYPERLINK("https://klasma.github.io/Logging_2132/kartor/A 1708-2026 karta.png", "A 1708-2026")</f>
        <v/>
      </c>
      <c r="Y32">
        <f>HYPERLINK("https://klasma.github.io/Logging_2132/kartor_geotiff/A 1708-2026 georefererad karta.tif", "A 1708-2026")</f>
        <v/>
      </c>
      <c r="AA32">
        <f>HYPERLINK("https://klasma.github.io/Logging_2132/klagomål/A 1708-2026 FSC-klagomål.docx", "A 1708-2026")</f>
        <v/>
      </c>
      <c r="AB32">
        <f>HYPERLINK("https://klasma.github.io/Logging_2132/klagomålsmail/A 1708-2026 FSC-klagomål mail.docx", "A 1708-2026")</f>
        <v/>
      </c>
      <c r="AC32">
        <f>HYPERLINK("https://klasma.github.io/Logging_2132/tillsyn/A 1708-2026 tillsynsbegäran.docx", "A 1708-2026")</f>
        <v/>
      </c>
      <c r="AD32">
        <f>HYPERLINK("https://klasma.github.io/Logging_2132/tillsynsmail/A 1708-2026 tillsynsbegäran mail.docx", "A 1708-2026")</f>
        <v/>
      </c>
      <c r="AE32">
        <f>HYPERLINK("https://klasma.github.io/Logging_2132/fåglar/A 1708-2026 prioriterade fågelarter.docx", "A 1708-2026")</f>
        <v/>
      </c>
    </row>
    <row r="33" ht="15" customHeight="1">
      <c r="A33" t="inlineStr">
        <is>
          <t>A 321-2024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45295</v>
      </c>
      <c r="E33" s="1" t="n">
        <v>46309</v>
      </c>
      <c r="F33" t="inlineStr">
        <is>
          <t>GÄVLEBORGS LÄN</t>
        </is>
      </c>
      <c r="G33" t="inlineStr">
        <is>
          <t>NORDANSTIG</t>
        </is>
      </c>
      <c r="H33" t="inlineStr">
        <is>
          <t>Holmen skog AB</t>
        </is>
      </c>
      <c r="I33" t="n">
        <v>1.5</v>
      </c>
      <c r="J33" t="n">
        <v>1</v>
      </c>
      <c r="K33" t="n">
        <v>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</v>
      </c>
      <c r="T33" t="n">
        <v>2</v>
      </c>
      <c r="U33" t="n">
        <v>0</v>
      </c>
      <c r="V33" s="2" t="inlineStr">
        <is>
          <t>Tibast
Tvåblad</t>
        </is>
      </c>
      <c r="W33">
        <f>HYPERLINK("https://klasma.github.io/Logging_2132/artfynd/A 321-2024 artfynd.xlsx", "A 321-2024")</f>
        <v/>
      </c>
      <c r="X33">
        <f>HYPERLINK("https://klasma.github.io/Logging_2132/kartor/A 321-2024 karta.png", "A 321-2024")</f>
        <v/>
      </c>
      <c r="Y33">
        <f>HYPERLINK("https://klasma.github.io/Logging_2132/kartor_geotiff/A 321-2024 georefererad karta.tif", "A 321-2024")</f>
        <v/>
      </c>
      <c r="AA33">
        <f>HYPERLINK("https://klasma.github.io/Logging_2132/klagomål/A 321-2024 FSC-klagomål.docx", "A 321-2024")</f>
        <v/>
      </c>
      <c r="AB33">
        <f>HYPERLINK("https://klasma.github.io/Logging_2132/klagomålsmail/A 321-2024 FSC-klagomål mail.docx", "A 321-2024")</f>
        <v/>
      </c>
      <c r="AC33">
        <f>HYPERLINK("https://klasma.github.io/Logging_2132/tillsyn/A 321-2024 tillsynsbegäran.docx", "A 321-2024")</f>
        <v/>
      </c>
      <c r="AD33">
        <f>HYPERLINK("https://klasma.github.io/Logging_2132/tillsynsmail/A 321-2024 tillsynsbegäran mail.docx", "A 321-2024")</f>
        <v/>
      </c>
    </row>
    <row r="34" ht="15" customHeight="1">
      <c r="A34" t="inlineStr">
        <is>
          <t>A 3781-2026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46043</v>
      </c>
      <c r="E34" s="1" t="n">
        <v>46309</v>
      </c>
      <c r="F34" t="inlineStr">
        <is>
          <t>GÄVLEBORGS LÄN</t>
        </is>
      </c>
      <c r="G34" t="inlineStr">
        <is>
          <t>NORDANSTIG</t>
        </is>
      </c>
      <c r="I34" t="n">
        <v>31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2</v>
      </c>
      <c r="T34" t="n">
        <v>2</v>
      </c>
      <c r="U34" t="n">
        <v>0</v>
      </c>
      <c r="V34" s="2" t="inlineStr">
        <is>
          <t>Garnlav
Fläcknycklar</t>
        </is>
      </c>
      <c r="W34">
        <f>HYPERLINK("https://klasma.github.io/Logging_2132/artfynd/A 3781-2026 artfynd.xlsx", "A 3781-2026")</f>
        <v/>
      </c>
      <c r="X34">
        <f>HYPERLINK("https://klasma.github.io/Logging_2132/kartor/A 3781-2026 karta.png", "A 3781-2026")</f>
        <v/>
      </c>
      <c r="Y34">
        <f>HYPERLINK("https://klasma.github.io/Logging_2132/kartor_geotiff/A 3781-2026 georefererad karta.tif", "A 3781-2026")</f>
        <v/>
      </c>
      <c r="AA34">
        <f>HYPERLINK("https://klasma.github.io/Logging_2132/klagomål/A 3781-2026 FSC-klagomål.docx", "A 3781-2026")</f>
        <v/>
      </c>
      <c r="AB34">
        <f>HYPERLINK("https://klasma.github.io/Logging_2132/klagomålsmail/A 3781-2026 FSC-klagomål mail.docx", "A 3781-2026")</f>
        <v/>
      </c>
      <c r="AC34">
        <f>HYPERLINK("https://klasma.github.io/Logging_2132/tillsyn/A 3781-2026 tillsynsbegäran.docx", "A 3781-2026")</f>
        <v/>
      </c>
      <c r="AD34">
        <f>HYPERLINK("https://klasma.github.io/Logging_2132/tillsynsmail/A 3781-2026 tillsynsbegäran mail.docx", "A 3781-2026")</f>
        <v/>
      </c>
    </row>
    <row r="35" ht="15" customHeight="1">
      <c r="A35" t="inlineStr">
        <is>
          <t>A 3760-2026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46043</v>
      </c>
      <c r="E35" s="1" t="n">
        <v>46309</v>
      </c>
      <c r="F35" t="inlineStr">
        <is>
          <t>GÄVLEBORGS LÄN</t>
        </is>
      </c>
      <c r="G35" t="inlineStr">
        <is>
          <t>NORDANSTIG</t>
        </is>
      </c>
      <c r="I35" t="n">
        <v>3.4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2</v>
      </c>
      <c r="T35" t="n">
        <v>2</v>
      </c>
      <c r="U35" t="n">
        <v>0</v>
      </c>
      <c r="V35" s="2" t="inlineStr">
        <is>
          <t>Aspgelélav
Skinnlav</t>
        </is>
      </c>
      <c r="W35">
        <f>HYPERLINK("https://klasma.github.io/Logging_2132/artfynd/A 3760-2026 artfynd.xlsx", "A 3760-2026")</f>
        <v/>
      </c>
      <c r="X35">
        <f>HYPERLINK("https://klasma.github.io/Logging_2132/kartor/A 3760-2026 karta.png", "A 3760-2026")</f>
        <v/>
      </c>
      <c r="Y35">
        <f>HYPERLINK("https://klasma.github.io/Logging_2132/kartor_geotiff/A 3760-2026 georefererad karta.tif", "A 3760-2026")</f>
        <v/>
      </c>
      <c r="AA35">
        <f>HYPERLINK("https://klasma.github.io/Logging_2132/klagomål/A 3760-2026 FSC-klagomål.docx", "A 3760-2026")</f>
        <v/>
      </c>
      <c r="AB35">
        <f>HYPERLINK("https://klasma.github.io/Logging_2132/klagomålsmail/A 3760-2026 FSC-klagomål mail.docx", "A 3760-2026")</f>
        <v/>
      </c>
      <c r="AC35">
        <f>HYPERLINK("https://klasma.github.io/Logging_2132/tillsyn/A 3760-2026 tillsynsbegäran.docx", "A 3760-2026")</f>
        <v/>
      </c>
      <c r="AD35">
        <f>HYPERLINK("https://klasma.github.io/Logging_2132/tillsynsmail/A 3760-2026 tillsynsbegäran mail.docx", "A 3760-2026")</f>
        <v/>
      </c>
    </row>
    <row r="36" ht="15" customHeight="1">
      <c r="A36" t="inlineStr">
        <is>
          <t>A 62767-2022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44884</v>
      </c>
      <c r="E36" s="1" t="n">
        <v>46309</v>
      </c>
      <c r="F36" t="inlineStr">
        <is>
          <t>GÄVLEBORGS LÄN</t>
        </is>
      </c>
      <c r="G36" t="inlineStr">
        <is>
          <t>NORDANSTIG</t>
        </is>
      </c>
      <c r="H36" t="inlineStr">
        <is>
          <t>SCA</t>
        </is>
      </c>
      <c r="I36" t="n">
        <v>13.3</v>
      </c>
      <c r="J36" t="n">
        <v>2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26</v>
      </c>
      <c r="U36" t="n">
        <v>1</v>
      </c>
      <c r="V36" s="2" t="inlineStr">
        <is>
          <t>Skogsknipprot
Törnskata</t>
        </is>
      </c>
      <c r="W36">
        <f>HYPERLINK("https://klasma.github.io/Logging_2132/artfynd/A 62767-2022 artfynd.xlsx", "A 62767-2022")</f>
        <v/>
      </c>
      <c r="X36">
        <f>HYPERLINK("https://klasma.github.io/Logging_2132/kartor/A 62767-2022 karta.png", "A 62767-2022")</f>
        <v/>
      </c>
      <c r="Y36">
        <f>HYPERLINK("https://klasma.github.io/Logging_2132/kartor_geotiff/A 62767-2022 georefererad karta.tif", "A 62767-2022")</f>
        <v/>
      </c>
      <c r="AA36">
        <f>HYPERLINK("https://klasma.github.io/Logging_2132/klagomål/A 62767-2022 FSC-klagomål.docx", "A 62767-2022")</f>
        <v/>
      </c>
      <c r="AB36">
        <f>HYPERLINK("https://klasma.github.io/Logging_2132/klagomålsmail/A 62767-2022 FSC-klagomål mail.docx", "A 62767-2022")</f>
        <v/>
      </c>
      <c r="AC36">
        <f>HYPERLINK("https://klasma.github.io/Logging_2132/tillsyn/A 62767-2022 tillsynsbegäran.docx", "A 62767-2022")</f>
        <v/>
      </c>
      <c r="AD36">
        <f>HYPERLINK("https://klasma.github.io/Logging_2132/tillsynsmail/A 62767-2022 tillsynsbegäran mail.docx", "A 62767-2022")</f>
        <v/>
      </c>
      <c r="AE36">
        <f>HYPERLINK("https://klasma.github.io/Logging_2132/fåglar/A 62767-2022 prioriterade fågelarter.docx", "A 62767-2022")</f>
        <v/>
      </c>
    </row>
    <row r="37" ht="15" customHeight="1">
      <c r="A37" t="inlineStr">
        <is>
          <t>A 18926-2022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44690</v>
      </c>
      <c r="E37" s="1" t="n">
        <v>46309</v>
      </c>
      <c r="F37" t="inlineStr">
        <is>
          <t>GÄVLEBORGS LÄN</t>
        </is>
      </c>
      <c r="G37" t="inlineStr">
        <is>
          <t>NORDANSTIG</t>
        </is>
      </c>
      <c r="H37" t="inlineStr">
        <is>
          <t>Holmen skog AB</t>
        </is>
      </c>
      <c r="I37" t="n">
        <v>11.4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</v>
      </c>
      <c r="T37" t="n">
        <v>2</v>
      </c>
      <c r="U37" t="n">
        <v>2</v>
      </c>
      <c r="V37" s="2" t="inlineStr">
        <is>
          <t>Spillkråka
Trana</t>
        </is>
      </c>
      <c r="W37">
        <f>HYPERLINK("https://klasma.github.io/Logging_2132/artfynd/A 18926-2022 artfynd.xlsx", "A 18926-2022")</f>
        <v/>
      </c>
      <c r="X37">
        <f>HYPERLINK("https://klasma.github.io/Logging_2132/kartor/A 18926-2022 karta.png", "A 18926-2022")</f>
        <v/>
      </c>
      <c r="Y37">
        <f>HYPERLINK("https://klasma.github.io/Logging_2132/kartor_geotiff/A 18926-2022 georefererad karta.tif", "A 18926-2022")</f>
        <v/>
      </c>
      <c r="AA37">
        <f>HYPERLINK("https://klasma.github.io/Logging_2132/klagomål/A 18926-2022 FSC-klagomål.docx", "A 18926-2022")</f>
        <v/>
      </c>
      <c r="AB37">
        <f>HYPERLINK("https://klasma.github.io/Logging_2132/klagomålsmail/A 18926-2022 FSC-klagomål mail.docx", "A 18926-2022")</f>
        <v/>
      </c>
      <c r="AC37">
        <f>HYPERLINK("https://klasma.github.io/Logging_2132/tillsyn/A 18926-2022 tillsynsbegäran.docx", "A 18926-2022")</f>
        <v/>
      </c>
      <c r="AD37">
        <f>HYPERLINK("https://klasma.github.io/Logging_2132/tillsynsmail/A 18926-2022 tillsynsbegäran mail.docx", "A 18926-2022")</f>
        <v/>
      </c>
      <c r="AE37">
        <f>HYPERLINK("https://klasma.github.io/Logging_2132/fåglar/A 18926-2022 prioriterade fågelarter.docx", "A 18926-2022")</f>
        <v/>
      </c>
    </row>
    <row r="38" ht="15" customHeight="1">
      <c r="A38" t="inlineStr">
        <is>
          <t>A 9202-2026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46070</v>
      </c>
      <c r="E38" s="1" t="n">
        <v>46309</v>
      </c>
      <c r="F38" t="inlineStr">
        <is>
          <t>GÄVLEBORGS LÄN</t>
        </is>
      </c>
      <c r="G38" t="inlineStr">
        <is>
          <t>NORDANSTIG</t>
        </is>
      </c>
      <c r="I38" t="n">
        <v>41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2</v>
      </c>
      <c r="T38" t="n">
        <v>2</v>
      </c>
      <c r="U38" t="n">
        <v>0</v>
      </c>
      <c r="V38" s="2" t="inlineStr">
        <is>
          <t>Vitfläckig guldvinge
Barkticka</t>
        </is>
      </c>
      <c r="W38">
        <f>HYPERLINK("https://klasma.github.io/Logging_2132/artfynd/A 9202-2026 artfynd.xlsx", "A 9202-2026")</f>
        <v/>
      </c>
      <c r="X38">
        <f>HYPERLINK("https://klasma.github.io/Logging_2132/kartor/A 9202-2026 karta.png", "A 9202-2026")</f>
        <v/>
      </c>
      <c r="Y38">
        <f>HYPERLINK("https://klasma.github.io/Logging_2132/kartor_geotiff/A 9202-2026 georefererad karta.tif", "A 9202-2026")</f>
        <v/>
      </c>
      <c r="AA38">
        <f>HYPERLINK("https://klasma.github.io/Logging_2132/klagomål/A 9202-2026 FSC-klagomål.docx", "A 9202-2026")</f>
        <v/>
      </c>
      <c r="AB38">
        <f>HYPERLINK("https://klasma.github.io/Logging_2132/klagomålsmail/A 9202-2026 FSC-klagomål mail.docx", "A 9202-2026")</f>
        <v/>
      </c>
      <c r="AC38">
        <f>HYPERLINK("https://klasma.github.io/Logging_2132/tillsyn/A 9202-2026 tillsynsbegäran.docx", "A 9202-2026")</f>
        <v/>
      </c>
      <c r="AD38">
        <f>HYPERLINK("https://klasma.github.io/Logging_2132/tillsynsmail/A 9202-2026 tillsynsbegäran mail.docx", "A 9202-2026")</f>
        <v/>
      </c>
    </row>
    <row r="39" ht="15" customHeight="1">
      <c r="A39" t="inlineStr">
        <is>
          <t>A 60231-2025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45994</v>
      </c>
      <c r="E39" s="1" t="n">
        <v>46309</v>
      </c>
      <c r="F39" t="inlineStr">
        <is>
          <t>GÄVLEBORGS LÄN</t>
        </is>
      </c>
      <c r="G39" t="inlineStr">
        <is>
          <t>NORDANSTIG</t>
        </is>
      </c>
      <c r="I39" t="n">
        <v>5.2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2</v>
      </c>
      <c r="T39" t="n">
        <v>2</v>
      </c>
      <c r="U39" t="n">
        <v>0</v>
      </c>
      <c r="V39" s="2" t="inlineStr">
        <is>
          <t>Dropptaggsvamp
Revlummer</t>
        </is>
      </c>
      <c r="W39">
        <f>HYPERLINK("https://klasma.github.io/Logging_2132/artfynd/A 60231-2025 artfynd.xlsx", "A 60231-2025")</f>
        <v/>
      </c>
      <c r="X39">
        <f>HYPERLINK("https://klasma.github.io/Logging_2132/kartor/A 60231-2025 karta.png", "A 60231-2025")</f>
        <v/>
      </c>
      <c r="Y39">
        <f>HYPERLINK("https://klasma.github.io/Logging_2132/kartor_geotiff/A 60231-2025 georefererad karta.tif", "A 60231-2025")</f>
        <v/>
      </c>
      <c r="AA39">
        <f>HYPERLINK("https://klasma.github.io/Logging_2132/klagomål/A 60231-2025 FSC-klagomål.docx", "A 60231-2025")</f>
        <v/>
      </c>
      <c r="AB39">
        <f>HYPERLINK("https://klasma.github.io/Logging_2132/klagomålsmail/A 60231-2025 FSC-klagomål mail.docx", "A 60231-2025")</f>
        <v/>
      </c>
      <c r="AC39">
        <f>HYPERLINK("https://klasma.github.io/Logging_2132/tillsyn/A 60231-2025 tillsynsbegäran.docx", "A 60231-2025")</f>
        <v/>
      </c>
      <c r="AD39">
        <f>HYPERLINK("https://klasma.github.io/Logging_2132/tillsynsmail/A 60231-2025 tillsynsbegäran mail.docx", "A 60231-2025")</f>
        <v/>
      </c>
    </row>
    <row r="40" ht="15" customHeight="1">
      <c r="A40" t="inlineStr">
        <is>
          <t>A 31066-2024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45502</v>
      </c>
      <c r="E40" s="1" t="n">
        <v>46309</v>
      </c>
      <c r="F40" t="inlineStr">
        <is>
          <t>GÄVLEBORGS LÄN</t>
        </is>
      </c>
      <c r="G40" t="inlineStr">
        <is>
          <t>NORDANSTIG</t>
        </is>
      </c>
      <c r="H40" t="inlineStr">
        <is>
          <t>Holmen skog AB</t>
        </is>
      </c>
      <c r="I40" t="n">
        <v>4.7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2</v>
      </c>
      <c r="T40" t="n">
        <v>2</v>
      </c>
      <c r="U40" t="n">
        <v>0</v>
      </c>
      <c r="V40" s="2" t="inlineStr">
        <is>
          <t>Lunglav
Smal svampklubba</t>
        </is>
      </c>
      <c r="W40">
        <f>HYPERLINK("https://klasma.github.io/Logging_2132/artfynd/A 31066-2024 artfynd.xlsx", "A 31066-2024")</f>
        <v/>
      </c>
      <c r="X40">
        <f>HYPERLINK("https://klasma.github.io/Logging_2132/kartor/A 31066-2024 karta.png", "A 31066-2024")</f>
        <v/>
      </c>
      <c r="Y40">
        <f>HYPERLINK("https://klasma.github.io/Logging_2132/kartor_geotiff/A 31066-2024 georefererad karta.tif", "A 31066-2024")</f>
        <v/>
      </c>
      <c r="AA40">
        <f>HYPERLINK("https://klasma.github.io/Logging_2132/klagomål/A 31066-2024 FSC-klagomål.docx", "A 31066-2024")</f>
        <v/>
      </c>
      <c r="AB40">
        <f>HYPERLINK("https://klasma.github.io/Logging_2132/klagomålsmail/A 31066-2024 FSC-klagomål mail.docx", "A 31066-2024")</f>
        <v/>
      </c>
      <c r="AC40">
        <f>HYPERLINK("https://klasma.github.io/Logging_2132/tillsyn/A 31066-2024 tillsynsbegäran.docx", "A 31066-2024")</f>
        <v/>
      </c>
      <c r="AD40">
        <f>HYPERLINK("https://klasma.github.io/Logging_2132/tillsynsmail/A 31066-2024 tillsynsbegäran mail.docx", "A 31066-2024")</f>
        <v/>
      </c>
    </row>
    <row r="41" ht="15" customHeight="1">
      <c r="A41" t="inlineStr">
        <is>
          <t>A 17006-2026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46114</v>
      </c>
      <c r="E41" s="1" t="n">
        <v>46309</v>
      </c>
      <c r="F41" t="inlineStr">
        <is>
          <t>GÄVLEBORGS LÄN</t>
        </is>
      </c>
      <c r="G41" t="inlineStr">
        <is>
          <t>NORDANSTIG</t>
        </is>
      </c>
      <c r="I41" t="n">
        <v>3.1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</v>
      </c>
      <c r="T41" t="n">
        <v>13</v>
      </c>
      <c r="U41" t="n">
        <v>0</v>
      </c>
      <c r="V41" s="2" t="inlineStr">
        <is>
          <t>Tjäder
Fläcknycklar</t>
        </is>
      </c>
      <c r="W41">
        <f>HYPERLINK("https://klasma.github.io/Logging_2132/artfynd/A 17006-2026 artfynd.xlsx", "A 17006-2026")</f>
        <v/>
      </c>
      <c r="X41">
        <f>HYPERLINK("https://klasma.github.io/Logging_2132/kartor/A 17006-2026 karta.png", "A 17006-2026")</f>
        <v/>
      </c>
      <c r="Y41">
        <f>HYPERLINK("https://klasma.github.io/Logging_2132/kartor_geotiff/A 17006-2026 georefererad karta.tif", "A 17006-2026")</f>
        <v/>
      </c>
      <c r="AA41">
        <f>HYPERLINK("https://klasma.github.io/Logging_2132/klagomål/A 17006-2026 FSC-klagomål.docx", "A 17006-2026")</f>
        <v/>
      </c>
      <c r="AB41">
        <f>HYPERLINK("https://klasma.github.io/Logging_2132/klagomålsmail/A 17006-2026 FSC-klagomål mail.docx", "A 17006-2026")</f>
        <v/>
      </c>
      <c r="AC41">
        <f>HYPERLINK("https://klasma.github.io/Logging_2132/tillsyn/A 17006-2026 tillsynsbegäran.docx", "A 17006-2026")</f>
        <v/>
      </c>
      <c r="AD41">
        <f>HYPERLINK("https://klasma.github.io/Logging_2132/tillsynsmail/A 17006-2026 tillsynsbegäran mail.docx", "A 17006-2026")</f>
        <v/>
      </c>
      <c r="AE41">
        <f>HYPERLINK("https://klasma.github.io/Logging_2132/fåglar/A 17006-2026 prioriterade fågelarter.docx", "A 17006-2026")</f>
        <v/>
      </c>
    </row>
    <row r="42" ht="15" customHeight="1">
      <c r="A42" t="inlineStr">
        <is>
          <t>A 470-2024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45297</v>
      </c>
      <c r="E42" s="1" t="n">
        <v>46309</v>
      </c>
      <c r="F42" t="inlineStr">
        <is>
          <t>GÄVLEBORGS LÄN</t>
        </is>
      </c>
      <c r="G42" t="inlineStr">
        <is>
          <t>NORDANSTIG</t>
        </is>
      </c>
      <c r="H42" t="inlineStr">
        <is>
          <t>Holmen skog AB</t>
        </is>
      </c>
      <c r="I42" t="n">
        <v>4.1</v>
      </c>
      <c r="J42" t="n">
        <v>2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2</v>
      </c>
      <c r="T42" t="n">
        <v>2</v>
      </c>
      <c r="U42" t="n">
        <v>0</v>
      </c>
      <c r="V42" s="2" t="inlineStr">
        <is>
          <t>Duvhök
Kungsfågel</t>
        </is>
      </c>
      <c r="W42">
        <f>HYPERLINK("https://klasma.github.io/Logging_2132/artfynd/A 470-2024 artfynd.xlsx", "A 470-2024")</f>
        <v/>
      </c>
      <c r="X42">
        <f>HYPERLINK("https://klasma.github.io/Logging_2132/kartor/A 470-2024 karta.png", "A 470-2024")</f>
        <v/>
      </c>
      <c r="Y42">
        <f>HYPERLINK("https://klasma.github.io/Logging_2132/kartor_geotiff/A 470-2024 georefererad karta.tif", "A 470-2024")</f>
        <v/>
      </c>
      <c r="AA42">
        <f>HYPERLINK("https://klasma.github.io/Logging_2132/klagomål/A 470-2024 FSC-klagomål.docx", "A 470-2024")</f>
        <v/>
      </c>
      <c r="AB42">
        <f>HYPERLINK("https://klasma.github.io/Logging_2132/klagomålsmail/A 470-2024 FSC-klagomål mail.docx", "A 470-2024")</f>
        <v/>
      </c>
      <c r="AC42">
        <f>HYPERLINK("https://klasma.github.io/Logging_2132/tillsyn/A 470-2024 tillsynsbegäran.docx", "A 470-2024")</f>
        <v/>
      </c>
      <c r="AD42">
        <f>HYPERLINK("https://klasma.github.io/Logging_2132/tillsynsmail/A 470-2024 tillsynsbegäran mail.docx", "A 470-2024")</f>
        <v/>
      </c>
      <c r="AE42">
        <f>HYPERLINK("https://klasma.github.io/Logging_2132/fåglar/A 470-2024 prioriterade fågelarter.docx", "A 470-2024")</f>
        <v/>
      </c>
    </row>
    <row r="43" ht="15" customHeight="1">
      <c r="A43" t="inlineStr">
        <is>
          <t>A 31053-2024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45502</v>
      </c>
      <c r="E43" s="1" t="n">
        <v>46309</v>
      </c>
      <c r="F43" t="inlineStr">
        <is>
          <t>GÄVLEBORGS LÄN</t>
        </is>
      </c>
      <c r="G43" t="inlineStr">
        <is>
          <t>NORDANSTIG</t>
        </is>
      </c>
      <c r="H43" t="inlineStr">
        <is>
          <t>Holmen skog AB</t>
        </is>
      </c>
      <c r="I43" t="n">
        <v>5.5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</v>
      </c>
      <c r="T43" t="n">
        <v>2</v>
      </c>
      <c r="U43" t="n">
        <v>1</v>
      </c>
      <c r="V43" s="2" t="inlineStr">
        <is>
          <t>Smal svampklubba
Fläcknycklar</t>
        </is>
      </c>
      <c r="W43">
        <f>HYPERLINK("https://klasma.github.io/Logging_2132/artfynd/A 31053-2024 artfynd.xlsx", "A 31053-2024")</f>
        <v/>
      </c>
      <c r="X43">
        <f>HYPERLINK("https://klasma.github.io/Logging_2132/kartor/A 31053-2024 karta.png", "A 31053-2024")</f>
        <v/>
      </c>
      <c r="Y43">
        <f>HYPERLINK("https://klasma.github.io/Logging_2132/kartor_geotiff/A 31053-2024 georefererad karta.tif", "A 31053-2024")</f>
        <v/>
      </c>
      <c r="AA43">
        <f>HYPERLINK("https://klasma.github.io/Logging_2132/klagomål/A 31053-2024 FSC-klagomål.docx", "A 31053-2024")</f>
        <v/>
      </c>
      <c r="AB43">
        <f>HYPERLINK("https://klasma.github.io/Logging_2132/klagomålsmail/A 31053-2024 FSC-klagomål mail.docx", "A 31053-2024")</f>
        <v/>
      </c>
      <c r="AC43">
        <f>HYPERLINK("https://klasma.github.io/Logging_2132/tillsyn/A 31053-2024 tillsynsbegäran.docx", "A 31053-2024")</f>
        <v/>
      </c>
      <c r="AD43">
        <f>HYPERLINK("https://klasma.github.io/Logging_2132/tillsynsmail/A 31053-2024 tillsynsbegäran mail.docx", "A 31053-2024")</f>
        <v/>
      </c>
    </row>
    <row r="44" ht="15" customHeight="1">
      <c r="A44" t="inlineStr">
        <is>
          <t>A 4409-2025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45686</v>
      </c>
      <c r="E44" s="1" t="n">
        <v>46309</v>
      </c>
      <c r="F44" t="inlineStr">
        <is>
          <t>GÄVLEBORGS LÄN</t>
        </is>
      </c>
      <c r="G44" t="inlineStr">
        <is>
          <t>NORDANSTIG</t>
        </is>
      </c>
      <c r="H44" t="inlineStr">
        <is>
          <t>Holmen skog AB</t>
        </is>
      </c>
      <c r="I44" t="n">
        <v>5.4</v>
      </c>
      <c r="J44" t="n">
        <v>0</v>
      </c>
      <c r="K44" t="n">
        <v>1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2</v>
      </c>
      <c r="T44" t="n">
        <v>3</v>
      </c>
      <c r="U44" t="n">
        <v>0</v>
      </c>
      <c r="V44" s="2" t="inlineStr">
        <is>
          <t>Lunglav
Luddlav</t>
        </is>
      </c>
      <c r="W44">
        <f>HYPERLINK("https://klasma.github.io/Logging_2132/artfynd/A 4409-2025 artfynd.xlsx", "A 4409-2025")</f>
        <v/>
      </c>
      <c r="X44">
        <f>HYPERLINK("https://klasma.github.io/Logging_2132/kartor/A 4409-2025 karta.png", "A 4409-2025")</f>
        <v/>
      </c>
      <c r="Y44">
        <f>HYPERLINK("https://klasma.github.io/Logging_2132/kartor_geotiff/A 4409-2025 georefererad karta.tif", "A 4409-2025")</f>
        <v/>
      </c>
      <c r="AA44">
        <f>HYPERLINK("https://klasma.github.io/Logging_2132/klagomål/A 4409-2025 FSC-klagomål.docx", "A 4409-2025")</f>
        <v/>
      </c>
      <c r="AB44">
        <f>HYPERLINK("https://klasma.github.io/Logging_2132/klagomålsmail/A 4409-2025 FSC-klagomål mail.docx", "A 4409-2025")</f>
        <v/>
      </c>
      <c r="AC44">
        <f>HYPERLINK("https://klasma.github.io/Logging_2132/tillsyn/A 4409-2025 tillsynsbegäran.docx", "A 4409-2025")</f>
        <v/>
      </c>
      <c r="AD44">
        <f>HYPERLINK("https://klasma.github.io/Logging_2132/tillsynsmail/A 4409-2025 tillsynsbegäran mail.docx", "A 4409-2025")</f>
        <v/>
      </c>
    </row>
    <row r="45" ht="15" customHeight="1">
      <c r="A45" t="inlineStr">
        <is>
          <t>A 29578-2023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45106</v>
      </c>
      <c r="E45" s="1" t="n">
        <v>46309</v>
      </c>
      <c r="F45" t="inlineStr">
        <is>
          <t>GÄVLEBORGS LÄN</t>
        </is>
      </c>
      <c r="G45" t="inlineStr">
        <is>
          <t>NORDANSTIG</t>
        </is>
      </c>
      <c r="H45" t="inlineStr">
        <is>
          <t>Holmen skog AB</t>
        </is>
      </c>
      <c r="I45" t="n">
        <v>5.3</v>
      </c>
      <c r="J45" t="n">
        <v>2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2</v>
      </c>
      <c r="T45" t="n">
        <v>2</v>
      </c>
      <c r="U45" t="n">
        <v>0</v>
      </c>
      <c r="V45" s="2" t="inlineStr">
        <is>
          <t>Talltita
Blåsippa</t>
        </is>
      </c>
      <c r="W45">
        <f>HYPERLINK("https://klasma.github.io/Logging_2132/artfynd/A 29578-2023 artfynd.xlsx", "A 29578-2023")</f>
        <v/>
      </c>
      <c r="X45">
        <f>HYPERLINK("https://klasma.github.io/Logging_2132/kartor/A 29578-2023 karta.png", "A 29578-2023")</f>
        <v/>
      </c>
      <c r="Y45">
        <f>HYPERLINK("https://klasma.github.io/Logging_2132/kartor_geotiff/A 29578-2023 georefererad karta.tif", "A 29578-2023")</f>
        <v/>
      </c>
      <c r="AA45">
        <f>HYPERLINK("https://klasma.github.io/Logging_2132/klagomål/A 29578-2023 FSC-klagomål.docx", "A 29578-2023")</f>
        <v/>
      </c>
      <c r="AB45">
        <f>HYPERLINK("https://klasma.github.io/Logging_2132/klagomålsmail/A 29578-2023 FSC-klagomål mail.docx", "A 29578-2023")</f>
        <v/>
      </c>
      <c r="AC45">
        <f>HYPERLINK("https://klasma.github.io/Logging_2132/tillsyn/A 29578-2023 tillsynsbegäran.docx", "A 29578-2023")</f>
        <v/>
      </c>
      <c r="AD45">
        <f>HYPERLINK("https://klasma.github.io/Logging_2132/tillsynsmail/A 29578-2023 tillsynsbegäran mail.docx", "A 29578-2023")</f>
        <v/>
      </c>
      <c r="AE45">
        <f>HYPERLINK("https://klasma.github.io/Logging_2132/fåglar/A 29578-2023 prioriterade fågelarter.docx", "A 29578-2023")</f>
        <v/>
      </c>
    </row>
    <row r="46" ht="15" customHeight="1">
      <c r="A46" t="inlineStr">
        <is>
          <t>A 32946-2026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46244</v>
      </c>
      <c r="E46" s="1" t="n">
        <v>46309</v>
      </c>
      <c r="F46" t="inlineStr">
        <is>
          <t>GÄVLEBORGS LÄN</t>
        </is>
      </c>
      <c r="G46" t="inlineStr">
        <is>
          <t>NORDANSTIG</t>
        </is>
      </c>
      <c r="I46" t="n">
        <v>0.9</v>
      </c>
      <c r="J46" t="n">
        <v>0</v>
      </c>
      <c r="K46" t="n">
        <v>1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2</v>
      </c>
      <c r="T46" t="n">
        <v>2</v>
      </c>
      <c r="U46" t="n">
        <v>0</v>
      </c>
      <c r="V46" s="2" t="inlineStr">
        <is>
          <t>Fjällig taggsvamp s.str.
Tibast</t>
        </is>
      </c>
      <c r="W46">
        <f>HYPERLINK("https://klasma.github.io/Logging_2132/artfynd/A 32946-2026 artfynd.xlsx", "A 32946-2026")</f>
        <v/>
      </c>
      <c r="X46">
        <f>HYPERLINK("https://klasma.github.io/Logging_2132/kartor/A 32946-2026 karta.png", "A 32946-2026")</f>
        <v/>
      </c>
      <c r="Y46">
        <f>HYPERLINK("https://klasma.github.io/Logging_2132/kartor_geotiff/A 32946-2026 georefererad karta.tif", "A 32946-2026")</f>
        <v/>
      </c>
      <c r="AA46">
        <f>HYPERLINK("https://klasma.github.io/Logging_2132/klagomål/A 32946-2026 FSC-klagomål.docx", "A 32946-2026")</f>
        <v/>
      </c>
      <c r="AB46">
        <f>HYPERLINK("https://klasma.github.io/Logging_2132/klagomålsmail/A 32946-2026 FSC-klagomål mail.docx", "A 32946-2026")</f>
        <v/>
      </c>
      <c r="AC46">
        <f>HYPERLINK("https://klasma.github.io/Logging_2132/tillsyn/A 32946-2026 tillsynsbegäran.docx", "A 32946-2026")</f>
        <v/>
      </c>
      <c r="AD46">
        <f>HYPERLINK("https://klasma.github.io/Logging_2132/tillsynsmail/A 32946-2026 tillsynsbegäran mail.docx", "A 32946-2026")</f>
        <v/>
      </c>
    </row>
    <row r="47" ht="15" customHeight="1">
      <c r="A47" t="inlineStr">
        <is>
          <t>S 362-2022</t>
        </is>
      </c>
      <c r="B47" t="inlineStr">
        <is>
          <t>samrådsanmälan</t>
        </is>
      </c>
      <c r="C47" t="inlineStr">
        <is>
          <t>Åtgärd i nyckelbiotop</t>
        </is>
      </c>
      <c r="D47" s="1" t="n">
        <v>44582</v>
      </c>
      <c r="E47" s="1" t="n">
        <v>46309</v>
      </c>
      <c r="F47" t="inlineStr">
        <is>
          <t>GÄVLEBORGS LÄN</t>
        </is>
      </c>
      <c r="G47" t="inlineStr">
        <is>
          <t>NORDANSTIG</t>
        </is>
      </c>
      <c r="H47" t="inlineStr">
        <is>
          <t>Naturvårdsverket</t>
        </is>
      </c>
      <c r="I47" t="n">
        <v>0.9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2</v>
      </c>
      <c r="R47" t="n">
        <v>1</v>
      </c>
      <c r="S47" t="n">
        <v>2</v>
      </c>
      <c r="T47" t="n">
        <v>2</v>
      </c>
      <c r="U47" t="n">
        <v>0</v>
      </c>
      <c r="V47" s="2" t="inlineStr">
        <is>
          <t>Garnlav
Lunglav</t>
        </is>
      </c>
      <c r="W47">
        <f>HYPERLINK("https://klasma.github.io/Logging_2132/artfynd/S 362-2022 artfynd.xlsx", "S 362-2022")</f>
        <v/>
      </c>
      <c r="X47">
        <f>HYPERLINK("https://klasma.github.io/Logging_2132/kartor/S 362-2022 karta.png", "S 362-2022")</f>
        <v/>
      </c>
      <c r="Y47">
        <f>HYPERLINK("https://klasma.github.io/Logging_2132/kartor_geotiff/S 362-2022 georefererad karta.tif", "S 362-2022")</f>
        <v/>
      </c>
      <c r="AA47">
        <f>HYPERLINK("https://klasma.github.io/Logging_2132/klagomål/S 362-2022 FSC-klagomål.docx", "S 362-2022")</f>
        <v/>
      </c>
      <c r="AB47">
        <f>HYPERLINK("https://klasma.github.io/Logging_2132/klagomålsmail/S 362-2022 FSC-klagomål mail.docx", "S 362-2022")</f>
        <v/>
      </c>
      <c r="AC47">
        <f>HYPERLINK("https://klasma.github.io/Logging_2132/tillsyn/S 362-2022 tillsynsbegäran.docx", "S 362-2022")</f>
        <v/>
      </c>
      <c r="AD47">
        <f>HYPERLINK("https://klasma.github.io/Logging_2132/tillsynsmail/S 362-2022 tillsynsbegäran mail.docx", "S 362-2022")</f>
        <v/>
      </c>
    </row>
    <row r="48" ht="15" customHeight="1">
      <c r="A48" t="inlineStr">
        <is>
          <t>S 119-2025</t>
        </is>
      </c>
      <c r="B48" t="inlineStr">
        <is>
          <t>samrådsanmälan</t>
        </is>
      </c>
      <c r="C48" t="inlineStr">
        <is>
          <t>Skogsgödsling</t>
        </is>
      </c>
      <c r="D48" s="1" t="n">
        <v>45670</v>
      </c>
      <c r="E48" s="1" t="n">
        <v>46309</v>
      </c>
      <c r="F48" t="inlineStr">
        <is>
          <t>GÄVLEBORGS LÄN</t>
        </is>
      </c>
      <c r="G48" t="inlineStr">
        <is>
          <t>NORDANSTIG</t>
        </is>
      </c>
      <c r="H48" t="inlineStr">
        <is>
          <t>Holmen skog AB</t>
        </is>
      </c>
      <c r="I48" t="n">
        <v>142.1</v>
      </c>
      <c r="J48" t="n">
        <v>1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2</v>
      </c>
      <c r="T48" t="n">
        <v>2</v>
      </c>
      <c r="U48" t="n">
        <v>0</v>
      </c>
      <c r="V48" s="2" t="inlineStr">
        <is>
          <t>Skogshare
Orre</t>
        </is>
      </c>
      <c r="W48">
        <f>HYPERLINK("https://klasma.github.io/Logging_2132/artfynd/S 119-2025 artfynd.xlsx", "S 119-2025")</f>
        <v/>
      </c>
      <c r="X48">
        <f>HYPERLINK("https://klasma.github.io/Logging_2132/kartor/S 119-2025 karta.png", "S 119-2025")</f>
        <v/>
      </c>
      <c r="Y48">
        <f>HYPERLINK("https://klasma.github.io/Logging_2132/kartor_geotiff/S 119-2025 georefererad karta.tif", "S 119-2025")</f>
        <v/>
      </c>
      <c r="AA48">
        <f>HYPERLINK("https://klasma.github.io/Logging_2132/klagomål/S 119-2025 FSC-klagomål.docx", "S 119-2025")</f>
        <v/>
      </c>
      <c r="AB48">
        <f>HYPERLINK("https://klasma.github.io/Logging_2132/klagomålsmail/S 119-2025 FSC-klagomål mail.docx", "S 119-2025")</f>
        <v/>
      </c>
      <c r="AC48">
        <f>HYPERLINK("https://klasma.github.io/Logging_2132/tillsyn/S 119-2025 tillsynsbegäran.docx", "S 119-2025")</f>
        <v/>
      </c>
      <c r="AD48">
        <f>HYPERLINK("https://klasma.github.io/Logging_2132/tillsynsmail/S 119-2025 tillsynsbegäran mail.docx", "S 119-2025")</f>
        <v/>
      </c>
      <c r="AE48">
        <f>HYPERLINK("https://klasma.github.io/Logging_2132/fåglar/S 119-2025 prioriterade fågelarter.docx", "S 119-2025")</f>
        <v/>
      </c>
    </row>
    <row r="49" ht="15" customHeight="1">
      <c r="A49" t="inlineStr">
        <is>
          <t>S 776-2025</t>
        </is>
      </c>
      <c r="B49" t="inlineStr">
        <is>
          <t>samrådsanmälan</t>
        </is>
      </c>
      <c r="C49" t="inlineStr">
        <is>
          <t>Annan skogsbruksåtgärd</t>
        </is>
      </c>
      <c r="D49" s="1" t="n">
        <v>45728</v>
      </c>
      <c r="E49" s="1" t="n">
        <v>46309</v>
      </c>
      <c r="F49" t="inlineStr">
        <is>
          <t>GÄVLEBORGS LÄN</t>
        </is>
      </c>
      <c r="G49" t="inlineStr">
        <is>
          <t>NORDANSTIG</t>
        </is>
      </c>
      <c r="I49" t="n">
        <v>0.3</v>
      </c>
      <c r="J49" t="n">
        <v>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</v>
      </c>
      <c r="T49" t="n">
        <v>2</v>
      </c>
      <c r="U49" t="n">
        <v>0</v>
      </c>
      <c r="V49" s="2" t="inlineStr">
        <is>
          <t>Kungsfågel
Utter</t>
        </is>
      </c>
      <c r="W49">
        <f>HYPERLINK("https://klasma.github.io/Logging_2132/artfynd/S 776-2025 artfynd.xlsx", "S 776-2025")</f>
        <v/>
      </c>
      <c r="X49">
        <f>HYPERLINK("https://klasma.github.io/Logging_2132/kartor/S 776-2025 karta.png", "S 776-2025")</f>
        <v/>
      </c>
      <c r="Y49">
        <f>HYPERLINK("https://klasma.github.io/Logging_2132/kartor_geotiff/S 776-2025 georefererad karta.tif", "S 776-2025")</f>
        <v/>
      </c>
      <c r="AA49">
        <f>HYPERLINK("https://klasma.github.io/Logging_2132/klagomål/S 776-2025 FSC-klagomål.docx", "S 776-2025")</f>
        <v/>
      </c>
      <c r="AB49">
        <f>HYPERLINK("https://klasma.github.io/Logging_2132/klagomålsmail/S 776-2025 FSC-klagomål mail.docx", "S 776-2025")</f>
        <v/>
      </c>
      <c r="AC49">
        <f>HYPERLINK("https://klasma.github.io/Logging_2132/tillsyn/S 776-2025 tillsynsbegäran.docx", "S 776-2025")</f>
        <v/>
      </c>
      <c r="AD49">
        <f>HYPERLINK("https://klasma.github.io/Logging_2132/tillsynsmail/S 776-2025 tillsynsbegäran mail.docx", "S 776-2025")</f>
        <v/>
      </c>
    </row>
    <row r="50" ht="15" customHeight="1">
      <c r="A50" t="inlineStr">
        <is>
          <t>A 5294-2022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44594</v>
      </c>
      <c r="E50" s="1" t="n">
        <v>46309</v>
      </c>
      <c r="F50" t="inlineStr">
        <is>
          <t>GÄVLEBORGS LÄN</t>
        </is>
      </c>
      <c r="G50" t="inlineStr">
        <is>
          <t>NORDANSTIG</t>
        </is>
      </c>
      <c r="I50" t="n">
        <v>1.2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1</v>
      </c>
      <c r="T50" t="n">
        <v>1</v>
      </c>
      <c r="U50" t="n">
        <v>1</v>
      </c>
      <c r="V50" s="2" t="inlineStr">
        <is>
          <t>Skogsklocka</t>
        </is>
      </c>
      <c r="W50">
        <f>HYPERLINK("https://klasma.github.io/Logging_2132/artfynd/A 5294-2022 artfynd.xlsx", "A 5294-2022")</f>
        <v/>
      </c>
      <c r="X50">
        <f>HYPERLINK("https://klasma.github.io/Logging_2132/kartor/A 5294-2022 karta.png", "A 5294-2022")</f>
        <v/>
      </c>
      <c r="Y50">
        <f>HYPERLINK("https://klasma.github.io/Logging_2132/kartor_geotiff/A 5294-2022 georefererad karta.tif", "A 5294-2022")</f>
        <v/>
      </c>
      <c r="AA50">
        <f>HYPERLINK("https://klasma.github.io/Logging_2132/klagomål/A 5294-2022 FSC-klagomål.docx", "A 5294-2022")</f>
        <v/>
      </c>
      <c r="AB50">
        <f>HYPERLINK("https://klasma.github.io/Logging_2132/klagomålsmail/A 5294-2022 FSC-klagomål mail.docx", "A 5294-2022")</f>
        <v/>
      </c>
      <c r="AC50">
        <f>HYPERLINK("https://klasma.github.io/Logging_2132/tillsyn/A 5294-2022 tillsynsbegäran.docx", "A 5294-2022")</f>
        <v/>
      </c>
      <c r="AD50">
        <f>HYPERLINK("https://klasma.github.io/Logging_2132/tillsynsmail/A 5294-2022 tillsynsbegäran mail.docx", "A 5294-2022")</f>
        <v/>
      </c>
    </row>
    <row r="51" ht="15" customHeight="1">
      <c r="A51" t="inlineStr">
        <is>
          <t>A 59583-2021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44491</v>
      </c>
      <c r="E51" s="1" t="n">
        <v>46309</v>
      </c>
      <c r="F51" t="inlineStr">
        <is>
          <t>GÄVLEBORGS LÄN</t>
        </is>
      </c>
      <c r="G51" t="inlineStr">
        <is>
          <t>NORDANSTIG</t>
        </is>
      </c>
      <c r="H51" t="inlineStr">
        <is>
          <t>Holmen skog AB</t>
        </is>
      </c>
      <c r="I51" t="n">
        <v>0.5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1</v>
      </c>
      <c r="U51" t="n">
        <v>1</v>
      </c>
      <c r="V51" s="2" t="inlineStr">
        <is>
          <t>Tjäder</t>
        </is>
      </c>
      <c r="W51">
        <f>HYPERLINK("https://klasma.github.io/Logging_2132/artfynd/A 59583-2021 artfynd.xlsx", "A 59583-2021")</f>
        <v/>
      </c>
      <c r="X51">
        <f>HYPERLINK("https://klasma.github.io/Logging_2132/kartor/A 59583-2021 karta.png", "A 59583-2021")</f>
        <v/>
      </c>
      <c r="Y51">
        <f>HYPERLINK("https://klasma.github.io/Logging_2132/kartor_geotiff/A 59583-2021 georefererad karta.tif", "A 59583-2021")</f>
        <v/>
      </c>
      <c r="AA51">
        <f>HYPERLINK("https://klasma.github.io/Logging_2132/klagomål/A 59583-2021 FSC-klagomål.docx", "A 59583-2021")</f>
        <v/>
      </c>
      <c r="AB51">
        <f>HYPERLINK("https://klasma.github.io/Logging_2132/klagomålsmail/A 59583-2021 FSC-klagomål mail.docx", "A 59583-2021")</f>
        <v/>
      </c>
      <c r="AC51">
        <f>HYPERLINK("https://klasma.github.io/Logging_2132/tillsyn/A 59583-2021 tillsynsbegäran.docx", "A 59583-2021")</f>
        <v/>
      </c>
      <c r="AD51">
        <f>HYPERLINK("https://klasma.github.io/Logging_2132/tillsynsmail/A 59583-2021 tillsynsbegäran mail.docx", "A 59583-2021")</f>
        <v/>
      </c>
      <c r="AE51">
        <f>HYPERLINK("https://klasma.github.io/Logging_2132/fåglar/A 59583-2021 prioriterade fågelarter.docx", "A 59583-2021")</f>
        <v/>
      </c>
    </row>
    <row r="52" ht="15" customHeight="1">
      <c r="A52" t="inlineStr">
        <is>
          <t>A 18306-2022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44685</v>
      </c>
      <c r="E52" s="1" t="n">
        <v>46309</v>
      </c>
      <c r="F52" t="inlineStr">
        <is>
          <t>GÄVLEBORGS LÄN</t>
        </is>
      </c>
      <c r="G52" t="inlineStr">
        <is>
          <t>NORDANSTIG</t>
        </is>
      </c>
      <c r="I52" t="n">
        <v>2.4</v>
      </c>
      <c r="J52" t="n">
        <v>0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s="2" t="inlineStr">
        <is>
          <t>Igelkott</t>
        </is>
      </c>
      <c r="W52">
        <f>HYPERLINK("https://klasma.github.io/Logging_2132/artfynd/A 18306-2022 artfynd.xlsx", "A 18306-2022")</f>
        <v/>
      </c>
      <c r="X52">
        <f>HYPERLINK("https://klasma.github.io/Logging_2132/kartor/A 18306-2022 karta.png", "A 18306-2022")</f>
        <v/>
      </c>
      <c r="Y52">
        <f>HYPERLINK("https://klasma.github.io/Logging_2132/kartor_geotiff/A 18306-2022 georefererad karta.tif", "A 18306-2022")</f>
        <v/>
      </c>
      <c r="AA52">
        <f>HYPERLINK("https://klasma.github.io/Logging_2132/klagomål/A 18306-2022 FSC-klagomål.docx", "A 18306-2022")</f>
        <v/>
      </c>
      <c r="AB52">
        <f>HYPERLINK("https://klasma.github.io/Logging_2132/klagomålsmail/A 18306-2022 FSC-klagomål mail.docx", "A 18306-2022")</f>
        <v/>
      </c>
      <c r="AC52">
        <f>HYPERLINK("https://klasma.github.io/Logging_2132/tillsyn/A 18306-2022 tillsynsbegäran.docx", "A 18306-2022")</f>
        <v/>
      </c>
      <c r="AD52">
        <f>HYPERLINK("https://klasma.github.io/Logging_2132/tillsynsmail/A 18306-2022 tillsynsbegäran mail.docx", "A 18306-2022")</f>
        <v/>
      </c>
    </row>
    <row r="53" ht="15" customHeight="1">
      <c r="A53" t="inlineStr">
        <is>
          <t>A 23333-2025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45791</v>
      </c>
      <c r="E53" s="1" t="n">
        <v>46309</v>
      </c>
      <c r="F53" t="inlineStr">
        <is>
          <t>GÄVLEBORGS LÄN</t>
        </is>
      </c>
      <c r="G53" t="inlineStr">
        <is>
          <t>NORDANSTIG</t>
        </is>
      </c>
      <c r="H53" t="inlineStr">
        <is>
          <t>Holmen skog AB</t>
        </is>
      </c>
      <c r="I53" t="n">
        <v>19.1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1</v>
      </c>
      <c r="U53" t="n">
        <v>1</v>
      </c>
      <c r="V53" s="2" t="inlineStr">
        <is>
          <t>Spillkråka</t>
        </is>
      </c>
      <c r="W53">
        <f>HYPERLINK("https://klasma.github.io/Logging_2132/artfynd/A 23333-2025 artfynd.xlsx", "A 23333-2025")</f>
        <v/>
      </c>
      <c r="X53">
        <f>HYPERLINK("https://klasma.github.io/Logging_2132/kartor/A 23333-2025 karta.png", "A 23333-2025")</f>
        <v/>
      </c>
      <c r="Y53">
        <f>HYPERLINK("https://klasma.github.io/Logging_2132/kartor_geotiff/A 23333-2025 georefererad karta.tif", "A 23333-2025")</f>
        <v/>
      </c>
      <c r="AA53">
        <f>HYPERLINK("https://klasma.github.io/Logging_2132/klagomål/A 23333-2025 FSC-klagomål.docx", "A 23333-2025")</f>
        <v/>
      </c>
      <c r="AB53">
        <f>HYPERLINK("https://klasma.github.io/Logging_2132/klagomålsmail/A 23333-2025 FSC-klagomål mail.docx", "A 23333-2025")</f>
        <v/>
      </c>
      <c r="AC53">
        <f>HYPERLINK("https://klasma.github.io/Logging_2132/tillsyn/A 23333-2025 tillsynsbegäran.docx", "A 23333-2025")</f>
        <v/>
      </c>
      <c r="AD53">
        <f>HYPERLINK("https://klasma.github.io/Logging_2132/tillsynsmail/A 23333-2025 tillsynsbegäran mail.docx", "A 23333-2025")</f>
        <v/>
      </c>
      <c r="AE53">
        <f>HYPERLINK("https://klasma.github.io/Logging_2132/fåglar/A 23333-2025 prioriterade fågelarter.docx", "A 23333-2025")</f>
        <v/>
      </c>
    </row>
    <row r="54" ht="15" customHeight="1">
      <c r="A54" t="inlineStr">
        <is>
          <t>A 28587-2024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45478</v>
      </c>
      <c r="E54" s="1" t="n">
        <v>46309</v>
      </c>
      <c r="F54" t="inlineStr">
        <is>
          <t>GÄVLEBORGS LÄN</t>
        </is>
      </c>
      <c r="G54" t="inlineStr">
        <is>
          <t>NORDANSTIG</t>
        </is>
      </c>
      <c r="I54" t="n">
        <v>26.3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1</v>
      </c>
      <c r="U54" t="n">
        <v>1</v>
      </c>
      <c r="V54" s="2" t="inlineStr">
        <is>
          <t>Fläcknycklar</t>
        </is>
      </c>
      <c r="W54">
        <f>HYPERLINK("https://klasma.github.io/Logging_2132/artfynd/A 28587-2024 artfynd.xlsx", "A 28587-2024")</f>
        <v/>
      </c>
      <c r="X54">
        <f>HYPERLINK("https://klasma.github.io/Logging_2132/kartor/A 28587-2024 karta.png", "A 28587-2024")</f>
        <v/>
      </c>
      <c r="Y54">
        <f>HYPERLINK("https://klasma.github.io/Logging_2132/kartor_geotiff/A 28587-2024 georefererad karta.tif", "A 28587-2024")</f>
        <v/>
      </c>
      <c r="AA54">
        <f>HYPERLINK("https://klasma.github.io/Logging_2132/klagomål/A 28587-2024 FSC-klagomål.docx", "A 28587-2024")</f>
        <v/>
      </c>
      <c r="AB54">
        <f>HYPERLINK("https://klasma.github.io/Logging_2132/klagomålsmail/A 28587-2024 FSC-klagomål mail.docx", "A 28587-2024")</f>
        <v/>
      </c>
      <c r="AC54">
        <f>HYPERLINK("https://klasma.github.io/Logging_2132/tillsyn/A 28587-2024 tillsynsbegäran.docx", "A 28587-2024")</f>
        <v/>
      </c>
      <c r="AD54">
        <f>HYPERLINK("https://klasma.github.io/Logging_2132/tillsynsmail/A 28587-2024 tillsynsbegäran mail.docx", "A 28587-2024")</f>
        <v/>
      </c>
    </row>
    <row r="55" ht="15" customHeight="1">
      <c r="A55" t="inlineStr">
        <is>
          <t>A 24758-2025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45799</v>
      </c>
      <c r="E55" s="1" t="n">
        <v>46309</v>
      </c>
      <c r="F55" t="inlineStr">
        <is>
          <t>GÄVLEBORGS LÄN</t>
        </is>
      </c>
      <c r="G55" t="inlineStr">
        <is>
          <t>NORDANSTIG</t>
        </is>
      </c>
      <c r="H55" t="inlineStr">
        <is>
          <t>Holmen skog AB</t>
        </is>
      </c>
      <c r="I55" t="n">
        <v>23.2</v>
      </c>
      <c r="J55" t="n">
        <v>1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s="2" t="inlineStr">
        <is>
          <t>Knärot</t>
        </is>
      </c>
      <c r="W55">
        <f>HYPERLINK("https://klasma.github.io/Logging_2132/artfynd/A 24758-2025 artfynd.xlsx", "A 24758-2025")</f>
        <v/>
      </c>
      <c r="X55">
        <f>HYPERLINK("https://klasma.github.io/Logging_2132/kartor/A 24758-2025 karta.png", "A 24758-2025")</f>
        <v/>
      </c>
      <c r="Y55">
        <f>HYPERLINK("https://klasma.github.io/Logging_2132/kartor_geotiff/A 24758-2025 georefererad karta.tif", "A 24758-2025")</f>
        <v/>
      </c>
      <c r="Z55">
        <f>HYPERLINK("https://klasma.github.io/Logging_2132/knärot/A 24758-2025 karta knärot.png", "A 24758-2025")</f>
        <v/>
      </c>
      <c r="AA55">
        <f>HYPERLINK("https://klasma.github.io/Logging_2132/klagomål/A 24758-2025 FSC-klagomål.docx", "A 24758-2025")</f>
        <v/>
      </c>
      <c r="AB55">
        <f>HYPERLINK("https://klasma.github.io/Logging_2132/klagomålsmail/A 24758-2025 FSC-klagomål mail.docx", "A 24758-2025")</f>
        <v/>
      </c>
      <c r="AC55">
        <f>HYPERLINK("https://klasma.github.io/Logging_2132/tillsyn/A 24758-2025 tillsynsbegäran.docx", "A 24758-2025")</f>
        <v/>
      </c>
      <c r="AD55">
        <f>HYPERLINK("https://klasma.github.io/Logging_2132/tillsynsmail/A 24758-2025 tillsynsbegäran mail.docx", "A 24758-2025")</f>
        <v/>
      </c>
    </row>
    <row r="56" ht="15" customHeight="1">
      <c r="A56" t="inlineStr">
        <is>
          <t>A 31845-2025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45834</v>
      </c>
      <c r="E56" s="1" t="n">
        <v>46309</v>
      </c>
      <c r="F56" t="inlineStr">
        <is>
          <t>GÄVLEBORGS LÄN</t>
        </is>
      </c>
      <c r="G56" t="inlineStr">
        <is>
          <t>NORDANSTIG</t>
        </is>
      </c>
      <c r="H56" t="inlineStr">
        <is>
          <t>Holmen skog AB</t>
        </is>
      </c>
      <c r="I56" t="n">
        <v>14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1</v>
      </c>
      <c r="U56" t="n">
        <v>1</v>
      </c>
      <c r="V56" s="2" t="inlineStr">
        <is>
          <t>Skinnlav</t>
        </is>
      </c>
      <c r="W56">
        <f>HYPERLINK("https://klasma.github.io/Logging_2132/artfynd/A 31845-2025 artfynd.xlsx", "A 31845-2025")</f>
        <v/>
      </c>
      <c r="X56">
        <f>HYPERLINK("https://klasma.github.io/Logging_2132/kartor/A 31845-2025 karta.png", "A 31845-2025")</f>
        <v/>
      </c>
      <c r="Y56">
        <f>HYPERLINK("https://klasma.github.io/Logging_2132/kartor_geotiff/A 31845-2025 georefererad karta.tif", "A 31845-2025")</f>
        <v/>
      </c>
      <c r="AA56">
        <f>HYPERLINK("https://klasma.github.io/Logging_2132/klagomål/A 31845-2025 FSC-klagomål.docx", "A 31845-2025")</f>
        <v/>
      </c>
      <c r="AB56">
        <f>HYPERLINK("https://klasma.github.io/Logging_2132/klagomålsmail/A 31845-2025 FSC-klagomål mail.docx", "A 31845-2025")</f>
        <v/>
      </c>
      <c r="AC56">
        <f>HYPERLINK("https://klasma.github.io/Logging_2132/tillsyn/A 31845-2025 tillsynsbegäran.docx", "A 31845-2025")</f>
        <v/>
      </c>
      <c r="AD56">
        <f>HYPERLINK("https://klasma.github.io/Logging_2132/tillsynsmail/A 31845-2025 tillsynsbegäran mail.docx", "A 31845-2025")</f>
        <v/>
      </c>
    </row>
    <row r="57" ht="15" customHeight="1">
      <c r="A57" t="inlineStr">
        <is>
          <t>A 47605-2025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45931</v>
      </c>
      <c r="E57" s="1" t="n">
        <v>46309</v>
      </c>
      <c r="F57" t="inlineStr">
        <is>
          <t>GÄVLEBORGS LÄN</t>
        </is>
      </c>
      <c r="G57" t="inlineStr">
        <is>
          <t>NORDANSTIG</t>
        </is>
      </c>
      <c r="H57" t="inlineStr">
        <is>
          <t>Holmen skog AB</t>
        </is>
      </c>
      <c r="I57" t="n">
        <v>11.7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3</v>
      </c>
      <c r="U57" t="n">
        <v>1</v>
      </c>
      <c r="V57" s="2" t="inlineStr">
        <is>
          <t>Tjäder</t>
        </is>
      </c>
      <c r="W57">
        <f>HYPERLINK("https://klasma.github.io/Logging_2132/artfynd/A 47605-2025 artfynd.xlsx", "A 47605-2025")</f>
        <v/>
      </c>
      <c r="X57">
        <f>HYPERLINK("https://klasma.github.io/Logging_2132/kartor/A 47605-2025 karta.png", "A 47605-2025")</f>
        <v/>
      </c>
      <c r="Y57">
        <f>HYPERLINK("https://klasma.github.io/Logging_2132/kartor_geotiff/A 47605-2025 georefererad karta.tif", "A 47605-2025")</f>
        <v/>
      </c>
      <c r="AA57">
        <f>HYPERLINK("https://klasma.github.io/Logging_2132/klagomål/A 47605-2025 FSC-klagomål.docx", "A 47605-2025")</f>
        <v/>
      </c>
      <c r="AB57">
        <f>HYPERLINK("https://klasma.github.io/Logging_2132/klagomålsmail/A 47605-2025 FSC-klagomål mail.docx", "A 47605-2025")</f>
        <v/>
      </c>
      <c r="AC57">
        <f>HYPERLINK("https://klasma.github.io/Logging_2132/tillsyn/A 47605-2025 tillsynsbegäran.docx", "A 47605-2025")</f>
        <v/>
      </c>
      <c r="AD57">
        <f>HYPERLINK("https://klasma.github.io/Logging_2132/tillsynsmail/A 47605-2025 tillsynsbegäran mail.docx", "A 47605-2025")</f>
        <v/>
      </c>
      <c r="AE57">
        <f>HYPERLINK("https://klasma.github.io/Logging_2132/fåglar/A 47605-2025 prioriterade fågelarter.docx", "A 47605-2025")</f>
        <v/>
      </c>
    </row>
    <row r="58" ht="15" customHeight="1">
      <c r="A58" t="inlineStr">
        <is>
          <t>A 16515-2023</t>
        </is>
      </c>
      <c r="B58" t="inlineStr">
        <is>
          <t>avverkningsanmälan</t>
        </is>
      </c>
      <c r="C58" t="inlineStr">
        <is>
          <t>Avverkning för att bevara och utveckla /försöksver</t>
        </is>
      </c>
      <c r="D58" s="1" t="n">
        <v>45029</v>
      </c>
      <c r="E58" s="1" t="n">
        <v>46309</v>
      </c>
      <c r="F58" t="inlineStr">
        <is>
          <t>GÄVLEBORGS LÄN</t>
        </is>
      </c>
      <c r="G58" t="inlineStr">
        <is>
          <t>NORDANSTIG</t>
        </is>
      </c>
      <c r="H58" t="inlineStr">
        <is>
          <t>Holmen skog AB</t>
        </is>
      </c>
      <c r="I58" t="n">
        <v>2.6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1</v>
      </c>
      <c r="T58" t="n">
        <v>1</v>
      </c>
      <c r="U58" t="n">
        <v>1</v>
      </c>
      <c r="V58" s="2" t="inlineStr">
        <is>
          <t>Tallticka</t>
        </is>
      </c>
      <c r="W58">
        <f>HYPERLINK("https://klasma.github.io/Logging_2132/artfynd/A 16515-2023 artfynd.xlsx", "A 16515-2023")</f>
        <v/>
      </c>
      <c r="X58">
        <f>HYPERLINK("https://klasma.github.io/Logging_2132/kartor/A 16515-2023 karta.png", "A 16515-2023")</f>
        <v/>
      </c>
      <c r="Y58">
        <f>HYPERLINK("https://klasma.github.io/Logging_2132/kartor_geotiff/A 16515-2023 georefererad karta.tif", "A 16515-2023")</f>
        <v/>
      </c>
      <c r="AA58">
        <f>HYPERLINK("https://klasma.github.io/Logging_2132/klagomål/A 16515-2023 FSC-klagomål.docx", "A 16515-2023")</f>
        <v/>
      </c>
      <c r="AB58">
        <f>HYPERLINK("https://klasma.github.io/Logging_2132/klagomålsmail/A 16515-2023 FSC-klagomål mail.docx", "A 16515-2023")</f>
        <v/>
      </c>
      <c r="AC58">
        <f>HYPERLINK("https://klasma.github.io/Logging_2132/tillsyn/A 16515-2023 tillsynsbegäran.docx", "A 16515-2023")</f>
        <v/>
      </c>
      <c r="AD58">
        <f>HYPERLINK("https://klasma.github.io/Logging_2132/tillsynsmail/A 16515-2023 tillsynsbegäran mail.docx", "A 16515-2023")</f>
        <v/>
      </c>
    </row>
    <row r="59" ht="15" customHeight="1">
      <c r="A59" t="inlineStr">
        <is>
          <t>A 3755-2023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44951</v>
      </c>
      <c r="E59" s="1" t="n">
        <v>46309</v>
      </c>
      <c r="F59" t="inlineStr">
        <is>
          <t>GÄVLEBORGS LÄN</t>
        </is>
      </c>
      <c r="G59" t="inlineStr">
        <is>
          <t>NORDANSTIG</t>
        </is>
      </c>
      <c r="I59" t="n">
        <v>8.199999999999999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s="2" t="inlineStr">
        <is>
          <t>Bredgentiana</t>
        </is>
      </c>
      <c r="W59">
        <f>HYPERLINK("https://klasma.github.io/Logging_2132/artfynd/A 3755-2023 artfynd.xlsx", "A 3755-2023")</f>
        <v/>
      </c>
      <c r="X59">
        <f>HYPERLINK("https://klasma.github.io/Logging_2132/kartor/A 3755-2023 karta.png", "A 3755-2023")</f>
        <v/>
      </c>
      <c r="Y59">
        <f>HYPERLINK("https://klasma.github.io/Logging_2132/kartor_geotiff/A 3755-2023 georefererad karta.tif", "A 3755-2023")</f>
        <v/>
      </c>
      <c r="AA59">
        <f>HYPERLINK("https://klasma.github.io/Logging_2132/klagomål/A 3755-2023 FSC-klagomål.docx", "A 3755-2023")</f>
        <v/>
      </c>
      <c r="AB59">
        <f>HYPERLINK("https://klasma.github.io/Logging_2132/klagomålsmail/A 3755-2023 FSC-klagomål mail.docx", "A 3755-2023")</f>
        <v/>
      </c>
      <c r="AC59">
        <f>HYPERLINK("https://klasma.github.io/Logging_2132/tillsyn/A 3755-2023 tillsynsbegäran.docx", "A 3755-2023")</f>
        <v/>
      </c>
      <c r="AD59">
        <f>HYPERLINK("https://klasma.github.io/Logging_2132/tillsynsmail/A 3755-2023 tillsynsbegäran mail.docx", "A 3755-2023")</f>
        <v/>
      </c>
    </row>
    <row r="60" ht="15" customHeight="1">
      <c r="A60" t="inlineStr">
        <is>
          <t>A 16809-2022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44673</v>
      </c>
      <c r="E60" s="1" t="n">
        <v>46309</v>
      </c>
      <c r="F60" t="inlineStr">
        <is>
          <t>GÄVLEBORGS LÄN</t>
        </is>
      </c>
      <c r="G60" t="inlineStr">
        <is>
          <t>NORDANSTIG</t>
        </is>
      </c>
      <c r="I60" t="n">
        <v>4.4</v>
      </c>
      <c r="J60" t="n">
        <v>0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1</v>
      </c>
      <c r="S60" t="n">
        <v>1</v>
      </c>
      <c r="T60" t="n">
        <v>1</v>
      </c>
      <c r="U60" t="n">
        <v>0</v>
      </c>
      <c r="V60" s="2" t="inlineStr">
        <is>
          <t>Garnlav</t>
        </is>
      </c>
      <c r="W60">
        <f>HYPERLINK("https://klasma.github.io/Logging_2132/artfynd/A 16809-2022 artfynd.xlsx", "A 16809-2022")</f>
        <v/>
      </c>
      <c r="X60">
        <f>HYPERLINK("https://klasma.github.io/Logging_2132/kartor/A 16809-2022 karta.png", "A 16809-2022")</f>
        <v/>
      </c>
      <c r="Y60">
        <f>HYPERLINK("https://klasma.github.io/Logging_2132/kartor_geotiff/A 16809-2022 georefererad karta.tif", "A 16809-2022")</f>
        <v/>
      </c>
      <c r="AA60">
        <f>HYPERLINK("https://klasma.github.io/Logging_2132/klagomål/A 16809-2022 FSC-klagomål.docx", "A 16809-2022")</f>
        <v/>
      </c>
      <c r="AB60">
        <f>HYPERLINK("https://klasma.github.io/Logging_2132/klagomålsmail/A 16809-2022 FSC-klagomål mail.docx", "A 16809-2022")</f>
        <v/>
      </c>
      <c r="AC60">
        <f>HYPERLINK("https://klasma.github.io/Logging_2132/tillsyn/A 16809-2022 tillsynsbegäran.docx", "A 16809-2022")</f>
        <v/>
      </c>
      <c r="AD60">
        <f>HYPERLINK("https://klasma.github.io/Logging_2132/tillsynsmail/A 16809-2022 tillsynsbegäran mail.docx", "A 16809-2022")</f>
        <v/>
      </c>
    </row>
    <row r="61" ht="15" customHeight="1">
      <c r="A61" t="inlineStr">
        <is>
          <t>A 55476-2025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45971</v>
      </c>
      <c r="E61" s="1" t="n">
        <v>46309</v>
      </c>
      <c r="F61" t="inlineStr">
        <is>
          <t>GÄVLEBORGS LÄN</t>
        </is>
      </c>
      <c r="G61" t="inlineStr">
        <is>
          <t>NORDANSTIG</t>
        </is>
      </c>
      <c r="H61" t="inlineStr">
        <is>
          <t>Holmen skog AB</t>
        </is>
      </c>
      <c r="I61" t="n">
        <v>6.9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1</v>
      </c>
      <c r="U61" t="n">
        <v>0</v>
      </c>
      <c r="V61" s="2" t="inlineStr">
        <is>
          <t>Blåsippa</t>
        </is>
      </c>
      <c r="W61">
        <f>HYPERLINK("https://klasma.github.io/Logging_2132/artfynd/A 55476-2025 artfynd.xlsx", "A 55476-2025")</f>
        <v/>
      </c>
      <c r="X61">
        <f>HYPERLINK("https://klasma.github.io/Logging_2132/kartor/A 55476-2025 karta.png", "A 55476-2025")</f>
        <v/>
      </c>
      <c r="Y61">
        <f>HYPERLINK("https://klasma.github.io/Logging_2132/kartor_geotiff/A 55476-2025 georefererad karta.tif", "A 55476-2025")</f>
        <v/>
      </c>
      <c r="AA61">
        <f>HYPERLINK("https://klasma.github.io/Logging_2132/klagomål/A 55476-2025 FSC-klagomål.docx", "A 55476-2025")</f>
        <v/>
      </c>
      <c r="AB61">
        <f>HYPERLINK("https://klasma.github.io/Logging_2132/klagomålsmail/A 55476-2025 FSC-klagomål mail.docx", "A 55476-2025")</f>
        <v/>
      </c>
      <c r="AC61">
        <f>HYPERLINK("https://klasma.github.io/Logging_2132/tillsyn/A 55476-2025 tillsynsbegäran.docx", "A 55476-2025")</f>
        <v/>
      </c>
      <c r="AD61">
        <f>HYPERLINK("https://klasma.github.io/Logging_2132/tillsynsmail/A 55476-2025 tillsynsbegäran mail.docx", "A 55476-2025")</f>
        <v/>
      </c>
    </row>
    <row r="62" ht="15" customHeight="1">
      <c r="A62" t="inlineStr">
        <is>
          <t>A 57186-2025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45979</v>
      </c>
      <c r="E62" s="1" t="n">
        <v>46309</v>
      </c>
      <c r="F62" t="inlineStr">
        <is>
          <t>GÄVLEBORGS LÄN</t>
        </is>
      </c>
      <c r="G62" t="inlineStr">
        <is>
          <t>NORDANSTIG</t>
        </is>
      </c>
      <c r="I62" t="n">
        <v>5.1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1</v>
      </c>
      <c r="U62" t="n">
        <v>1</v>
      </c>
      <c r="V62" s="2" t="inlineStr">
        <is>
          <t>Stjärnstarr</t>
        </is>
      </c>
      <c r="W62">
        <f>HYPERLINK("https://klasma.github.io/Logging_2132/artfynd/A 57186-2025 artfynd.xlsx", "A 57186-2025")</f>
        <v/>
      </c>
      <c r="X62">
        <f>HYPERLINK("https://klasma.github.io/Logging_2132/kartor/A 57186-2025 karta.png", "A 57186-2025")</f>
        <v/>
      </c>
      <c r="Y62">
        <f>HYPERLINK("https://klasma.github.io/Logging_2132/kartor_geotiff/A 57186-2025 georefererad karta.tif", "A 57186-2025")</f>
        <v/>
      </c>
      <c r="AA62">
        <f>HYPERLINK("https://klasma.github.io/Logging_2132/klagomål/A 57186-2025 FSC-klagomål.docx", "A 57186-2025")</f>
        <v/>
      </c>
      <c r="AB62">
        <f>HYPERLINK("https://klasma.github.io/Logging_2132/klagomålsmail/A 57186-2025 FSC-klagomål mail.docx", "A 57186-2025")</f>
        <v/>
      </c>
      <c r="AC62">
        <f>HYPERLINK("https://klasma.github.io/Logging_2132/tillsyn/A 57186-2025 tillsynsbegäran.docx", "A 57186-2025")</f>
        <v/>
      </c>
      <c r="AD62">
        <f>HYPERLINK("https://klasma.github.io/Logging_2132/tillsynsmail/A 57186-2025 tillsynsbegäran mail.docx", "A 57186-2025")</f>
        <v/>
      </c>
    </row>
    <row r="63" ht="15" customHeight="1">
      <c r="A63" t="inlineStr">
        <is>
          <t>A 22041-2022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44711</v>
      </c>
      <c r="E63" s="1" t="n">
        <v>46309</v>
      </c>
      <c r="F63" t="inlineStr">
        <is>
          <t>GÄVLEBORGS LÄN</t>
        </is>
      </c>
      <c r="G63" t="inlineStr">
        <is>
          <t>NORDANSTIG</t>
        </is>
      </c>
      <c r="H63" t="inlineStr">
        <is>
          <t>Holmen skog AB</t>
        </is>
      </c>
      <c r="I63" t="n">
        <v>6.2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  <c r="T63" t="n">
        <v>1</v>
      </c>
      <c r="U63" t="n">
        <v>1</v>
      </c>
      <c r="V63" s="2" t="inlineStr">
        <is>
          <t>Svavelriska</t>
        </is>
      </c>
      <c r="W63">
        <f>HYPERLINK("https://klasma.github.io/Logging_2132/artfynd/A 22041-2022 artfynd.xlsx", "A 22041-2022")</f>
        <v/>
      </c>
      <c r="X63">
        <f>HYPERLINK("https://klasma.github.io/Logging_2132/kartor/A 22041-2022 karta.png", "A 22041-2022")</f>
        <v/>
      </c>
      <c r="Y63">
        <f>HYPERLINK("https://klasma.github.io/Logging_2132/kartor_geotiff/A 22041-2022 georefererad karta.tif", "A 22041-2022")</f>
        <v/>
      </c>
      <c r="AA63">
        <f>HYPERLINK("https://klasma.github.io/Logging_2132/klagomål/A 22041-2022 FSC-klagomål.docx", "A 22041-2022")</f>
        <v/>
      </c>
      <c r="AB63">
        <f>HYPERLINK("https://klasma.github.io/Logging_2132/klagomålsmail/A 22041-2022 FSC-klagomål mail.docx", "A 22041-2022")</f>
        <v/>
      </c>
      <c r="AC63">
        <f>HYPERLINK("https://klasma.github.io/Logging_2132/tillsyn/A 22041-2022 tillsynsbegäran.docx", "A 22041-2022")</f>
        <v/>
      </c>
      <c r="AD63">
        <f>HYPERLINK("https://klasma.github.io/Logging_2132/tillsynsmail/A 22041-2022 tillsynsbegäran mail.docx", "A 22041-2022")</f>
        <v/>
      </c>
    </row>
    <row r="64" ht="15" customHeight="1">
      <c r="A64" t="inlineStr">
        <is>
          <t>A 60371-2025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45995</v>
      </c>
      <c r="E64" s="1" t="n">
        <v>46309</v>
      </c>
      <c r="F64" t="inlineStr">
        <is>
          <t>GÄVLEBORGS LÄN</t>
        </is>
      </c>
      <c r="G64" t="inlineStr">
        <is>
          <t>NORDANSTIG</t>
        </is>
      </c>
      <c r="I64" t="n">
        <v>3.5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1</v>
      </c>
      <c r="U64" t="n">
        <v>0</v>
      </c>
      <c r="V64" s="2" t="inlineStr">
        <is>
          <t>Nattviol</t>
        </is>
      </c>
      <c r="W64">
        <f>HYPERLINK("https://klasma.github.io/Logging_2132/artfynd/A 60371-2025 artfynd.xlsx", "A 60371-2025")</f>
        <v/>
      </c>
      <c r="X64">
        <f>HYPERLINK("https://klasma.github.io/Logging_2132/kartor/A 60371-2025 karta.png", "A 60371-2025")</f>
        <v/>
      </c>
      <c r="Y64">
        <f>HYPERLINK("https://klasma.github.io/Logging_2132/kartor_geotiff/A 60371-2025 georefererad karta.tif", "A 60371-2025")</f>
        <v/>
      </c>
      <c r="AA64">
        <f>HYPERLINK("https://klasma.github.io/Logging_2132/klagomål/A 60371-2025 FSC-klagomål.docx", "A 60371-2025")</f>
        <v/>
      </c>
      <c r="AB64">
        <f>HYPERLINK("https://klasma.github.io/Logging_2132/klagomålsmail/A 60371-2025 FSC-klagomål mail.docx", "A 60371-2025")</f>
        <v/>
      </c>
      <c r="AC64">
        <f>HYPERLINK("https://klasma.github.io/Logging_2132/tillsyn/A 60371-2025 tillsynsbegäran.docx", "A 60371-2025")</f>
        <v/>
      </c>
      <c r="AD64">
        <f>HYPERLINK("https://klasma.github.io/Logging_2132/tillsynsmail/A 60371-2025 tillsynsbegäran mail.docx", "A 60371-2025")</f>
        <v/>
      </c>
    </row>
    <row r="65" ht="15" customHeight="1">
      <c r="A65" t="inlineStr">
        <is>
          <t>A 20441-2023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45056</v>
      </c>
      <c r="E65" s="1" t="n">
        <v>46309</v>
      </c>
      <c r="F65" t="inlineStr">
        <is>
          <t>GÄVLEBORGS LÄN</t>
        </is>
      </c>
      <c r="G65" t="inlineStr">
        <is>
          <t>NORDANSTIG</t>
        </is>
      </c>
      <c r="H65" t="inlineStr">
        <is>
          <t>Holmen skog AB</t>
        </is>
      </c>
      <c r="I65" t="n">
        <v>3.7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2</v>
      </c>
      <c r="U65" t="n">
        <v>2</v>
      </c>
      <c r="V65" s="2" t="inlineStr">
        <is>
          <t>Orre</t>
        </is>
      </c>
      <c r="W65">
        <f>HYPERLINK("https://klasma.github.io/Logging_2132/artfynd/A 20441-2023 artfynd.xlsx", "A 20441-2023")</f>
        <v/>
      </c>
      <c r="X65">
        <f>HYPERLINK("https://klasma.github.io/Logging_2132/kartor/A 20441-2023 karta.png", "A 20441-2023")</f>
        <v/>
      </c>
      <c r="Y65">
        <f>HYPERLINK("https://klasma.github.io/Logging_2132/kartor_geotiff/A 20441-2023 georefererad karta.tif", "A 20441-2023")</f>
        <v/>
      </c>
      <c r="AA65">
        <f>HYPERLINK("https://klasma.github.io/Logging_2132/klagomål/A 20441-2023 FSC-klagomål.docx", "A 20441-2023")</f>
        <v/>
      </c>
      <c r="AB65">
        <f>HYPERLINK("https://klasma.github.io/Logging_2132/klagomålsmail/A 20441-2023 FSC-klagomål mail.docx", "A 20441-2023")</f>
        <v/>
      </c>
      <c r="AC65">
        <f>HYPERLINK("https://klasma.github.io/Logging_2132/tillsyn/A 20441-2023 tillsynsbegäran.docx", "A 20441-2023")</f>
        <v/>
      </c>
      <c r="AD65">
        <f>HYPERLINK("https://klasma.github.io/Logging_2132/tillsynsmail/A 20441-2023 tillsynsbegäran mail.docx", "A 20441-2023")</f>
        <v/>
      </c>
      <c r="AE65">
        <f>HYPERLINK("https://klasma.github.io/Logging_2132/fåglar/A 20441-2023 prioriterade fågelarter.docx", "A 20441-2023")</f>
        <v/>
      </c>
    </row>
    <row r="66" ht="15" customHeight="1">
      <c r="A66" t="inlineStr">
        <is>
          <t>A 20566-2025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45775</v>
      </c>
      <c r="E66" s="1" t="n">
        <v>46309</v>
      </c>
      <c r="F66" t="inlineStr">
        <is>
          <t>GÄVLEBORGS LÄN</t>
        </is>
      </c>
      <c r="G66" t="inlineStr">
        <is>
          <t>NORDANSTIG</t>
        </is>
      </c>
      <c r="H66" t="inlineStr">
        <is>
          <t>Holmen skog AB</t>
        </is>
      </c>
      <c r="I66" t="n">
        <v>1.8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1</v>
      </c>
      <c r="U66" t="n">
        <v>0</v>
      </c>
      <c r="V66" s="2" t="inlineStr">
        <is>
          <t>Vanlig padda</t>
        </is>
      </c>
      <c r="W66">
        <f>HYPERLINK("https://klasma.github.io/Logging_2132/artfynd/A 20566-2025 artfynd.xlsx", "A 20566-2025")</f>
        <v/>
      </c>
      <c r="X66">
        <f>HYPERLINK("https://klasma.github.io/Logging_2132/kartor/A 20566-2025 karta.png", "A 20566-2025")</f>
        <v/>
      </c>
      <c r="Y66">
        <f>HYPERLINK("https://klasma.github.io/Logging_2132/kartor_geotiff/A 20566-2025 georefererad karta.tif", "A 20566-2025")</f>
        <v/>
      </c>
      <c r="AA66">
        <f>HYPERLINK("https://klasma.github.io/Logging_2132/klagomål/A 20566-2025 FSC-klagomål.docx", "A 20566-2025")</f>
        <v/>
      </c>
      <c r="AB66">
        <f>HYPERLINK("https://klasma.github.io/Logging_2132/klagomålsmail/A 20566-2025 FSC-klagomål mail.docx", "A 20566-2025")</f>
        <v/>
      </c>
      <c r="AC66">
        <f>HYPERLINK("https://klasma.github.io/Logging_2132/tillsyn/A 20566-2025 tillsynsbegäran.docx", "A 20566-2025")</f>
        <v/>
      </c>
      <c r="AD66">
        <f>HYPERLINK("https://klasma.github.io/Logging_2132/tillsynsmail/A 20566-2025 tillsynsbegäran mail.docx", "A 20566-2025")</f>
        <v/>
      </c>
    </row>
    <row r="67" ht="15" customHeight="1">
      <c r="A67" t="inlineStr">
        <is>
          <t>A 13089-2025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45734</v>
      </c>
      <c r="E67" s="1" t="n">
        <v>46309</v>
      </c>
      <c r="F67" t="inlineStr">
        <is>
          <t>GÄVLEBORGS LÄN</t>
        </is>
      </c>
      <c r="G67" t="inlineStr">
        <is>
          <t>NORDANSTIG</t>
        </is>
      </c>
      <c r="H67" t="inlineStr">
        <is>
          <t>Holmen skog AB</t>
        </is>
      </c>
      <c r="I67" t="n">
        <v>5.5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1</v>
      </c>
      <c r="U67" t="n">
        <v>0</v>
      </c>
      <c r="V67" s="2" t="inlineStr">
        <is>
          <t>Tjäder</t>
        </is>
      </c>
      <c r="W67">
        <f>HYPERLINK("https://klasma.github.io/Logging_2132/artfynd/A 13089-2025 artfynd.xlsx", "A 13089-2025")</f>
        <v/>
      </c>
      <c r="X67">
        <f>HYPERLINK("https://klasma.github.io/Logging_2132/kartor/A 13089-2025 karta.png", "A 13089-2025")</f>
        <v/>
      </c>
      <c r="Y67">
        <f>HYPERLINK("https://klasma.github.io/Logging_2132/kartor_geotiff/A 13089-2025 georefererad karta.tif", "A 13089-2025")</f>
        <v/>
      </c>
      <c r="AA67">
        <f>HYPERLINK("https://klasma.github.io/Logging_2132/klagomål/A 13089-2025 FSC-klagomål.docx", "A 13089-2025")</f>
        <v/>
      </c>
      <c r="AB67">
        <f>HYPERLINK("https://klasma.github.io/Logging_2132/klagomålsmail/A 13089-2025 FSC-klagomål mail.docx", "A 13089-2025")</f>
        <v/>
      </c>
      <c r="AC67">
        <f>HYPERLINK("https://klasma.github.io/Logging_2132/tillsyn/A 13089-2025 tillsynsbegäran.docx", "A 13089-2025")</f>
        <v/>
      </c>
      <c r="AD67">
        <f>HYPERLINK("https://klasma.github.io/Logging_2132/tillsynsmail/A 13089-2025 tillsynsbegäran mail.docx", "A 13089-2025")</f>
        <v/>
      </c>
      <c r="AE67">
        <f>HYPERLINK("https://klasma.github.io/Logging_2132/fåglar/A 13089-2025 prioriterade fågelarter.docx", "A 13089-2025")</f>
        <v/>
      </c>
    </row>
    <row r="68" ht="15" customHeight="1">
      <c r="A68" t="inlineStr">
        <is>
          <t>A 6109-2023</t>
        </is>
      </c>
      <c r="B68" t="inlineStr">
        <is>
          <t>avverkningsanmälan</t>
        </is>
      </c>
      <c r="C68" t="inlineStr">
        <is>
          <t>Avverkning för annat ändamål</t>
        </is>
      </c>
      <c r="D68" s="1" t="n">
        <v>44964</v>
      </c>
      <c r="E68" s="1" t="n">
        <v>46309</v>
      </c>
      <c r="F68" t="inlineStr">
        <is>
          <t>GÄVLEBORGS LÄN</t>
        </is>
      </c>
      <c r="G68" t="inlineStr">
        <is>
          <t>NORDANSTIG</t>
        </is>
      </c>
      <c r="I68" t="n">
        <v>0.1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1</v>
      </c>
      <c r="U68" t="n">
        <v>1</v>
      </c>
      <c r="V68" s="2" t="inlineStr">
        <is>
          <t>Mattlummer</t>
        </is>
      </c>
      <c r="W68">
        <f>HYPERLINK("https://klasma.github.io/Logging_2132/artfynd/A 6109-2023 artfynd.xlsx", "A 6109-2023")</f>
        <v/>
      </c>
      <c r="X68">
        <f>HYPERLINK("https://klasma.github.io/Logging_2132/kartor/A 6109-2023 karta.png", "A 6109-2023")</f>
        <v/>
      </c>
      <c r="Y68">
        <f>HYPERLINK("https://klasma.github.io/Logging_2132/kartor_geotiff/A 6109-2023 georefererad karta.tif", "A 6109-2023")</f>
        <v/>
      </c>
      <c r="AA68">
        <f>HYPERLINK("https://klasma.github.io/Logging_2132/klagomål/A 6109-2023 FSC-klagomål.docx", "A 6109-2023")</f>
        <v/>
      </c>
      <c r="AB68">
        <f>HYPERLINK("https://klasma.github.io/Logging_2132/klagomålsmail/A 6109-2023 FSC-klagomål mail.docx", "A 6109-2023")</f>
        <v/>
      </c>
      <c r="AC68">
        <f>HYPERLINK("https://klasma.github.io/Logging_2132/tillsyn/A 6109-2023 tillsynsbegäran.docx", "A 6109-2023")</f>
        <v/>
      </c>
      <c r="AD68">
        <f>HYPERLINK("https://klasma.github.io/Logging_2132/tillsynsmail/A 6109-2023 tillsynsbegäran mail.docx", "A 6109-2023")</f>
        <v/>
      </c>
    </row>
    <row r="69" ht="15" customHeight="1">
      <c r="A69" t="inlineStr">
        <is>
          <t>A 57806-2024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45631</v>
      </c>
      <c r="E69" s="1" t="n">
        <v>46309</v>
      </c>
      <c r="F69" t="inlineStr">
        <is>
          <t>GÄVLEBORGS LÄN</t>
        </is>
      </c>
      <c r="G69" t="inlineStr">
        <is>
          <t>NORDANSTIG</t>
        </is>
      </c>
      <c r="H69" t="inlineStr">
        <is>
          <t>Holmen skog AB</t>
        </is>
      </c>
      <c r="I69" t="n">
        <v>2.6</v>
      </c>
      <c r="J69" t="n">
        <v>1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1</v>
      </c>
      <c r="S69" t="n">
        <v>1</v>
      </c>
      <c r="T69" t="n">
        <v>1</v>
      </c>
      <c r="U69" t="n">
        <v>0</v>
      </c>
      <c r="V69" s="2" t="inlineStr">
        <is>
          <t>Knärot</t>
        </is>
      </c>
      <c r="W69">
        <f>HYPERLINK("https://klasma.github.io/Logging_2132/artfynd/A 57806-2024 artfynd.xlsx", "A 57806-2024")</f>
        <v/>
      </c>
      <c r="X69">
        <f>HYPERLINK("https://klasma.github.io/Logging_2132/kartor/A 57806-2024 karta.png", "A 57806-2024")</f>
        <v/>
      </c>
      <c r="Y69">
        <f>HYPERLINK("https://klasma.github.io/Logging_2132/kartor_geotiff/A 57806-2024 georefererad karta.tif", "A 57806-2024")</f>
        <v/>
      </c>
      <c r="Z69">
        <f>HYPERLINK("https://klasma.github.io/Logging_2132/knärot/A 57806-2024 karta knärot.png", "A 57806-2024")</f>
        <v/>
      </c>
      <c r="AA69">
        <f>HYPERLINK("https://klasma.github.io/Logging_2132/klagomål/A 57806-2024 FSC-klagomål.docx", "A 57806-2024")</f>
        <v/>
      </c>
      <c r="AB69">
        <f>HYPERLINK("https://klasma.github.io/Logging_2132/klagomålsmail/A 57806-2024 FSC-klagomål mail.docx", "A 57806-2024")</f>
        <v/>
      </c>
      <c r="AC69">
        <f>HYPERLINK("https://klasma.github.io/Logging_2132/tillsyn/A 57806-2024 tillsynsbegäran.docx", "A 57806-2024")</f>
        <v/>
      </c>
      <c r="AD69">
        <f>HYPERLINK("https://klasma.github.io/Logging_2132/tillsynsmail/A 57806-2024 tillsynsbegäran mail.docx", "A 57806-2024")</f>
        <v/>
      </c>
    </row>
    <row r="70" ht="15" customHeight="1">
      <c r="A70" t="inlineStr">
        <is>
          <t>A 3692-2022</t>
        </is>
      </c>
      <c r="B70" t="inlineStr">
        <is>
          <t>avverkningsanmälan</t>
        </is>
      </c>
      <c r="C70" t="inlineStr">
        <is>
          <t>Avverkning för att bevara och utveckla /försöksver</t>
        </is>
      </c>
      <c r="D70" s="1" t="n">
        <v>44586</v>
      </c>
      <c r="E70" s="1" t="n">
        <v>46309</v>
      </c>
      <c r="F70" t="inlineStr">
        <is>
          <t>GÄVLEBORGS LÄN</t>
        </is>
      </c>
      <c r="G70" t="inlineStr">
        <is>
          <t>NORDANSTIG</t>
        </is>
      </c>
      <c r="H70" t="inlineStr">
        <is>
          <t>Holmen skog AB</t>
        </is>
      </c>
      <c r="I70" t="n">
        <v>2.2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1</v>
      </c>
      <c r="T70" t="n">
        <v>1</v>
      </c>
      <c r="U70" t="n">
        <v>1</v>
      </c>
      <c r="V70" s="2" t="inlineStr">
        <is>
          <t>Lunglav</t>
        </is>
      </c>
      <c r="W70">
        <f>HYPERLINK("https://klasma.github.io/Logging_2132/artfynd/A 3692-2022 artfynd.xlsx", "A 3692-2022")</f>
        <v/>
      </c>
      <c r="X70">
        <f>HYPERLINK("https://klasma.github.io/Logging_2132/kartor/A 3692-2022 karta.png", "A 3692-2022")</f>
        <v/>
      </c>
      <c r="Y70">
        <f>HYPERLINK("https://klasma.github.io/Logging_2132/kartor_geotiff/A 3692-2022 georefererad karta.tif", "A 3692-2022")</f>
        <v/>
      </c>
      <c r="AA70">
        <f>HYPERLINK("https://klasma.github.io/Logging_2132/klagomål/A 3692-2022 FSC-klagomål.docx", "A 3692-2022")</f>
        <v/>
      </c>
      <c r="AB70">
        <f>HYPERLINK("https://klasma.github.io/Logging_2132/klagomålsmail/A 3692-2022 FSC-klagomål mail.docx", "A 3692-2022")</f>
        <v/>
      </c>
      <c r="AC70">
        <f>HYPERLINK("https://klasma.github.io/Logging_2132/tillsyn/A 3692-2022 tillsynsbegäran.docx", "A 3692-2022")</f>
        <v/>
      </c>
      <c r="AD70">
        <f>HYPERLINK("https://klasma.github.io/Logging_2132/tillsynsmail/A 3692-2022 tillsynsbegäran mail.docx", "A 3692-2022")</f>
        <v/>
      </c>
    </row>
    <row r="71" ht="15" customHeight="1">
      <c r="A71" t="inlineStr">
        <is>
          <t>A 2254-2025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45673</v>
      </c>
      <c r="E71" s="1" t="n">
        <v>46309</v>
      </c>
      <c r="F71" t="inlineStr">
        <is>
          <t>GÄVLEBORGS LÄN</t>
        </is>
      </c>
      <c r="G71" t="inlineStr">
        <is>
          <t>NORDANSTIG</t>
        </is>
      </c>
      <c r="H71" t="inlineStr">
        <is>
          <t>Holmen skog AB</t>
        </is>
      </c>
      <c r="I71" t="n">
        <v>1.3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1</v>
      </c>
      <c r="R71" t="n">
        <v>1</v>
      </c>
      <c r="S71" t="n">
        <v>1</v>
      </c>
      <c r="T71" t="n">
        <v>4</v>
      </c>
      <c r="U71" t="n">
        <v>0</v>
      </c>
      <c r="V71" s="2" t="inlineStr">
        <is>
          <t>Bredgentiana</t>
        </is>
      </c>
      <c r="W71">
        <f>HYPERLINK("https://klasma.github.io/Logging_2132/artfynd/A 2254-2025 artfynd.xlsx", "A 2254-2025")</f>
        <v/>
      </c>
      <c r="X71">
        <f>HYPERLINK("https://klasma.github.io/Logging_2132/kartor/A 2254-2025 karta.png", "A 2254-2025")</f>
        <v/>
      </c>
      <c r="Y71">
        <f>HYPERLINK("https://klasma.github.io/Logging_2132/kartor_geotiff/A 2254-2025 georefererad karta.tif", "A 2254-2025")</f>
        <v/>
      </c>
      <c r="AA71">
        <f>HYPERLINK("https://klasma.github.io/Logging_2132/klagomål/A 2254-2025 FSC-klagomål.docx", "A 2254-2025")</f>
        <v/>
      </c>
      <c r="AB71">
        <f>HYPERLINK("https://klasma.github.io/Logging_2132/klagomålsmail/A 2254-2025 FSC-klagomål mail.docx", "A 2254-2025")</f>
        <v/>
      </c>
      <c r="AC71">
        <f>HYPERLINK("https://klasma.github.io/Logging_2132/tillsyn/A 2254-2025 tillsynsbegäran.docx", "A 2254-2025")</f>
        <v/>
      </c>
      <c r="AD71">
        <f>HYPERLINK("https://klasma.github.io/Logging_2132/tillsynsmail/A 2254-2025 tillsynsbegäran mail.docx", "A 2254-2025")</f>
        <v/>
      </c>
    </row>
    <row r="72" ht="15" customHeight="1">
      <c r="A72" t="inlineStr">
        <is>
          <t>A 11895-2026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46085</v>
      </c>
      <c r="E72" s="1" t="n">
        <v>46309</v>
      </c>
      <c r="F72" t="inlineStr">
        <is>
          <t>GÄVLEBORGS LÄN</t>
        </is>
      </c>
      <c r="G72" t="inlineStr">
        <is>
          <t>NORDANSTIG</t>
        </is>
      </c>
      <c r="I72" t="n">
        <v>21.2</v>
      </c>
      <c r="J72" t="n">
        <v>1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1</v>
      </c>
      <c r="T72" t="n">
        <v>1</v>
      </c>
      <c r="U72" t="n">
        <v>0</v>
      </c>
      <c r="V72" s="2" t="inlineStr">
        <is>
          <t>Sötgräs</t>
        </is>
      </c>
      <c r="W72">
        <f>HYPERLINK("https://klasma.github.io/Logging_2132/artfynd/A 11895-2026 artfynd.xlsx", "A 11895-2026")</f>
        <v/>
      </c>
      <c r="X72">
        <f>HYPERLINK("https://klasma.github.io/Logging_2132/kartor/A 11895-2026 karta.png", "A 11895-2026")</f>
        <v/>
      </c>
      <c r="Y72">
        <f>HYPERLINK("https://klasma.github.io/Logging_2132/kartor_geotiff/A 11895-2026 georefererad karta.tif", "A 11895-2026")</f>
        <v/>
      </c>
      <c r="AA72">
        <f>HYPERLINK("https://klasma.github.io/Logging_2132/klagomål/A 11895-2026 FSC-klagomål.docx", "A 11895-2026")</f>
        <v/>
      </c>
      <c r="AB72">
        <f>HYPERLINK("https://klasma.github.io/Logging_2132/klagomålsmail/A 11895-2026 FSC-klagomål mail.docx", "A 11895-2026")</f>
        <v/>
      </c>
      <c r="AC72">
        <f>HYPERLINK("https://klasma.github.io/Logging_2132/tillsyn/A 11895-2026 tillsynsbegäran.docx", "A 11895-2026")</f>
        <v/>
      </c>
      <c r="AD72">
        <f>HYPERLINK("https://klasma.github.io/Logging_2132/tillsynsmail/A 11895-2026 tillsynsbegäran mail.docx", "A 11895-2026")</f>
        <v/>
      </c>
    </row>
    <row r="73" ht="15" customHeight="1">
      <c r="A73" t="inlineStr">
        <is>
          <t>A 25625-2026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46177</v>
      </c>
      <c r="E73" s="1" t="n">
        <v>46309</v>
      </c>
      <c r="F73" t="inlineStr">
        <is>
          <t>GÄVLEBORGS LÄN</t>
        </is>
      </c>
      <c r="G73" t="inlineStr">
        <is>
          <t>NORDANSTIG</t>
        </is>
      </c>
      <c r="H73" t="inlineStr">
        <is>
          <t>SCA</t>
        </is>
      </c>
      <c r="I73" t="n">
        <v>0.7</v>
      </c>
      <c r="J73" t="n">
        <v>1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13</v>
      </c>
      <c r="U73" t="n">
        <v>0</v>
      </c>
      <c r="V73" s="2" t="inlineStr">
        <is>
          <t>Skogsknipprot</t>
        </is>
      </c>
      <c r="W73">
        <f>HYPERLINK("https://klasma.github.io/Logging_2132/artfynd/A 25625-2026 artfynd.xlsx", "A 25625-2026")</f>
        <v/>
      </c>
      <c r="X73">
        <f>HYPERLINK("https://klasma.github.io/Logging_2132/kartor/A 25625-2026 karta.png", "A 25625-2026")</f>
        <v/>
      </c>
      <c r="Y73">
        <f>HYPERLINK("https://klasma.github.io/Logging_2132/kartor_geotiff/A 25625-2026 georefererad karta.tif", "A 25625-2026")</f>
        <v/>
      </c>
      <c r="AA73">
        <f>HYPERLINK("https://klasma.github.io/Logging_2132/klagomål/A 25625-2026 FSC-klagomål.docx", "A 25625-2026")</f>
        <v/>
      </c>
      <c r="AB73">
        <f>HYPERLINK("https://klasma.github.io/Logging_2132/klagomålsmail/A 25625-2026 FSC-klagomål mail.docx", "A 25625-2026")</f>
        <v/>
      </c>
      <c r="AC73">
        <f>HYPERLINK("https://klasma.github.io/Logging_2132/tillsyn/A 25625-2026 tillsynsbegäran.docx", "A 25625-2026")</f>
        <v/>
      </c>
      <c r="AD73">
        <f>HYPERLINK("https://klasma.github.io/Logging_2132/tillsynsmail/A 25625-2026 tillsynsbegäran mail.docx", "A 25625-2026")</f>
        <v/>
      </c>
    </row>
    <row r="74" ht="15" customHeight="1">
      <c r="A74" t="inlineStr">
        <is>
          <t>A 26278-2026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46182</v>
      </c>
      <c r="E74" s="1" t="n">
        <v>46309</v>
      </c>
      <c r="F74" t="inlineStr">
        <is>
          <t>GÄVLEBORGS LÄN</t>
        </is>
      </c>
      <c r="G74" t="inlineStr">
        <is>
          <t>NORDANSTIG</t>
        </is>
      </c>
      <c r="H74" t="inlineStr">
        <is>
          <t>Holmen skog AB</t>
        </is>
      </c>
      <c r="I74" t="n">
        <v>1</v>
      </c>
      <c r="J74" t="n">
        <v>1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1</v>
      </c>
      <c r="T74" t="n">
        <v>1</v>
      </c>
      <c r="U74" t="n">
        <v>0</v>
      </c>
      <c r="V74" s="2" t="inlineStr">
        <is>
          <t>Lavskrika</t>
        </is>
      </c>
      <c r="W74">
        <f>HYPERLINK("https://klasma.github.io/Logging_2132/artfynd/A 26278-2026 artfynd.xlsx", "A 26278-2026")</f>
        <v/>
      </c>
      <c r="X74">
        <f>HYPERLINK("https://klasma.github.io/Logging_2132/kartor/A 26278-2026 karta.png", "A 26278-2026")</f>
        <v/>
      </c>
      <c r="Y74">
        <f>HYPERLINK("https://klasma.github.io/Logging_2132/kartor_geotiff/A 26278-2026 georefererad karta.tif", "A 26278-2026")</f>
        <v/>
      </c>
      <c r="AA74">
        <f>HYPERLINK("https://klasma.github.io/Logging_2132/klagomål/A 26278-2026 FSC-klagomål.docx", "A 26278-2026")</f>
        <v/>
      </c>
      <c r="AB74">
        <f>HYPERLINK("https://klasma.github.io/Logging_2132/klagomålsmail/A 26278-2026 FSC-klagomål mail.docx", "A 26278-2026")</f>
        <v/>
      </c>
      <c r="AC74">
        <f>HYPERLINK("https://klasma.github.io/Logging_2132/tillsyn/A 26278-2026 tillsynsbegäran.docx", "A 26278-2026")</f>
        <v/>
      </c>
      <c r="AD74">
        <f>HYPERLINK("https://klasma.github.io/Logging_2132/tillsynsmail/A 26278-2026 tillsynsbegäran mail.docx", "A 26278-2026")</f>
        <v/>
      </c>
      <c r="AE74">
        <f>HYPERLINK("https://klasma.github.io/Logging_2132/fåglar/A 26278-2026 prioriterade fågelarter.docx", "A 26278-2026")</f>
        <v/>
      </c>
    </row>
    <row r="75" ht="15" customHeight="1">
      <c r="A75" t="inlineStr">
        <is>
          <t>A 3474-2024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45320</v>
      </c>
      <c r="E75" s="1" t="n">
        <v>46309</v>
      </c>
      <c r="F75" t="inlineStr">
        <is>
          <t>GÄVLEBORGS LÄN</t>
        </is>
      </c>
      <c r="G75" t="inlineStr">
        <is>
          <t>NORDANSTIG</t>
        </is>
      </c>
      <c r="H75" t="inlineStr">
        <is>
          <t>Holmen skog AB</t>
        </is>
      </c>
      <c r="I75" t="n">
        <v>5.7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1</v>
      </c>
      <c r="S75" t="n">
        <v>1</v>
      </c>
      <c r="T75" t="n">
        <v>3</v>
      </c>
      <c r="U75" t="n">
        <v>0</v>
      </c>
      <c r="V75" s="2" t="inlineStr">
        <is>
          <t>Bredgentiana</t>
        </is>
      </c>
      <c r="W75">
        <f>HYPERLINK("https://klasma.github.io/Logging_2132/artfynd/A 3474-2024 artfynd.xlsx", "A 3474-2024")</f>
        <v/>
      </c>
      <c r="X75">
        <f>HYPERLINK("https://klasma.github.io/Logging_2132/kartor/A 3474-2024 karta.png", "A 3474-2024")</f>
        <v/>
      </c>
      <c r="Y75">
        <f>HYPERLINK("https://klasma.github.io/Logging_2132/kartor_geotiff/A 3474-2024 georefererad karta.tif", "A 3474-2024")</f>
        <v/>
      </c>
      <c r="AA75">
        <f>HYPERLINK("https://klasma.github.io/Logging_2132/klagomål/A 3474-2024 FSC-klagomål.docx", "A 3474-2024")</f>
        <v/>
      </c>
      <c r="AB75">
        <f>HYPERLINK("https://klasma.github.io/Logging_2132/klagomålsmail/A 3474-2024 FSC-klagomål mail.docx", "A 3474-2024")</f>
        <v/>
      </c>
      <c r="AC75">
        <f>HYPERLINK("https://klasma.github.io/Logging_2132/tillsyn/A 3474-2024 tillsynsbegäran.docx", "A 3474-2024")</f>
        <v/>
      </c>
      <c r="AD75">
        <f>HYPERLINK("https://klasma.github.io/Logging_2132/tillsynsmail/A 3474-2024 tillsynsbegäran mail.docx", "A 3474-2024")</f>
        <v/>
      </c>
    </row>
    <row r="76" ht="15" customHeight="1">
      <c r="A76" t="inlineStr">
        <is>
          <t>A 22863-2023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45072</v>
      </c>
      <c r="E76" s="1" t="n">
        <v>46309</v>
      </c>
      <c r="F76" t="inlineStr">
        <is>
          <t>GÄVLEBORGS LÄN</t>
        </is>
      </c>
      <c r="G76" t="inlineStr">
        <is>
          <t>NORDANSTIG</t>
        </is>
      </c>
      <c r="I76" t="n">
        <v>1.9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s="2" t="inlineStr">
        <is>
          <t>Igelkott</t>
        </is>
      </c>
      <c r="W76">
        <f>HYPERLINK("https://klasma.github.io/Logging_2132/artfynd/A 22863-2023 artfynd.xlsx", "A 22863-2023")</f>
        <v/>
      </c>
      <c r="X76">
        <f>HYPERLINK("https://klasma.github.io/Logging_2132/kartor/A 22863-2023 karta.png", "A 22863-2023")</f>
        <v/>
      </c>
      <c r="Y76">
        <f>HYPERLINK("https://klasma.github.io/Logging_2132/kartor_geotiff/A 22863-2023 georefererad karta.tif", "A 22863-2023")</f>
        <v/>
      </c>
      <c r="AA76">
        <f>HYPERLINK("https://klasma.github.io/Logging_2132/klagomål/A 22863-2023 FSC-klagomål.docx", "A 22863-2023")</f>
        <v/>
      </c>
      <c r="AB76">
        <f>HYPERLINK("https://klasma.github.io/Logging_2132/klagomålsmail/A 22863-2023 FSC-klagomål mail.docx", "A 22863-2023")</f>
        <v/>
      </c>
      <c r="AC76">
        <f>HYPERLINK("https://klasma.github.io/Logging_2132/tillsyn/A 22863-2023 tillsynsbegäran.docx", "A 22863-2023")</f>
        <v/>
      </c>
      <c r="AD76">
        <f>HYPERLINK("https://klasma.github.io/Logging_2132/tillsynsmail/A 22863-2023 tillsynsbegäran mail.docx", "A 22863-2023")</f>
        <v/>
      </c>
    </row>
    <row r="77" ht="15" customHeight="1">
      <c r="A77" t="inlineStr">
        <is>
          <t>A 14392-2025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45741</v>
      </c>
      <c r="E77" s="1" t="n">
        <v>46309</v>
      </c>
      <c r="F77" t="inlineStr">
        <is>
          <t>GÄVLEBORGS LÄN</t>
        </is>
      </c>
      <c r="G77" t="inlineStr">
        <is>
          <t>NORDANSTIG</t>
        </is>
      </c>
      <c r="I77" t="n">
        <v>28.6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1</v>
      </c>
      <c r="T77" t="n">
        <v>1</v>
      </c>
      <c r="U77" t="n">
        <v>0</v>
      </c>
      <c r="V77" s="2" t="inlineStr">
        <is>
          <t>Violettgrå tagellav</t>
        </is>
      </c>
      <c r="W77">
        <f>HYPERLINK("https://klasma.github.io/Logging_2132/artfynd/A 14392-2025 artfynd.xlsx", "A 14392-2025")</f>
        <v/>
      </c>
      <c r="X77">
        <f>HYPERLINK("https://klasma.github.io/Logging_2132/kartor/A 14392-2025 karta.png", "A 14392-2025")</f>
        <v/>
      </c>
      <c r="Y77">
        <f>HYPERLINK("https://klasma.github.io/Logging_2132/kartor_geotiff/A 14392-2025 georefererad karta.tif", "A 14392-2025")</f>
        <v/>
      </c>
      <c r="AA77">
        <f>HYPERLINK("https://klasma.github.io/Logging_2132/klagomål/A 14392-2025 FSC-klagomål.docx", "A 14392-2025")</f>
        <v/>
      </c>
      <c r="AB77">
        <f>HYPERLINK("https://klasma.github.io/Logging_2132/klagomålsmail/A 14392-2025 FSC-klagomål mail.docx", "A 14392-2025")</f>
        <v/>
      </c>
      <c r="AC77">
        <f>HYPERLINK("https://klasma.github.io/Logging_2132/tillsyn/A 14392-2025 tillsynsbegäran.docx", "A 14392-2025")</f>
        <v/>
      </c>
      <c r="AD77">
        <f>HYPERLINK("https://klasma.github.io/Logging_2132/tillsynsmail/A 14392-2025 tillsynsbegäran mail.docx", "A 14392-2025")</f>
        <v/>
      </c>
    </row>
    <row r="78" ht="15" customHeight="1">
      <c r="A78" t="inlineStr">
        <is>
          <t>A 377-2024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45296</v>
      </c>
      <c r="E78" s="1" t="n">
        <v>46309</v>
      </c>
      <c r="F78" t="inlineStr">
        <is>
          <t>GÄVLEBORGS LÄN</t>
        </is>
      </c>
      <c r="G78" t="inlineStr">
        <is>
          <t>NORDANSTIG</t>
        </is>
      </c>
      <c r="H78" t="inlineStr">
        <is>
          <t>Holmen skog AB</t>
        </is>
      </c>
      <c r="I78" t="n">
        <v>2.2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1</v>
      </c>
      <c r="U78" t="n">
        <v>1</v>
      </c>
      <c r="V78" s="2" t="inlineStr">
        <is>
          <t>Havsörn</t>
        </is>
      </c>
      <c r="W78">
        <f>HYPERLINK("https://klasma.github.io/Logging_2132/artfynd/A 377-2024 artfynd.xlsx", "A 377-2024")</f>
        <v/>
      </c>
      <c r="X78">
        <f>HYPERLINK("https://klasma.github.io/Logging_2132/kartor/A 377-2024 karta.png", "A 377-2024")</f>
        <v/>
      </c>
      <c r="Y78">
        <f>HYPERLINK("https://klasma.github.io/Logging_2132/kartor_geotiff/A 377-2024 georefererad karta.tif", "A 377-2024")</f>
        <v/>
      </c>
      <c r="AA78">
        <f>HYPERLINK("https://klasma.github.io/Logging_2132/klagomål/A 377-2024 FSC-klagomål.docx", "A 377-2024")</f>
        <v/>
      </c>
      <c r="AB78">
        <f>HYPERLINK("https://klasma.github.io/Logging_2132/klagomålsmail/A 377-2024 FSC-klagomål mail.docx", "A 377-2024")</f>
        <v/>
      </c>
      <c r="AC78">
        <f>HYPERLINK("https://klasma.github.io/Logging_2132/tillsyn/A 377-2024 tillsynsbegäran.docx", "A 377-2024")</f>
        <v/>
      </c>
      <c r="AD78">
        <f>HYPERLINK("https://klasma.github.io/Logging_2132/tillsynsmail/A 377-2024 tillsynsbegäran mail.docx", "A 377-2024")</f>
        <v/>
      </c>
      <c r="AE78">
        <f>HYPERLINK("https://klasma.github.io/Logging_2132/fåglar/A 377-2024 prioriterade fågelarter.docx", "A 377-2024")</f>
        <v/>
      </c>
    </row>
    <row r="79" ht="15" customHeight="1">
      <c r="A79" t="inlineStr">
        <is>
          <t>A 2878-2026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46038</v>
      </c>
      <c r="E79" s="1" t="n">
        <v>46309</v>
      </c>
      <c r="F79" t="inlineStr">
        <is>
          <t>GÄVLEBORGS LÄN</t>
        </is>
      </c>
      <c r="G79" t="inlineStr">
        <is>
          <t>NORDANSTIG</t>
        </is>
      </c>
      <c r="I79" t="n">
        <v>3.4</v>
      </c>
      <c r="J79" t="n">
        <v>1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1</v>
      </c>
      <c r="T79" t="n">
        <v>1</v>
      </c>
      <c r="U79" t="n">
        <v>0</v>
      </c>
      <c r="V79" s="2" t="inlineStr">
        <is>
          <t>Mindre hackspett</t>
        </is>
      </c>
      <c r="W79">
        <f>HYPERLINK("https://klasma.github.io/Logging_2132/artfynd/A 2878-2026 artfynd.xlsx", "A 2878-2026")</f>
        <v/>
      </c>
      <c r="X79">
        <f>HYPERLINK("https://klasma.github.io/Logging_2132/kartor/A 2878-2026 karta.png", "A 2878-2026")</f>
        <v/>
      </c>
      <c r="Y79">
        <f>HYPERLINK("https://klasma.github.io/Logging_2132/kartor_geotiff/A 2878-2026 georefererad karta.tif", "A 2878-2026")</f>
        <v/>
      </c>
      <c r="AA79">
        <f>HYPERLINK("https://klasma.github.io/Logging_2132/klagomål/A 2878-2026 FSC-klagomål.docx", "A 2878-2026")</f>
        <v/>
      </c>
      <c r="AB79">
        <f>HYPERLINK("https://klasma.github.io/Logging_2132/klagomålsmail/A 2878-2026 FSC-klagomål mail.docx", "A 2878-2026")</f>
        <v/>
      </c>
      <c r="AC79">
        <f>HYPERLINK("https://klasma.github.io/Logging_2132/tillsyn/A 2878-2026 tillsynsbegäran.docx", "A 2878-2026")</f>
        <v/>
      </c>
      <c r="AD79">
        <f>HYPERLINK("https://klasma.github.io/Logging_2132/tillsynsmail/A 2878-2026 tillsynsbegäran mail.docx", "A 2878-2026")</f>
        <v/>
      </c>
      <c r="AE79">
        <f>HYPERLINK("https://klasma.github.io/Logging_2132/fåglar/A 2878-2026 prioriterade fågelarter.docx", "A 2878-2026")</f>
        <v/>
      </c>
    </row>
    <row r="80" ht="15" customHeight="1">
      <c r="A80" t="inlineStr">
        <is>
          <t>A 18681-2025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45763</v>
      </c>
      <c r="E80" s="1" t="n">
        <v>46309</v>
      </c>
      <c r="F80" t="inlineStr">
        <is>
          <t>GÄVLEBORGS LÄN</t>
        </is>
      </c>
      <c r="G80" t="inlineStr">
        <is>
          <t>NORDANSTIG</t>
        </is>
      </c>
      <c r="H80" t="inlineStr">
        <is>
          <t>Holmen skog AB</t>
        </is>
      </c>
      <c r="I80" t="n">
        <v>6.7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1</v>
      </c>
      <c r="V80" s="2" t="inlineStr">
        <is>
          <t>Blåsippa</t>
        </is>
      </c>
      <c r="W80">
        <f>HYPERLINK("https://klasma.github.io/Logging_2132/artfynd/A 18681-2025 artfynd.xlsx", "A 18681-2025")</f>
        <v/>
      </c>
      <c r="X80">
        <f>HYPERLINK("https://klasma.github.io/Logging_2132/kartor/A 18681-2025 karta.png", "A 18681-2025")</f>
        <v/>
      </c>
      <c r="Y80">
        <f>HYPERLINK("https://klasma.github.io/Logging_2132/kartor_geotiff/A 18681-2025 georefererad karta.tif", "A 18681-2025")</f>
        <v/>
      </c>
      <c r="AA80">
        <f>HYPERLINK("https://klasma.github.io/Logging_2132/klagomål/A 18681-2025 FSC-klagomål.docx", "A 18681-2025")</f>
        <v/>
      </c>
      <c r="AB80">
        <f>HYPERLINK("https://klasma.github.io/Logging_2132/klagomålsmail/A 18681-2025 FSC-klagomål mail.docx", "A 18681-2025")</f>
        <v/>
      </c>
      <c r="AC80">
        <f>HYPERLINK("https://klasma.github.io/Logging_2132/tillsyn/A 18681-2025 tillsynsbegäran.docx", "A 18681-2025")</f>
        <v/>
      </c>
      <c r="AD80">
        <f>HYPERLINK("https://klasma.github.io/Logging_2132/tillsynsmail/A 18681-2025 tillsynsbegäran mail.docx", "A 18681-2025")</f>
        <v/>
      </c>
    </row>
    <row r="81" ht="15" customHeight="1">
      <c r="A81" t="inlineStr">
        <is>
          <t>S 375-2023</t>
        </is>
      </c>
      <c r="B81" t="inlineStr">
        <is>
          <t>samrådsanmälan</t>
        </is>
      </c>
      <c r="C81" t="inlineStr">
        <is>
          <t>Skogsgödsling</t>
        </is>
      </c>
      <c r="D81" s="1" t="n">
        <v>44959</v>
      </c>
      <c r="E81" s="1" t="n">
        <v>46309</v>
      </c>
      <c r="F81" t="inlineStr">
        <is>
          <t>GÄVLEBORGS LÄN</t>
        </is>
      </c>
      <c r="G81" t="inlineStr">
        <is>
          <t>NORDANSTIG</t>
        </is>
      </c>
      <c r="H81" t="inlineStr">
        <is>
          <t>Holmen skog AB</t>
        </is>
      </c>
      <c r="I81" t="n">
        <v>281.6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2</v>
      </c>
      <c r="U81" t="n">
        <v>2</v>
      </c>
      <c r="V81" s="2" t="inlineStr">
        <is>
          <t>Tjäder</t>
        </is>
      </c>
      <c r="W81">
        <f>HYPERLINK("https://klasma.github.io/Logging_2132/artfynd/S 375-2023 artfynd.xlsx", "S 375-2023")</f>
        <v/>
      </c>
      <c r="X81">
        <f>HYPERLINK("https://klasma.github.io/Logging_2132/kartor/S 375-2023 karta.png", "S 375-2023")</f>
        <v/>
      </c>
      <c r="Y81">
        <f>HYPERLINK("https://klasma.github.io/Logging_2132/kartor_geotiff/S 375-2023 georefererad karta.tif", "S 375-2023")</f>
        <v/>
      </c>
      <c r="AA81">
        <f>HYPERLINK("https://klasma.github.io/Logging_2132/klagomål/S 375-2023 FSC-klagomål.docx", "S 375-2023")</f>
        <v/>
      </c>
      <c r="AB81">
        <f>HYPERLINK("https://klasma.github.io/Logging_2132/klagomålsmail/S 375-2023 FSC-klagomål mail.docx", "S 375-2023")</f>
        <v/>
      </c>
      <c r="AC81">
        <f>HYPERLINK("https://klasma.github.io/Logging_2132/tillsyn/S 375-2023 tillsynsbegäran.docx", "S 375-2023")</f>
        <v/>
      </c>
      <c r="AD81">
        <f>HYPERLINK("https://klasma.github.io/Logging_2132/tillsynsmail/S 375-2023 tillsynsbegäran mail.docx", "S 375-2023")</f>
        <v/>
      </c>
      <c r="AE81">
        <f>HYPERLINK("https://klasma.github.io/Logging_2132/fåglar/S 375-2023 prioriterade fågelarter.docx", "S 375-2023")</f>
        <v/>
      </c>
    </row>
    <row r="82" ht="15" customHeight="1">
      <c r="A82" t="inlineStr">
        <is>
          <t>S 141-2025</t>
        </is>
      </c>
      <c r="B82" t="inlineStr">
        <is>
          <t>samrådsanmälan</t>
        </is>
      </c>
      <c r="C82" t="inlineStr">
        <is>
          <t>Skogsgödsling</t>
        </is>
      </c>
      <c r="D82" s="1" t="n">
        <v>45670</v>
      </c>
      <c r="E82" s="1" t="n">
        <v>46309</v>
      </c>
      <c r="F82" t="inlineStr">
        <is>
          <t>GÄVLEBORGS LÄN</t>
        </is>
      </c>
      <c r="G82" t="inlineStr">
        <is>
          <t>NORDANSTIG</t>
        </is>
      </c>
      <c r="H82" t="inlineStr">
        <is>
          <t>Holmen skog AB</t>
        </is>
      </c>
      <c r="I82" t="n">
        <v>95.09999999999999</v>
      </c>
      <c r="J82" t="n">
        <v>1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  <c r="T82" t="n">
        <v>1</v>
      </c>
      <c r="U82" t="n">
        <v>0</v>
      </c>
      <c r="V82" s="2" t="inlineStr">
        <is>
          <t>Plattlummer</t>
        </is>
      </c>
      <c r="W82">
        <f>HYPERLINK("https://klasma.github.io/Logging_2132/artfynd/S 141-2025 artfynd.xlsx", "S 141-2025")</f>
        <v/>
      </c>
      <c r="X82">
        <f>HYPERLINK("https://klasma.github.io/Logging_2132/kartor/S 141-2025 karta.png", "S 141-2025")</f>
        <v/>
      </c>
      <c r="Y82">
        <f>HYPERLINK("https://klasma.github.io/Logging_2132/kartor_geotiff/S 141-2025 georefererad karta.tif", "S 141-2025")</f>
        <v/>
      </c>
      <c r="AA82">
        <f>HYPERLINK("https://klasma.github.io/Logging_2132/klagomål/S 141-2025 FSC-klagomål.docx", "S 141-2025")</f>
        <v/>
      </c>
      <c r="AB82">
        <f>HYPERLINK("https://klasma.github.io/Logging_2132/klagomålsmail/S 141-2025 FSC-klagomål mail.docx", "S 141-2025")</f>
        <v/>
      </c>
      <c r="AC82">
        <f>HYPERLINK("https://klasma.github.io/Logging_2132/tillsyn/S 141-2025 tillsynsbegäran.docx", "S 141-2025")</f>
        <v/>
      </c>
      <c r="AD82">
        <f>HYPERLINK("https://klasma.github.io/Logging_2132/tillsynsmail/S 141-2025 tillsynsbegäran mail.docx", "S 141-2025")</f>
        <v/>
      </c>
    </row>
    <row r="83" ht="15" customHeight="1">
      <c r="A83" t="inlineStr">
        <is>
          <t>S 142-2025</t>
        </is>
      </c>
      <c r="B83" t="inlineStr">
        <is>
          <t>samrådsanmälan</t>
        </is>
      </c>
      <c r="C83" t="inlineStr">
        <is>
          <t>Skogsgödsling</t>
        </is>
      </c>
      <c r="D83" s="1" t="n">
        <v>45670</v>
      </c>
      <c r="E83" s="1" t="n">
        <v>46309</v>
      </c>
      <c r="F83" t="inlineStr">
        <is>
          <t>GÄVLEBORGS LÄN</t>
        </is>
      </c>
      <c r="G83" t="inlineStr">
        <is>
          <t>NORDANSTIG</t>
        </is>
      </c>
      <c r="H83" t="inlineStr">
        <is>
          <t>Holmen skog AB</t>
        </is>
      </c>
      <c r="I83" t="n">
        <v>268.6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1</v>
      </c>
      <c r="U83" t="n">
        <v>1</v>
      </c>
      <c r="V83" s="2" t="inlineStr">
        <is>
          <t>Spädstarr</t>
        </is>
      </c>
      <c r="W83">
        <f>HYPERLINK("https://klasma.github.io/Logging_2132/artfynd/S 142-2025 artfynd.xlsx", "S 142-2025")</f>
        <v/>
      </c>
      <c r="X83">
        <f>HYPERLINK("https://klasma.github.io/Logging_2132/kartor/S 142-2025 karta.png", "S 142-2025")</f>
        <v/>
      </c>
      <c r="Y83">
        <f>HYPERLINK("https://klasma.github.io/Logging_2132/kartor_geotiff/S 142-2025 georefererad karta.tif", "S 142-2025")</f>
        <v/>
      </c>
      <c r="AA83">
        <f>HYPERLINK("https://klasma.github.io/Logging_2132/klagomål/S 142-2025 FSC-klagomål.docx", "S 142-2025")</f>
        <v/>
      </c>
      <c r="AB83">
        <f>HYPERLINK("https://klasma.github.io/Logging_2132/klagomålsmail/S 142-2025 FSC-klagomål mail.docx", "S 142-2025")</f>
        <v/>
      </c>
      <c r="AC83">
        <f>HYPERLINK("https://klasma.github.io/Logging_2132/tillsyn/S 142-2025 tillsynsbegäran.docx", "S 142-2025")</f>
        <v/>
      </c>
      <c r="AD83">
        <f>HYPERLINK("https://klasma.github.io/Logging_2132/tillsynsmail/S 142-2025 tillsynsbegäran mail.docx", "S 142-2025")</f>
        <v/>
      </c>
    </row>
    <row r="84" ht="15" customHeight="1">
      <c r="A84" t="inlineStr">
        <is>
          <t>A 41161-2022</t>
        </is>
      </c>
      <c r="B84" t="inlineStr">
        <is>
          <t>avverkningsanmälan</t>
        </is>
      </c>
      <c r="C84" t="inlineStr">
        <is>
          <t>Avverkning för annat ändamål</t>
        </is>
      </c>
      <c r="D84" s="1" t="n">
        <v>44825</v>
      </c>
      <c r="E84" s="1" t="n">
        <v>46309</v>
      </c>
      <c r="F84" t="inlineStr">
        <is>
          <t>GÄVLEBORGS LÄN</t>
        </is>
      </c>
      <c r="G84" t="inlineStr">
        <is>
          <t>NORDANSTIG</t>
        </is>
      </c>
      <c r="I84" t="n">
        <v>4.8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59267-2021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44490</v>
      </c>
      <c r="E85" s="1" t="n">
        <v>46309</v>
      </c>
      <c r="F85" t="inlineStr">
        <is>
          <t>GÄVLEBORGS LÄN</t>
        </is>
      </c>
      <c r="G85" t="inlineStr">
        <is>
          <t>NORDANSTIG</t>
        </is>
      </c>
      <c r="I85" t="n">
        <v>10.3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21873-2022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44711</v>
      </c>
      <c r="E86" s="1" t="n">
        <v>46309</v>
      </c>
      <c r="F86" t="inlineStr">
        <is>
          <t>GÄVLEBORGS LÄN</t>
        </is>
      </c>
      <c r="G86" t="inlineStr">
        <is>
          <t>NORDANSTIG</t>
        </is>
      </c>
      <c r="I86" t="n">
        <v>1.1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30857-2022</t>
        </is>
      </c>
      <c r="B87" t="inlineStr">
        <is>
          <t>avverkningsanmälan</t>
        </is>
      </c>
      <c r="C87" t="inlineStr">
        <is>
          <t>Avverkning för annat ändamål</t>
        </is>
      </c>
      <c r="D87" s="1" t="n">
        <v>44767</v>
      </c>
      <c r="E87" s="1" t="n">
        <v>46309</v>
      </c>
      <c r="F87" t="inlineStr">
        <is>
          <t>GÄVLEBORGS LÄN</t>
        </is>
      </c>
      <c r="G87" t="inlineStr">
        <is>
          <t>NORDANSTIG</t>
        </is>
      </c>
      <c r="I87" t="n">
        <v>0.4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53079-2022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44876</v>
      </c>
      <c r="E88" s="1" t="n">
        <v>46309</v>
      </c>
      <c r="F88" t="inlineStr">
        <is>
          <t>GÄVLEBORGS LÄN</t>
        </is>
      </c>
      <c r="G88" t="inlineStr">
        <is>
          <t>NORDANSTIG</t>
        </is>
      </c>
      <c r="H88" t="inlineStr">
        <is>
          <t>Holmen skog AB</t>
        </is>
      </c>
      <c r="I88" t="n">
        <v>7.2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31432-2022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44774</v>
      </c>
      <c r="E89" s="1" t="n">
        <v>46309</v>
      </c>
      <c r="F89" t="inlineStr">
        <is>
          <t>GÄVLEBORGS LÄN</t>
        </is>
      </c>
      <c r="G89" t="inlineStr">
        <is>
          <t>NORDANSTIG</t>
        </is>
      </c>
      <c r="I89" t="n">
        <v>0.6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72815-2021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44547</v>
      </c>
      <c r="E90" s="1" t="n">
        <v>46309</v>
      </c>
      <c r="F90" t="inlineStr">
        <is>
          <t>GÄVLEBORGS LÄN</t>
        </is>
      </c>
      <c r="G90" t="inlineStr">
        <is>
          <t>NORDANSTIG</t>
        </is>
      </c>
      <c r="I90" t="n">
        <v>0.3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37965-2022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44811</v>
      </c>
      <c r="E91" s="1" t="n">
        <v>46309</v>
      </c>
      <c r="F91" t="inlineStr">
        <is>
          <t>GÄVLEBORGS LÄN</t>
        </is>
      </c>
      <c r="G91" t="inlineStr">
        <is>
          <t>NORDANSTIG</t>
        </is>
      </c>
      <c r="I91" t="n">
        <v>1.9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24997-2022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44728</v>
      </c>
      <c r="E92" s="1" t="n">
        <v>46309</v>
      </c>
      <c r="F92" t="inlineStr">
        <is>
          <t>GÄVLEBORGS LÄN</t>
        </is>
      </c>
      <c r="G92" t="inlineStr">
        <is>
          <t>NORDANSTIG</t>
        </is>
      </c>
      <c r="I92" t="n">
        <v>2.9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18516-2022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44686</v>
      </c>
      <c r="E93" s="1" t="n">
        <v>46309</v>
      </c>
      <c r="F93" t="inlineStr">
        <is>
          <t>GÄVLEBORGS LÄN</t>
        </is>
      </c>
      <c r="G93" t="inlineStr">
        <is>
          <t>NORDANSTIG</t>
        </is>
      </c>
      <c r="I93" t="n">
        <v>2.9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30817-2022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44765</v>
      </c>
      <c r="E94" s="1" t="n">
        <v>46309</v>
      </c>
      <c r="F94" t="inlineStr">
        <is>
          <t>GÄVLEBORGS LÄN</t>
        </is>
      </c>
      <c r="G94" t="inlineStr">
        <is>
          <t>NORDANSTIG</t>
        </is>
      </c>
      <c r="I94" t="n">
        <v>2.4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32342-2022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44781</v>
      </c>
      <c r="E95" s="1" t="n">
        <v>46309</v>
      </c>
      <c r="F95" t="inlineStr">
        <is>
          <t>GÄVLEBORGS LÄN</t>
        </is>
      </c>
      <c r="G95" t="inlineStr">
        <is>
          <t>NORDANSTIG</t>
        </is>
      </c>
      <c r="I95" t="n">
        <v>1.2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7183-2022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44605</v>
      </c>
      <c r="E96" s="1" t="n">
        <v>46309</v>
      </c>
      <c r="F96" t="inlineStr">
        <is>
          <t>GÄVLEBORGS LÄN</t>
        </is>
      </c>
      <c r="G96" t="inlineStr">
        <is>
          <t>NORDANSTIG</t>
        </is>
      </c>
      <c r="I96" t="n">
        <v>1.1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22361-2022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44713</v>
      </c>
      <c r="E97" s="1" t="n">
        <v>46309</v>
      </c>
      <c r="F97" t="inlineStr">
        <is>
          <t>GÄVLEBORGS LÄN</t>
        </is>
      </c>
      <c r="G97" t="inlineStr">
        <is>
          <t>NORDANSTIG</t>
        </is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48080-2022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44855</v>
      </c>
      <c r="E98" s="1" t="n">
        <v>46309</v>
      </c>
      <c r="F98" t="inlineStr">
        <is>
          <t>GÄVLEBORGS LÄN</t>
        </is>
      </c>
      <c r="G98" t="inlineStr">
        <is>
          <t>NORDANSTIG</t>
        </is>
      </c>
      <c r="H98" t="inlineStr">
        <is>
          <t>SCA</t>
        </is>
      </c>
      <c r="I98" t="n">
        <v>12.1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53673-2022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44879</v>
      </c>
      <c r="E99" s="1" t="n">
        <v>46309</v>
      </c>
      <c r="F99" t="inlineStr">
        <is>
          <t>GÄVLEBORGS LÄN</t>
        </is>
      </c>
      <c r="G99" t="inlineStr">
        <is>
          <t>NORDANSTIG</t>
        </is>
      </c>
      <c r="H99" t="inlineStr">
        <is>
          <t>SCA</t>
        </is>
      </c>
      <c r="I99" t="n">
        <v>2.1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40342-2022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44823</v>
      </c>
      <c r="E100" s="1" t="n">
        <v>46309</v>
      </c>
      <c r="F100" t="inlineStr">
        <is>
          <t>GÄVLEBORGS LÄN</t>
        </is>
      </c>
      <c r="G100" t="inlineStr">
        <is>
          <t>NORDANSTIG</t>
        </is>
      </c>
      <c r="H100" t="inlineStr">
        <is>
          <t>Holmen skog AB</t>
        </is>
      </c>
      <c r="I100" t="n">
        <v>1.6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23881-2022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44722</v>
      </c>
      <c r="E101" s="1" t="n">
        <v>46309</v>
      </c>
      <c r="F101" t="inlineStr">
        <is>
          <t>GÄVLEBORGS LÄN</t>
        </is>
      </c>
      <c r="G101" t="inlineStr">
        <is>
          <t>NORDANSTIG</t>
        </is>
      </c>
      <c r="H101" t="inlineStr">
        <is>
          <t>Holmen skog AB</t>
        </is>
      </c>
      <c r="I101" t="n">
        <v>1.4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42629-2022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44831</v>
      </c>
      <c r="E102" s="1" t="n">
        <v>46309</v>
      </c>
      <c r="F102" t="inlineStr">
        <is>
          <t>GÄVLEBORGS LÄN</t>
        </is>
      </c>
      <c r="G102" t="inlineStr">
        <is>
          <t>NORDANSTIG</t>
        </is>
      </c>
      <c r="I102" t="n">
        <v>4.5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38800-2022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44816</v>
      </c>
      <c r="E103" s="1" t="n">
        <v>46309</v>
      </c>
      <c r="F103" t="inlineStr">
        <is>
          <t>GÄVLEBORGS LÄN</t>
        </is>
      </c>
      <c r="G103" t="inlineStr">
        <is>
          <t>NORDANSTIG</t>
        </is>
      </c>
      <c r="H103" t="inlineStr">
        <is>
          <t>Holmen skog AB</t>
        </is>
      </c>
      <c r="I103" t="n">
        <v>0.8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38348-2022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44812</v>
      </c>
      <c r="E104" s="1" t="n">
        <v>46309</v>
      </c>
      <c r="F104" t="inlineStr">
        <is>
          <t>GÄVLEBORGS LÄN</t>
        </is>
      </c>
      <c r="G104" t="inlineStr">
        <is>
          <t>NORDANSTIG</t>
        </is>
      </c>
      <c r="H104" t="inlineStr">
        <is>
          <t>Holmen skog AB</t>
        </is>
      </c>
      <c r="I104" t="n">
        <v>0.5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27276-2022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44741</v>
      </c>
      <c r="E105" s="1" t="n">
        <v>46309</v>
      </c>
      <c r="F105" t="inlineStr">
        <is>
          <t>GÄVLEBORGS LÄN</t>
        </is>
      </c>
      <c r="G105" t="inlineStr">
        <is>
          <t>NORDANSTIG</t>
        </is>
      </c>
      <c r="I105" t="n">
        <v>0.9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72594-2021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44546</v>
      </c>
      <c r="E106" s="1" t="n">
        <v>46309</v>
      </c>
      <c r="F106" t="inlineStr">
        <is>
          <t>GÄVLEBORGS LÄN</t>
        </is>
      </c>
      <c r="G106" t="inlineStr">
        <is>
          <t>NORDANSTIG</t>
        </is>
      </c>
      <c r="I106" t="n">
        <v>5.7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62111-2021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44502</v>
      </c>
      <c r="E107" s="1" t="n">
        <v>46309</v>
      </c>
      <c r="F107" t="inlineStr">
        <is>
          <t>GÄVLEBORGS LÄN</t>
        </is>
      </c>
      <c r="G107" t="inlineStr">
        <is>
          <t>NORDANSTIG</t>
        </is>
      </c>
      <c r="I107" t="n">
        <v>0.6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14246-2022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44651</v>
      </c>
      <c r="E108" s="1" t="n">
        <v>46309</v>
      </c>
      <c r="F108" t="inlineStr">
        <is>
          <t>GÄVLEBORGS LÄN</t>
        </is>
      </c>
      <c r="G108" t="inlineStr">
        <is>
          <t>NORDANSTIG</t>
        </is>
      </c>
      <c r="H108" t="inlineStr">
        <is>
          <t>Holmen skog AB</t>
        </is>
      </c>
      <c r="I108" t="n">
        <v>0.5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63656-2021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44509</v>
      </c>
      <c r="E109" s="1" t="n">
        <v>46309</v>
      </c>
      <c r="F109" t="inlineStr">
        <is>
          <t>GÄVLEBORGS LÄN</t>
        </is>
      </c>
      <c r="G109" t="inlineStr">
        <is>
          <t>NORDANSTIG</t>
        </is>
      </c>
      <c r="H109" t="inlineStr">
        <is>
          <t>Holmen skog AB</t>
        </is>
      </c>
      <c r="I109" t="n">
        <v>0.7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26547-2022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44739</v>
      </c>
      <c r="E110" s="1" t="n">
        <v>46309</v>
      </c>
      <c r="F110" t="inlineStr">
        <is>
          <t>GÄVLEBORGS LÄN</t>
        </is>
      </c>
      <c r="G110" t="inlineStr">
        <is>
          <t>NORDANSTIG</t>
        </is>
      </c>
      <c r="I110" t="n">
        <v>1.5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19233-2022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44692</v>
      </c>
      <c r="E111" s="1" t="n">
        <v>46309</v>
      </c>
      <c r="F111" t="inlineStr">
        <is>
          <t>GÄVLEBORGS LÄN</t>
        </is>
      </c>
      <c r="G111" t="inlineStr">
        <is>
          <t>NORDANSTIG</t>
        </is>
      </c>
      <c r="I111" t="n">
        <v>2.5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19182-2022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44691</v>
      </c>
      <c r="E112" s="1" t="n">
        <v>46309</v>
      </c>
      <c r="F112" t="inlineStr">
        <is>
          <t>GÄVLEBORGS LÄN</t>
        </is>
      </c>
      <c r="G112" t="inlineStr">
        <is>
          <t>NORDANSTIG</t>
        </is>
      </c>
      <c r="H112" t="inlineStr">
        <is>
          <t>Holmen skog AB</t>
        </is>
      </c>
      <c r="I112" t="n">
        <v>2.4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35129-2022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44797</v>
      </c>
      <c r="E113" s="1" t="n">
        <v>46309</v>
      </c>
      <c r="F113" t="inlineStr">
        <is>
          <t>GÄVLEBORGS LÄN</t>
        </is>
      </c>
      <c r="G113" t="inlineStr">
        <is>
          <t>NORDANSTIG</t>
        </is>
      </c>
      <c r="I113" t="n">
        <v>0.5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71973-2021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44544</v>
      </c>
      <c r="E114" s="1" t="n">
        <v>46309</v>
      </c>
      <c r="F114" t="inlineStr">
        <is>
          <t>GÄVLEBORGS LÄN</t>
        </is>
      </c>
      <c r="G114" t="inlineStr">
        <is>
          <t>NORDANSTIG</t>
        </is>
      </c>
      <c r="H114" t="inlineStr">
        <is>
          <t>Holmen skog AB</t>
        </is>
      </c>
      <c r="I114" t="n">
        <v>0.6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47589-2022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44853</v>
      </c>
      <c r="E115" s="1" t="n">
        <v>46309</v>
      </c>
      <c r="F115" t="inlineStr">
        <is>
          <t>GÄVLEBORGS LÄN</t>
        </is>
      </c>
      <c r="G115" t="inlineStr">
        <is>
          <t>NORDANSTIG</t>
        </is>
      </c>
      <c r="I115" t="n">
        <v>0.7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11706-2022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44634</v>
      </c>
      <c r="E116" s="1" t="n">
        <v>46309</v>
      </c>
      <c r="F116" t="inlineStr">
        <is>
          <t>GÄVLEBORGS LÄN</t>
        </is>
      </c>
      <c r="G116" t="inlineStr">
        <is>
          <t>NORDANSTIG</t>
        </is>
      </c>
      <c r="H116" t="inlineStr">
        <is>
          <t>Holmen skog AB</t>
        </is>
      </c>
      <c r="I116" t="n">
        <v>1.3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72435-2021</t>
        </is>
      </c>
      <c r="B117" t="inlineStr">
        <is>
          <t>avverkningsanmälan</t>
        </is>
      </c>
      <c r="C117" t="inlineStr">
        <is>
          <t>Avverkning för annat ändamål</t>
        </is>
      </c>
      <c r="D117" s="1" t="n">
        <v>44545</v>
      </c>
      <c r="E117" s="1" t="n">
        <v>46309</v>
      </c>
      <c r="F117" t="inlineStr">
        <is>
          <t>GÄVLEBORGS LÄN</t>
        </is>
      </c>
      <c r="G117" t="inlineStr">
        <is>
          <t>NORDANSTIG</t>
        </is>
      </c>
      <c r="I117" t="n">
        <v>0.1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25460-2022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44732</v>
      </c>
      <c r="E118" s="1" t="n">
        <v>46309</v>
      </c>
      <c r="F118" t="inlineStr">
        <is>
          <t>GÄVLEBORGS LÄN</t>
        </is>
      </c>
      <c r="G118" t="inlineStr">
        <is>
          <t>NORDANSTIG</t>
        </is>
      </c>
      <c r="I118" t="n">
        <v>0.7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59270-2021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44490</v>
      </c>
      <c r="E119" s="1" t="n">
        <v>46309</v>
      </c>
      <c r="F119" t="inlineStr">
        <is>
          <t>GÄVLEBORGS LÄN</t>
        </is>
      </c>
      <c r="G119" t="inlineStr">
        <is>
          <t>NORDANSTIG</t>
        </is>
      </c>
      <c r="I119" t="n">
        <v>5.4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67931-2021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44525</v>
      </c>
      <c r="E120" s="1" t="n">
        <v>46309</v>
      </c>
      <c r="F120" t="inlineStr">
        <is>
          <t>GÄVLEBORGS LÄN</t>
        </is>
      </c>
      <c r="G120" t="inlineStr">
        <is>
          <t>NORDANSTIG</t>
        </is>
      </c>
      <c r="H120" t="inlineStr">
        <is>
          <t>Holmen skog AB</t>
        </is>
      </c>
      <c r="I120" t="n">
        <v>1.5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42129-2022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44830</v>
      </c>
      <c r="E121" s="1" t="n">
        <v>46309</v>
      </c>
      <c r="F121" t="inlineStr">
        <is>
          <t>GÄVLEBORGS LÄN</t>
        </is>
      </c>
      <c r="G121" t="inlineStr">
        <is>
          <t>NORDANSTIG</t>
        </is>
      </c>
      <c r="H121" t="inlineStr">
        <is>
          <t>Holmen skog AB</t>
        </is>
      </c>
      <c r="I121" t="n">
        <v>1.1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9899-2022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44620</v>
      </c>
      <c r="E122" s="1" t="n">
        <v>46309</v>
      </c>
      <c r="F122" t="inlineStr">
        <is>
          <t>GÄVLEBORGS LÄN</t>
        </is>
      </c>
      <c r="G122" t="inlineStr">
        <is>
          <t>NORDANSTIG</t>
        </is>
      </c>
      <c r="I122" t="n">
        <v>4.7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19374-2022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44692</v>
      </c>
      <c r="E123" s="1" t="n">
        <v>46309</v>
      </c>
      <c r="F123" t="inlineStr">
        <is>
          <t>GÄVLEBORGS LÄN</t>
        </is>
      </c>
      <c r="G123" t="inlineStr">
        <is>
          <t>NORDANSTIG</t>
        </is>
      </c>
      <c r="H123" t="inlineStr">
        <is>
          <t>Holmen skog AB</t>
        </is>
      </c>
      <c r="I123" t="n">
        <v>0.7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27695-2022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44743</v>
      </c>
      <c r="E124" s="1" t="n">
        <v>46309</v>
      </c>
      <c r="F124" t="inlineStr">
        <is>
          <t>GÄVLEBORGS LÄN</t>
        </is>
      </c>
      <c r="G124" t="inlineStr">
        <is>
          <t>NORDANSTIG</t>
        </is>
      </c>
      <c r="H124" t="inlineStr">
        <is>
          <t>Holmen skog AB</t>
        </is>
      </c>
      <c r="I124" t="n">
        <v>2.6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44765-2022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44840</v>
      </c>
      <c r="E125" s="1" t="n">
        <v>46309</v>
      </c>
      <c r="F125" t="inlineStr">
        <is>
          <t>GÄVLEBORGS LÄN</t>
        </is>
      </c>
      <c r="G125" t="inlineStr">
        <is>
          <t>NORDANSTIG</t>
        </is>
      </c>
      <c r="H125" t="inlineStr">
        <is>
          <t>SCA</t>
        </is>
      </c>
      <c r="I125" t="n">
        <v>0.9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21871-2022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44711</v>
      </c>
      <c r="E126" s="1" t="n">
        <v>46309</v>
      </c>
      <c r="F126" t="inlineStr">
        <is>
          <t>GÄVLEBORGS LÄN</t>
        </is>
      </c>
      <c r="G126" t="inlineStr">
        <is>
          <t>NORDANSTIG</t>
        </is>
      </c>
      <c r="I126" t="n">
        <v>8.800000000000001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30779-2022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44764</v>
      </c>
      <c r="E127" s="1" t="n">
        <v>46309</v>
      </c>
      <c r="F127" t="inlineStr">
        <is>
          <t>GÄVLEBORGS LÄN</t>
        </is>
      </c>
      <c r="G127" t="inlineStr">
        <is>
          <t>NORDANSTIG</t>
        </is>
      </c>
      <c r="H127" t="inlineStr">
        <is>
          <t>Holmen skog AB</t>
        </is>
      </c>
      <c r="I127" t="n">
        <v>0.8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73725-2021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44552</v>
      </c>
      <c r="E128" s="1" t="n">
        <v>46309</v>
      </c>
      <c r="F128" t="inlineStr">
        <is>
          <t>GÄVLEBORGS LÄN</t>
        </is>
      </c>
      <c r="G128" t="inlineStr">
        <is>
          <t>NORDANSTIG</t>
        </is>
      </c>
      <c r="H128" t="inlineStr">
        <is>
          <t>Holmen skog AB</t>
        </is>
      </c>
      <c r="I128" t="n">
        <v>1.1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25001-2022</t>
        </is>
      </c>
      <c r="B129" t="inlineStr">
        <is>
          <t>avverkningsanmälan</t>
        </is>
      </c>
      <c r="C129" t="inlineStr">
        <is>
          <t>Avverkning för annat ändamål</t>
        </is>
      </c>
      <c r="D129" s="1" t="n">
        <v>44728</v>
      </c>
      <c r="E129" s="1" t="n">
        <v>46309</v>
      </c>
      <c r="F129" t="inlineStr">
        <is>
          <t>GÄVLEBORGS LÄN</t>
        </is>
      </c>
      <c r="G129" t="inlineStr">
        <is>
          <t>NORDANSTIG</t>
        </is>
      </c>
      <c r="I129" t="n">
        <v>0.8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42469-2022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44831</v>
      </c>
      <c r="E130" s="1" t="n">
        <v>46309</v>
      </c>
      <c r="F130" t="inlineStr">
        <is>
          <t>GÄVLEBORGS LÄN</t>
        </is>
      </c>
      <c r="G130" t="inlineStr">
        <is>
          <t>NORDANSTIG</t>
        </is>
      </c>
      <c r="H130" t="inlineStr">
        <is>
          <t>Holmen skog AB</t>
        </is>
      </c>
      <c r="I130" t="n">
        <v>13.2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24996-2022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44728</v>
      </c>
      <c r="E131" s="1" t="n">
        <v>46309</v>
      </c>
      <c r="F131" t="inlineStr">
        <is>
          <t>GÄVLEBORGS LÄN</t>
        </is>
      </c>
      <c r="G131" t="inlineStr">
        <is>
          <t>NORDANSTIG</t>
        </is>
      </c>
      <c r="I131" t="n">
        <v>8.1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960-2022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44571</v>
      </c>
      <c r="E132" s="1" t="n">
        <v>46309</v>
      </c>
      <c r="F132" t="inlineStr">
        <is>
          <t>GÄVLEBORGS LÄN</t>
        </is>
      </c>
      <c r="G132" t="inlineStr">
        <is>
          <t>NORDANSTIG</t>
        </is>
      </c>
      <c r="I132" t="n">
        <v>1.4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62065-2021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44502</v>
      </c>
      <c r="E133" s="1" t="n">
        <v>46309</v>
      </c>
      <c r="F133" t="inlineStr">
        <is>
          <t>GÄVLEBORGS LÄN</t>
        </is>
      </c>
      <c r="G133" t="inlineStr">
        <is>
          <t>NORDANSTIG</t>
        </is>
      </c>
      <c r="I133" t="n">
        <v>2.4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40110-2022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44820</v>
      </c>
      <c r="E134" s="1" t="n">
        <v>46309</v>
      </c>
      <c r="F134" t="inlineStr">
        <is>
          <t>GÄVLEBORGS LÄN</t>
        </is>
      </c>
      <c r="G134" t="inlineStr">
        <is>
          <t>NORDANSTIG</t>
        </is>
      </c>
      <c r="I134" t="n">
        <v>1.3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3632-2022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44586</v>
      </c>
      <c r="E135" s="1" t="n">
        <v>46309</v>
      </c>
      <c r="F135" t="inlineStr">
        <is>
          <t>GÄVLEBORGS LÄN</t>
        </is>
      </c>
      <c r="G135" t="inlineStr">
        <is>
          <t>NORDANSTIG</t>
        </is>
      </c>
      <c r="I135" t="n">
        <v>2.3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25002-2022</t>
        </is>
      </c>
      <c r="B136" t="inlineStr">
        <is>
          <t>avverkningsanmälan</t>
        </is>
      </c>
      <c r="C136" t="inlineStr">
        <is>
          <t>Avverkning för annat ändamål</t>
        </is>
      </c>
      <c r="D136" s="1" t="n">
        <v>44728</v>
      </c>
      <c r="E136" s="1" t="n">
        <v>46309</v>
      </c>
      <c r="F136" t="inlineStr">
        <is>
          <t>GÄVLEBORGS LÄN</t>
        </is>
      </c>
      <c r="G136" t="inlineStr">
        <is>
          <t>NORDANSTIG</t>
        </is>
      </c>
      <c r="I136" t="n">
        <v>1.1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33109-2022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44785</v>
      </c>
      <c r="E137" s="1" t="n">
        <v>46309</v>
      </c>
      <c r="F137" t="inlineStr">
        <is>
          <t>GÄVLEBORGS LÄN</t>
        </is>
      </c>
      <c r="G137" t="inlineStr">
        <is>
          <t>NORDANSTIG</t>
        </is>
      </c>
      <c r="I137" t="n">
        <v>4.7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69127-2021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44530</v>
      </c>
      <c r="E138" s="1" t="n">
        <v>46309</v>
      </c>
      <c r="F138" t="inlineStr">
        <is>
          <t>GÄVLEBORGS LÄN</t>
        </is>
      </c>
      <c r="G138" t="inlineStr">
        <is>
          <t>NORDANSTIG</t>
        </is>
      </c>
      <c r="I138" t="n">
        <v>7.8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62450-2021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44503</v>
      </c>
      <c r="E139" s="1" t="n">
        <v>46309</v>
      </c>
      <c r="F139" t="inlineStr">
        <is>
          <t>GÄVLEBORGS LÄN</t>
        </is>
      </c>
      <c r="G139" t="inlineStr">
        <is>
          <t>NORDANSTIG</t>
        </is>
      </c>
      <c r="I139" t="n">
        <v>0.7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22027-2022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44711</v>
      </c>
      <c r="E140" s="1" t="n">
        <v>46309</v>
      </c>
      <c r="F140" t="inlineStr">
        <is>
          <t>GÄVLEBORGS LÄN</t>
        </is>
      </c>
      <c r="G140" t="inlineStr">
        <is>
          <t>NORDANSTIG</t>
        </is>
      </c>
      <c r="I140" t="n">
        <v>3.1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575-2022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44566</v>
      </c>
      <c r="E141" s="1" t="n">
        <v>46309</v>
      </c>
      <c r="F141" t="inlineStr">
        <is>
          <t>GÄVLEBORGS LÄN</t>
        </is>
      </c>
      <c r="G141" t="inlineStr">
        <is>
          <t>NORDANSTIG</t>
        </is>
      </c>
      <c r="I141" t="n">
        <v>3.1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21189-2022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44704</v>
      </c>
      <c r="E142" s="1" t="n">
        <v>46309</v>
      </c>
      <c r="F142" t="inlineStr">
        <is>
          <t>GÄVLEBORGS LÄN</t>
        </is>
      </c>
      <c r="G142" t="inlineStr">
        <is>
          <t>NORDANSTIG</t>
        </is>
      </c>
      <c r="I142" t="n">
        <v>0.6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19279-2022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44692</v>
      </c>
      <c r="E143" s="1" t="n">
        <v>46309</v>
      </c>
      <c r="F143" t="inlineStr">
        <is>
          <t>GÄVLEBORGS LÄN</t>
        </is>
      </c>
      <c r="G143" t="inlineStr">
        <is>
          <t>NORDANSTIG</t>
        </is>
      </c>
      <c r="I143" t="n">
        <v>0.9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26113-2022</t>
        </is>
      </c>
      <c r="B144" t="inlineStr">
        <is>
          <t>avverkningsanmälan</t>
        </is>
      </c>
      <c r="C144" t="inlineStr">
        <is>
          <t>Avverkning för annat ändamål</t>
        </is>
      </c>
      <c r="D144" s="1" t="n">
        <v>44734</v>
      </c>
      <c r="E144" s="1" t="n">
        <v>46309</v>
      </c>
      <c r="F144" t="inlineStr">
        <is>
          <t>GÄVLEBORGS LÄN</t>
        </is>
      </c>
      <c r="G144" t="inlineStr">
        <is>
          <t>NORDANSTIG</t>
        </is>
      </c>
      <c r="I144" t="n">
        <v>0.3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25005-2022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44728</v>
      </c>
      <c r="E145" s="1" t="n">
        <v>46309</v>
      </c>
      <c r="F145" t="inlineStr">
        <is>
          <t>GÄVLEBORGS LÄN</t>
        </is>
      </c>
      <c r="G145" t="inlineStr">
        <is>
          <t>NORDANSTIG</t>
        </is>
      </c>
      <c r="I145" t="n">
        <v>1.4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18167-2022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44684</v>
      </c>
      <c r="E146" s="1" t="n">
        <v>46309</v>
      </c>
      <c r="F146" t="inlineStr">
        <is>
          <t>GÄVLEBORGS LÄN</t>
        </is>
      </c>
      <c r="G146" t="inlineStr">
        <is>
          <t>NORDANSTIG</t>
        </is>
      </c>
      <c r="H146" t="inlineStr">
        <is>
          <t>Holmen skog AB</t>
        </is>
      </c>
      <c r="I146" t="n">
        <v>0.8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8805-2025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45712</v>
      </c>
      <c r="E147" s="1" t="n">
        <v>46309</v>
      </c>
      <c r="F147" t="inlineStr">
        <is>
          <t>GÄVLEBORGS LÄN</t>
        </is>
      </c>
      <c r="G147" t="inlineStr">
        <is>
          <t>NORDANSTIG</t>
        </is>
      </c>
      <c r="H147" t="inlineStr">
        <is>
          <t>Holmen skog AB</t>
        </is>
      </c>
      <c r="I147" t="n">
        <v>5.8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33974-2022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44790</v>
      </c>
      <c r="E148" s="1" t="n">
        <v>46309</v>
      </c>
      <c r="F148" t="inlineStr">
        <is>
          <t>GÄVLEBORGS LÄN</t>
        </is>
      </c>
      <c r="G148" t="inlineStr">
        <is>
          <t>NORDANSTIG</t>
        </is>
      </c>
      <c r="I148" t="n">
        <v>1.9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33559-2022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44789</v>
      </c>
      <c r="E149" s="1" t="n">
        <v>46309</v>
      </c>
      <c r="F149" t="inlineStr">
        <is>
          <t>GÄVLEBORGS LÄN</t>
        </is>
      </c>
      <c r="G149" t="inlineStr">
        <is>
          <t>NORDANSTIG</t>
        </is>
      </c>
      <c r="I149" t="n">
        <v>3.3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30816-2022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44765</v>
      </c>
      <c r="E150" s="1" t="n">
        <v>46309</v>
      </c>
      <c r="F150" t="inlineStr">
        <is>
          <t>GÄVLEBORGS LÄN</t>
        </is>
      </c>
      <c r="G150" t="inlineStr">
        <is>
          <t>NORDANSTIG</t>
        </is>
      </c>
      <c r="I150" t="n">
        <v>1.4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18638-2023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45043</v>
      </c>
      <c r="E151" s="1" t="n">
        <v>46309</v>
      </c>
      <c r="F151" t="inlineStr">
        <is>
          <t>GÄVLEBORGS LÄN</t>
        </is>
      </c>
      <c r="G151" t="inlineStr">
        <is>
          <t>NORDANSTIG</t>
        </is>
      </c>
      <c r="I151" t="n">
        <v>11.3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10137-2024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45364</v>
      </c>
      <c r="E152" s="1" t="n">
        <v>46309</v>
      </c>
      <c r="F152" t="inlineStr">
        <is>
          <t>GÄVLEBORGS LÄN</t>
        </is>
      </c>
      <c r="G152" t="inlineStr">
        <is>
          <t>NORDANSTIG</t>
        </is>
      </c>
      <c r="H152" t="inlineStr">
        <is>
          <t>Holmen skog AB</t>
        </is>
      </c>
      <c r="I152" t="n">
        <v>2.8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4255-2024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45324</v>
      </c>
      <c r="E153" s="1" t="n">
        <v>46309</v>
      </c>
      <c r="F153" t="inlineStr">
        <is>
          <t>GÄVLEBORGS LÄN</t>
        </is>
      </c>
      <c r="G153" t="inlineStr">
        <is>
          <t>NORDANSTIG</t>
        </is>
      </c>
      <c r="I153" t="n">
        <v>0.5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43400-2023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45183</v>
      </c>
      <c r="E154" s="1" t="n">
        <v>46309</v>
      </c>
      <c r="F154" t="inlineStr">
        <is>
          <t>GÄVLEBORGS LÄN</t>
        </is>
      </c>
      <c r="G154" t="inlineStr">
        <is>
          <t>NORDANSTIG</t>
        </is>
      </c>
      <c r="I154" t="n">
        <v>1.8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37686-2024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45541</v>
      </c>
      <c r="E155" s="1" t="n">
        <v>46309</v>
      </c>
      <c r="F155" t="inlineStr">
        <is>
          <t>GÄVLEBORGS LÄN</t>
        </is>
      </c>
      <c r="G155" t="inlineStr">
        <is>
          <t>NORDANSTIG</t>
        </is>
      </c>
      <c r="H155" t="inlineStr">
        <is>
          <t>Holmen skog AB</t>
        </is>
      </c>
      <c r="I155" t="n">
        <v>3.5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14415-2025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45741</v>
      </c>
      <c r="E156" s="1" t="n">
        <v>46309</v>
      </c>
      <c r="F156" t="inlineStr">
        <is>
          <t>GÄVLEBORGS LÄN</t>
        </is>
      </c>
      <c r="G156" t="inlineStr">
        <is>
          <t>NORDANSTIG</t>
        </is>
      </c>
      <c r="I156" t="n">
        <v>16.7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55206-2022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44886</v>
      </c>
      <c r="E157" s="1" t="n">
        <v>46309</v>
      </c>
      <c r="F157" t="inlineStr">
        <is>
          <t>GÄVLEBORGS LÄN</t>
        </is>
      </c>
      <c r="G157" t="inlineStr">
        <is>
          <t>NORDANSTIG</t>
        </is>
      </c>
      <c r="H157" t="inlineStr">
        <is>
          <t>SCA</t>
        </is>
      </c>
      <c r="I157" t="n">
        <v>5.3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17887-2024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45419</v>
      </c>
      <c r="E158" s="1" t="n">
        <v>46309</v>
      </c>
      <c r="F158" t="inlineStr">
        <is>
          <t>GÄVLEBORGS LÄN</t>
        </is>
      </c>
      <c r="G158" t="inlineStr">
        <is>
          <t>NORDANSTIG</t>
        </is>
      </c>
      <c r="H158" t="inlineStr">
        <is>
          <t>Holmen skog AB</t>
        </is>
      </c>
      <c r="I158" t="n">
        <v>3.5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45310-2022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44844</v>
      </c>
      <c r="E159" s="1" t="n">
        <v>46309</v>
      </c>
      <c r="F159" t="inlineStr">
        <is>
          <t>GÄVLEBORGS LÄN</t>
        </is>
      </c>
      <c r="G159" t="inlineStr">
        <is>
          <t>NORDANSTIG</t>
        </is>
      </c>
      <c r="H159" t="inlineStr">
        <is>
          <t>Holmen skog AB</t>
        </is>
      </c>
      <c r="I159" t="n">
        <v>4.5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18761-2024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45426</v>
      </c>
      <c r="E160" s="1" t="n">
        <v>46309</v>
      </c>
      <c r="F160" t="inlineStr">
        <is>
          <t>GÄVLEBORGS LÄN</t>
        </is>
      </c>
      <c r="G160" t="inlineStr">
        <is>
          <t>NORDANSTIG</t>
        </is>
      </c>
      <c r="H160" t="inlineStr">
        <is>
          <t>Holmen skog AB</t>
        </is>
      </c>
      <c r="I160" t="n">
        <v>7.5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42253-2024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45562</v>
      </c>
      <c r="E161" s="1" t="n">
        <v>46309</v>
      </c>
      <c r="F161" t="inlineStr">
        <is>
          <t>GÄVLEBORGS LÄN</t>
        </is>
      </c>
      <c r="G161" t="inlineStr">
        <is>
          <t>NORDANSTIG</t>
        </is>
      </c>
      <c r="I161" t="n">
        <v>0.6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42717-2024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45566</v>
      </c>
      <c r="E162" s="1" t="n">
        <v>46309</v>
      </c>
      <c r="F162" t="inlineStr">
        <is>
          <t>GÄVLEBORGS LÄN</t>
        </is>
      </c>
      <c r="G162" t="inlineStr">
        <is>
          <t>NORDANSTIG</t>
        </is>
      </c>
      <c r="I162" t="n">
        <v>0.5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18525-2025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45763</v>
      </c>
      <c r="E163" s="1" t="n">
        <v>46309</v>
      </c>
      <c r="F163" t="inlineStr">
        <is>
          <t>GÄVLEBORGS LÄN</t>
        </is>
      </c>
      <c r="G163" t="inlineStr">
        <is>
          <t>NORDANSTIG</t>
        </is>
      </c>
      <c r="H163" t="inlineStr">
        <is>
          <t>Holmen skog AB</t>
        </is>
      </c>
      <c r="I163" t="n">
        <v>5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2986-2023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44945</v>
      </c>
      <c r="E164" s="1" t="n">
        <v>46309</v>
      </c>
      <c r="F164" t="inlineStr">
        <is>
          <t>GÄVLEBORGS LÄN</t>
        </is>
      </c>
      <c r="G164" t="inlineStr">
        <is>
          <t>NORDANSTIG</t>
        </is>
      </c>
      <c r="H164" t="inlineStr">
        <is>
          <t>Holmen skog AB</t>
        </is>
      </c>
      <c r="I164" t="n">
        <v>5.4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23122-2025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45791</v>
      </c>
      <c r="E165" s="1" t="n">
        <v>46309</v>
      </c>
      <c r="F165" t="inlineStr">
        <is>
          <t>GÄVLEBORGS LÄN</t>
        </is>
      </c>
      <c r="G165" t="inlineStr">
        <is>
          <t>NORDANSTIG</t>
        </is>
      </c>
      <c r="I165" t="n">
        <v>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42780-2022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44832</v>
      </c>
      <c r="E166" s="1" t="n">
        <v>46309</v>
      </c>
      <c r="F166" t="inlineStr">
        <is>
          <t>GÄVLEBORGS LÄN</t>
        </is>
      </c>
      <c r="G166" t="inlineStr">
        <is>
          <t>NORDANSTIG</t>
        </is>
      </c>
      <c r="I166" t="n">
        <v>2.1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17678-2025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45758</v>
      </c>
      <c r="E167" s="1" t="n">
        <v>46309</v>
      </c>
      <c r="F167" t="inlineStr">
        <is>
          <t>GÄVLEBORGS LÄN</t>
        </is>
      </c>
      <c r="G167" t="inlineStr">
        <is>
          <t>NORDANSTIG</t>
        </is>
      </c>
      <c r="H167" t="inlineStr">
        <is>
          <t>Holmen skog AB</t>
        </is>
      </c>
      <c r="I167" t="n">
        <v>3.8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23623-2025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45792</v>
      </c>
      <c r="E168" s="1" t="n">
        <v>46309</v>
      </c>
      <c r="F168" t="inlineStr">
        <is>
          <t>GÄVLEBORGS LÄN</t>
        </is>
      </c>
      <c r="G168" t="inlineStr">
        <is>
          <t>NORDANSTIG</t>
        </is>
      </c>
      <c r="I168" t="n">
        <v>12.9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42947-2022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44833</v>
      </c>
      <c r="E169" s="1" t="n">
        <v>46309</v>
      </c>
      <c r="F169" t="inlineStr">
        <is>
          <t>GÄVLEBORGS LÄN</t>
        </is>
      </c>
      <c r="G169" t="inlineStr">
        <is>
          <t>NORDANSTIG</t>
        </is>
      </c>
      <c r="I169" t="n">
        <v>1.8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23154-2025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45791</v>
      </c>
      <c r="E170" s="1" t="n">
        <v>46309</v>
      </c>
      <c r="F170" t="inlineStr">
        <is>
          <t>GÄVLEBORGS LÄN</t>
        </is>
      </c>
      <c r="G170" t="inlineStr">
        <is>
          <t>NORDANSTIG</t>
        </is>
      </c>
      <c r="I170" t="n">
        <v>0.6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20137-2023</t>
        </is>
      </c>
      <c r="B171" t="inlineStr">
        <is>
          <t>avverkningsanmälan</t>
        </is>
      </c>
      <c r="C171" t="inlineStr">
        <is>
          <t>Avverkning för annat ändamål</t>
        </is>
      </c>
      <c r="D171" s="1" t="n">
        <v>45055</v>
      </c>
      <c r="E171" s="1" t="n">
        <v>46309</v>
      </c>
      <c r="F171" t="inlineStr">
        <is>
          <t>GÄVLEBORGS LÄN</t>
        </is>
      </c>
      <c r="G171" t="inlineStr">
        <is>
          <t>NORDANSTIG</t>
        </is>
      </c>
      <c r="I171" t="n">
        <v>3.4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54803-2023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45236</v>
      </c>
      <c r="E172" s="1" t="n">
        <v>46309</v>
      </c>
      <c r="F172" t="inlineStr">
        <is>
          <t>GÄVLEBORGS LÄN</t>
        </is>
      </c>
      <c r="G172" t="inlineStr">
        <is>
          <t>NORDANSTIG</t>
        </is>
      </c>
      <c r="H172" t="inlineStr">
        <is>
          <t>Holmen skog AB</t>
        </is>
      </c>
      <c r="I172" t="n">
        <v>2.5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33414-2022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44788</v>
      </c>
      <c r="E173" s="1" t="n">
        <v>46309</v>
      </c>
      <c r="F173" t="inlineStr">
        <is>
          <t>GÄVLEBORGS LÄN</t>
        </is>
      </c>
      <c r="G173" t="inlineStr">
        <is>
          <t>NORDANSTIG</t>
        </is>
      </c>
      <c r="I173" t="n">
        <v>0.8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23119-2025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45791</v>
      </c>
      <c r="E174" s="1" t="n">
        <v>46309</v>
      </c>
      <c r="F174" t="inlineStr">
        <is>
          <t>GÄVLEBORGS LÄN</t>
        </is>
      </c>
      <c r="G174" t="inlineStr">
        <is>
          <t>NORDANSTIG</t>
        </is>
      </c>
      <c r="I174" t="n">
        <v>3.7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51541-2025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45950</v>
      </c>
      <c r="E175" s="1" t="n">
        <v>46309</v>
      </c>
      <c r="F175" t="inlineStr">
        <is>
          <t>GÄVLEBORGS LÄN</t>
        </is>
      </c>
      <c r="G175" t="inlineStr">
        <is>
          <t>NORDANSTIG</t>
        </is>
      </c>
      <c r="H175" t="inlineStr">
        <is>
          <t>Holmen skog AB</t>
        </is>
      </c>
      <c r="I175" t="n">
        <v>3.3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23072-2025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45790</v>
      </c>
      <c r="E176" s="1" t="n">
        <v>46309</v>
      </c>
      <c r="F176" t="inlineStr">
        <is>
          <t>GÄVLEBORGS LÄN</t>
        </is>
      </c>
      <c r="G176" t="inlineStr">
        <is>
          <t>NORDANSTIG</t>
        </is>
      </c>
      <c r="I176" t="n">
        <v>2.2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38159-2022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44812</v>
      </c>
      <c r="E177" s="1" t="n">
        <v>46309</v>
      </c>
      <c r="F177" t="inlineStr">
        <is>
          <t>GÄVLEBORGS LÄN</t>
        </is>
      </c>
      <c r="G177" t="inlineStr">
        <is>
          <t>NORDANSTIG</t>
        </is>
      </c>
      <c r="H177" t="inlineStr">
        <is>
          <t>Holmen skog AB</t>
        </is>
      </c>
      <c r="I177" t="n">
        <v>1.4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25724-2024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45463</v>
      </c>
      <c r="E178" s="1" t="n">
        <v>46309</v>
      </c>
      <c r="F178" t="inlineStr">
        <is>
          <t>GÄVLEBORGS LÄN</t>
        </is>
      </c>
      <c r="G178" t="inlineStr">
        <is>
          <t>NORDANSTIG</t>
        </is>
      </c>
      <c r="I178" t="n">
        <v>0.6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30150-2024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45489</v>
      </c>
      <c r="E179" s="1" t="n">
        <v>46309</v>
      </c>
      <c r="F179" t="inlineStr">
        <is>
          <t>GÄVLEBORGS LÄN</t>
        </is>
      </c>
      <c r="G179" t="inlineStr">
        <is>
          <t>NORDANSTIG</t>
        </is>
      </c>
      <c r="I179" t="n">
        <v>1.4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23993-2025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45796</v>
      </c>
      <c r="E180" s="1" t="n">
        <v>46309</v>
      </c>
      <c r="F180" t="inlineStr">
        <is>
          <t>GÄVLEBORGS LÄN</t>
        </is>
      </c>
      <c r="G180" t="inlineStr">
        <is>
          <t>NORDANSTIG</t>
        </is>
      </c>
      <c r="H180" t="inlineStr">
        <is>
          <t>Holmen skog AB</t>
        </is>
      </c>
      <c r="I180" t="n">
        <v>41.3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37563-2025</t>
        </is>
      </c>
      <c r="B181" t="inlineStr">
        <is>
          <t>avverkningsanmälan</t>
        </is>
      </c>
      <c r="C181" t="inlineStr">
        <is>
          <t>Avverkning för annat ändamål</t>
        </is>
      </c>
      <c r="D181" s="1" t="n">
        <v>45880</v>
      </c>
      <c r="E181" s="1" t="n">
        <v>46309</v>
      </c>
      <c r="F181" t="inlineStr">
        <is>
          <t>GÄVLEBORGS LÄN</t>
        </is>
      </c>
      <c r="G181" t="inlineStr">
        <is>
          <t>NORDANSTIG</t>
        </is>
      </c>
      <c r="I181" t="n">
        <v>2.1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63986-2025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46021</v>
      </c>
      <c r="E182" s="1" t="n">
        <v>46309</v>
      </c>
      <c r="F182" t="inlineStr">
        <is>
          <t>GÄVLEBORGS LÄN</t>
        </is>
      </c>
      <c r="G182" t="inlineStr">
        <is>
          <t>NORDANSTIG</t>
        </is>
      </c>
      <c r="H182" t="inlineStr">
        <is>
          <t>Holmen skog AB</t>
        </is>
      </c>
      <c r="I182" t="n">
        <v>7.8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23791-2025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45793</v>
      </c>
      <c r="E183" s="1" t="n">
        <v>46309</v>
      </c>
      <c r="F183" t="inlineStr">
        <is>
          <t>GÄVLEBORGS LÄN</t>
        </is>
      </c>
      <c r="G183" t="inlineStr">
        <is>
          <t>NORDANSTIG</t>
        </is>
      </c>
      <c r="H183" t="inlineStr">
        <is>
          <t>Holmen skog AB</t>
        </is>
      </c>
      <c r="I183" t="n">
        <v>0.9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73748-2021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44552</v>
      </c>
      <c r="E184" s="1" t="n">
        <v>46309</v>
      </c>
      <c r="F184" t="inlineStr">
        <is>
          <t>GÄVLEBORGS LÄN</t>
        </is>
      </c>
      <c r="G184" t="inlineStr">
        <is>
          <t>NORDANSTIG</t>
        </is>
      </c>
      <c r="I184" t="n">
        <v>1.9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45-2026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46024</v>
      </c>
      <c r="E185" s="1" t="n">
        <v>46309</v>
      </c>
      <c r="F185" t="inlineStr">
        <is>
          <t>GÄVLEBORGS LÄN</t>
        </is>
      </c>
      <c r="G185" t="inlineStr">
        <is>
          <t>NORDANSTIG</t>
        </is>
      </c>
      <c r="I185" t="n">
        <v>4.9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224-2026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46026</v>
      </c>
      <c r="E186" s="1" t="n">
        <v>46309</v>
      </c>
      <c r="F186" t="inlineStr">
        <is>
          <t>GÄVLEBORGS LÄN</t>
        </is>
      </c>
      <c r="G186" t="inlineStr">
        <is>
          <t>NORDANSTIG</t>
        </is>
      </c>
      <c r="I186" t="n">
        <v>7.5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34339-2023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45139</v>
      </c>
      <c r="E187" s="1" t="n">
        <v>46309</v>
      </c>
      <c r="F187" t="inlineStr">
        <is>
          <t>GÄVLEBORGS LÄN</t>
        </is>
      </c>
      <c r="G187" t="inlineStr">
        <is>
          <t>NORDANSTIG</t>
        </is>
      </c>
      <c r="H187" t="inlineStr">
        <is>
          <t>Holmen skog AB</t>
        </is>
      </c>
      <c r="I187" t="n">
        <v>1.6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38610-2025</t>
        </is>
      </c>
      <c r="B188" t="inlineStr">
        <is>
          <t>avverkningsanmälan</t>
        </is>
      </c>
      <c r="C188" t="inlineStr">
        <is>
          <t>Avverkning för annat ändamål</t>
        </is>
      </c>
      <c r="D188" s="1" t="n">
        <v>45884</v>
      </c>
      <c r="E188" s="1" t="n">
        <v>46309</v>
      </c>
      <c r="F188" t="inlineStr">
        <is>
          <t>GÄVLEBORGS LÄN</t>
        </is>
      </c>
      <c r="G188" t="inlineStr">
        <is>
          <t>NORDANSTIG</t>
        </is>
      </c>
      <c r="I188" t="n">
        <v>1.2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43523-2024</t>
        </is>
      </c>
      <c r="B189" t="inlineStr">
        <is>
          <t>avverkningsanmälan</t>
        </is>
      </c>
      <c r="C189" t="inlineStr">
        <is>
          <t>Avverkning för annat ändamål</t>
        </is>
      </c>
      <c r="D189" s="1" t="n">
        <v>45569</v>
      </c>
      <c r="E189" s="1" t="n">
        <v>46309</v>
      </c>
      <c r="F189" t="inlineStr">
        <is>
          <t>GÄVLEBORGS LÄN</t>
        </is>
      </c>
      <c r="G189" t="inlineStr">
        <is>
          <t>NORDANSTIG</t>
        </is>
      </c>
      <c r="H189" t="inlineStr">
        <is>
          <t>Holmen skog AB</t>
        </is>
      </c>
      <c r="I189" t="n">
        <v>2.1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45312-2023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45191</v>
      </c>
      <c r="E190" s="1" t="n">
        <v>46309</v>
      </c>
      <c r="F190" t="inlineStr">
        <is>
          <t>GÄVLEBORGS LÄN</t>
        </is>
      </c>
      <c r="G190" t="inlineStr">
        <is>
          <t>NORDANSTIG</t>
        </is>
      </c>
      <c r="I190" t="n">
        <v>1.6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23788-2025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45793</v>
      </c>
      <c r="E191" s="1" t="n">
        <v>46309</v>
      </c>
      <c r="F191" t="inlineStr">
        <is>
          <t>GÄVLEBORGS LÄN</t>
        </is>
      </c>
      <c r="G191" t="inlineStr">
        <is>
          <t>NORDANSTIG</t>
        </is>
      </c>
      <c r="H191" t="inlineStr">
        <is>
          <t>Holmen skog AB</t>
        </is>
      </c>
      <c r="I191" t="n">
        <v>2.8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24101-2025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45796</v>
      </c>
      <c r="E192" s="1" t="n">
        <v>46309</v>
      </c>
      <c r="F192" t="inlineStr">
        <is>
          <t>GÄVLEBORGS LÄN</t>
        </is>
      </c>
      <c r="G192" t="inlineStr">
        <is>
          <t>NORDANSTIG</t>
        </is>
      </c>
      <c r="I192" t="n">
        <v>4.9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1063-2026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46030</v>
      </c>
      <c r="E193" s="1" t="n">
        <v>46309</v>
      </c>
      <c r="F193" t="inlineStr">
        <is>
          <t>GÄVLEBORGS LÄN</t>
        </is>
      </c>
      <c r="G193" t="inlineStr">
        <is>
          <t>NORDANSTIG</t>
        </is>
      </c>
      <c r="I193" t="n">
        <v>4.1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38295-2025</t>
        </is>
      </c>
      <c r="B194" t="inlineStr">
        <is>
          <t>avverkningsanmälan</t>
        </is>
      </c>
      <c r="C194" t="inlineStr">
        <is>
          <t>Avverkning för annat ändamål</t>
        </is>
      </c>
      <c r="D194" s="1" t="n">
        <v>45883</v>
      </c>
      <c r="E194" s="1" t="n">
        <v>46309</v>
      </c>
      <c r="F194" t="inlineStr">
        <is>
          <t>GÄVLEBORGS LÄN</t>
        </is>
      </c>
      <c r="G194" t="inlineStr">
        <is>
          <t>NORDANSTIG</t>
        </is>
      </c>
      <c r="I194" t="n">
        <v>0.3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1053-2026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46030</v>
      </c>
      <c r="E195" s="1" t="n">
        <v>46309</v>
      </c>
      <c r="F195" t="inlineStr">
        <is>
          <t>GÄVLEBORGS LÄN</t>
        </is>
      </c>
      <c r="G195" t="inlineStr">
        <is>
          <t>NORDANSTIG</t>
        </is>
      </c>
      <c r="I195" t="n">
        <v>2.6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25723-2024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45463</v>
      </c>
      <c r="E196" s="1" t="n">
        <v>46309</v>
      </c>
      <c r="F196" t="inlineStr">
        <is>
          <t>GÄVLEBORGS LÄN</t>
        </is>
      </c>
      <c r="G196" t="inlineStr">
        <is>
          <t>NORDANSTIG</t>
        </is>
      </c>
      <c r="I196" t="n">
        <v>1.1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35741-2024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45532</v>
      </c>
      <c r="E197" s="1" t="n">
        <v>46309</v>
      </c>
      <c r="F197" t="inlineStr">
        <is>
          <t>GÄVLEBORGS LÄN</t>
        </is>
      </c>
      <c r="G197" t="inlineStr">
        <is>
          <t>NORDANSTIG</t>
        </is>
      </c>
      <c r="I197" t="n">
        <v>1.9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37294-2024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45540</v>
      </c>
      <c r="E198" s="1" t="n">
        <v>46309</v>
      </c>
      <c r="F198" t="inlineStr">
        <is>
          <t>GÄVLEBORGS LÄN</t>
        </is>
      </c>
      <c r="G198" t="inlineStr">
        <is>
          <t>NORDANSTIG</t>
        </is>
      </c>
      <c r="I198" t="n">
        <v>3.9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49607-2022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44862</v>
      </c>
      <c r="E199" s="1" t="n">
        <v>46309</v>
      </c>
      <c r="F199" t="inlineStr">
        <is>
          <t>GÄVLEBORGS LÄN</t>
        </is>
      </c>
      <c r="G199" t="inlineStr">
        <is>
          <t>NORDANSTIG</t>
        </is>
      </c>
      <c r="I199" t="n">
        <v>1.5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1059-2026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46030</v>
      </c>
      <c r="E200" s="1" t="n">
        <v>46309</v>
      </c>
      <c r="F200" t="inlineStr">
        <is>
          <t>GÄVLEBORGS LÄN</t>
        </is>
      </c>
      <c r="G200" t="inlineStr">
        <is>
          <t>NORDANSTIG</t>
        </is>
      </c>
      <c r="I200" t="n">
        <v>3.5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34560-2023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45140</v>
      </c>
      <c r="E201" s="1" t="n">
        <v>46309</v>
      </c>
      <c r="F201" t="inlineStr">
        <is>
          <t>GÄVLEBORGS LÄN</t>
        </is>
      </c>
      <c r="G201" t="inlineStr">
        <is>
          <t>NORDANSTIG</t>
        </is>
      </c>
      <c r="I201" t="n">
        <v>2.4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36694-2024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45537</v>
      </c>
      <c r="E202" s="1" t="n">
        <v>46309</v>
      </c>
      <c r="F202" t="inlineStr">
        <is>
          <t>GÄVLEBORGS LÄN</t>
        </is>
      </c>
      <c r="G202" t="inlineStr">
        <is>
          <t>NORDANSTIG</t>
        </is>
      </c>
      <c r="H202" t="inlineStr">
        <is>
          <t>Holmen skog AB</t>
        </is>
      </c>
      <c r="I202" t="n">
        <v>1.5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47238-2024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45586</v>
      </c>
      <c r="E203" s="1" t="n">
        <v>46309</v>
      </c>
      <c r="F203" t="inlineStr">
        <is>
          <t>GÄVLEBORGS LÄN</t>
        </is>
      </c>
      <c r="G203" t="inlineStr">
        <is>
          <t>NORDANSTIG</t>
        </is>
      </c>
      <c r="I203" t="n">
        <v>4.2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39036-2025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45888</v>
      </c>
      <c r="E204" s="1" t="n">
        <v>46309</v>
      </c>
      <c r="F204" t="inlineStr">
        <is>
          <t>GÄVLEBORGS LÄN</t>
        </is>
      </c>
      <c r="G204" t="inlineStr">
        <is>
          <t>NORDANSTIG</t>
        </is>
      </c>
      <c r="H204" t="inlineStr">
        <is>
          <t>Holmen skog AB</t>
        </is>
      </c>
      <c r="I204" t="n">
        <v>8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25068-2025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45799</v>
      </c>
      <c r="E205" s="1" t="n">
        <v>46309</v>
      </c>
      <c r="F205" t="inlineStr">
        <is>
          <t>GÄVLEBORGS LÄN</t>
        </is>
      </c>
      <c r="G205" t="inlineStr">
        <is>
          <t>NORDANSTIG</t>
        </is>
      </c>
      <c r="H205" t="inlineStr">
        <is>
          <t>Holmen skog AB</t>
        </is>
      </c>
      <c r="I205" t="n">
        <v>16.7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24938-2025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45799</v>
      </c>
      <c r="E206" s="1" t="n">
        <v>46309</v>
      </c>
      <c r="F206" t="inlineStr">
        <is>
          <t>GÄVLEBORGS LÄN</t>
        </is>
      </c>
      <c r="G206" t="inlineStr">
        <is>
          <t>NORDANSTIG</t>
        </is>
      </c>
      <c r="H206" t="inlineStr">
        <is>
          <t>Holmen skog AB</t>
        </is>
      </c>
      <c r="I206" t="n">
        <v>30.1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38990-2025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45888</v>
      </c>
      <c r="E207" s="1" t="n">
        <v>46309</v>
      </c>
      <c r="F207" t="inlineStr">
        <is>
          <t>GÄVLEBORGS LÄN</t>
        </is>
      </c>
      <c r="G207" t="inlineStr">
        <is>
          <t>NORDANSTIG</t>
        </is>
      </c>
      <c r="I207" t="n">
        <v>4.7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25080-2025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45799</v>
      </c>
      <c r="E208" s="1" t="n">
        <v>46309</v>
      </c>
      <c r="F208" t="inlineStr">
        <is>
          <t>GÄVLEBORGS LÄN</t>
        </is>
      </c>
      <c r="G208" t="inlineStr">
        <is>
          <t>NORDANSTIG</t>
        </is>
      </c>
      <c r="I208" t="n">
        <v>1.6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39597-2025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45890</v>
      </c>
      <c r="E209" s="1" t="n">
        <v>46309</v>
      </c>
      <c r="F209" t="inlineStr">
        <is>
          <t>GÄVLEBORGS LÄN</t>
        </is>
      </c>
      <c r="G209" t="inlineStr">
        <is>
          <t>NORDANSTIG</t>
        </is>
      </c>
      <c r="H209" t="inlineStr">
        <is>
          <t>Holmen skog AB</t>
        </is>
      </c>
      <c r="I209" t="n">
        <v>0.4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32602-2024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45513</v>
      </c>
      <c r="E210" s="1" t="n">
        <v>46309</v>
      </c>
      <c r="F210" t="inlineStr">
        <is>
          <t>GÄVLEBORGS LÄN</t>
        </is>
      </c>
      <c r="G210" t="inlineStr">
        <is>
          <t>NORDANSTIG</t>
        </is>
      </c>
      <c r="H210" t="inlineStr">
        <is>
          <t>Holmen skog AB</t>
        </is>
      </c>
      <c r="I210" t="n">
        <v>2.6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31270-2024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45504</v>
      </c>
      <c r="E211" s="1" t="n">
        <v>46309</v>
      </c>
      <c r="F211" t="inlineStr">
        <is>
          <t>GÄVLEBORGS LÄN</t>
        </is>
      </c>
      <c r="G211" t="inlineStr">
        <is>
          <t>NORDANSTIG</t>
        </is>
      </c>
      <c r="I211" t="n">
        <v>3.2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25468-2025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45802</v>
      </c>
      <c r="E212" s="1" t="n">
        <v>46309</v>
      </c>
      <c r="F212" t="inlineStr">
        <is>
          <t>GÄVLEBORGS LÄN</t>
        </is>
      </c>
      <c r="G212" t="inlineStr">
        <is>
          <t>NORDANSTIG</t>
        </is>
      </c>
      <c r="H212" t="inlineStr">
        <is>
          <t>Holmen skog AB</t>
        </is>
      </c>
      <c r="I212" t="n">
        <v>5.5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25467-2025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45802</v>
      </c>
      <c r="E213" s="1" t="n">
        <v>46309</v>
      </c>
      <c r="F213" t="inlineStr">
        <is>
          <t>GÄVLEBORGS LÄN</t>
        </is>
      </c>
      <c r="G213" t="inlineStr">
        <is>
          <t>NORDANSTIG</t>
        </is>
      </c>
      <c r="H213" t="inlineStr">
        <is>
          <t>Holmen skog AB</t>
        </is>
      </c>
      <c r="I213" t="n">
        <v>2.2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25469-2025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45802</v>
      </c>
      <c r="E214" s="1" t="n">
        <v>46309</v>
      </c>
      <c r="F214" t="inlineStr">
        <is>
          <t>GÄVLEBORGS LÄN</t>
        </is>
      </c>
      <c r="G214" t="inlineStr">
        <is>
          <t>NORDANSTIG</t>
        </is>
      </c>
      <c r="H214" t="inlineStr">
        <is>
          <t>Holmen skog AB</t>
        </is>
      </c>
      <c r="I214" t="n">
        <v>6.4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4142-2023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44953</v>
      </c>
      <c r="E215" s="1" t="n">
        <v>46309</v>
      </c>
      <c r="F215" t="inlineStr">
        <is>
          <t>GÄVLEBORGS LÄN</t>
        </is>
      </c>
      <c r="G215" t="inlineStr">
        <is>
          <t>NORDANSTIG</t>
        </is>
      </c>
      <c r="H215" t="inlineStr">
        <is>
          <t>Holmen skog AB</t>
        </is>
      </c>
      <c r="I215" t="n">
        <v>1.6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35405-2025</t>
        </is>
      </c>
      <c r="B216" t="inlineStr">
        <is>
          <t>avverkningsanmälan</t>
        </is>
      </c>
      <c r="C216" t="inlineStr">
        <is>
          <t>Föryngringsavverkning</t>
        </is>
      </c>
      <c r="D216" s="1" t="n">
        <v>45855</v>
      </c>
      <c r="E216" s="1" t="n">
        <v>46309</v>
      </c>
      <c r="F216" t="inlineStr">
        <is>
          <t>GÄVLEBORGS LÄN</t>
        </is>
      </c>
      <c r="G216" t="inlineStr">
        <is>
          <t>NORDANSTIG</t>
        </is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51222-2024</t>
        </is>
      </c>
      <c r="B217" t="inlineStr">
        <is>
          <t>avverkningsanmälan</t>
        </is>
      </c>
      <c r="C217" t="inlineStr">
        <is>
          <t>Föryngringsavverkning</t>
        </is>
      </c>
      <c r="D217" s="1" t="n">
        <v>45603</v>
      </c>
      <c r="E217" s="1" t="n">
        <v>46309</v>
      </c>
      <c r="F217" t="inlineStr">
        <is>
          <t>GÄVLEBORGS LÄN</t>
        </is>
      </c>
      <c r="G217" t="inlineStr">
        <is>
          <t>NORDANSTIG</t>
        </is>
      </c>
      <c r="I217" t="n">
        <v>15.1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51230-2024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45603</v>
      </c>
      <c r="E218" s="1" t="n">
        <v>46309</v>
      </c>
      <c r="F218" t="inlineStr">
        <is>
          <t>GÄVLEBORGS LÄN</t>
        </is>
      </c>
      <c r="G218" t="inlineStr">
        <is>
          <t>NORDANSTIG</t>
        </is>
      </c>
      <c r="I218" t="n">
        <v>1.9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2861-2023</t>
        </is>
      </c>
      <c r="B219" t="inlineStr">
        <is>
          <t>avverkningsanmälan</t>
        </is>
      </c>
      <c r="C219" t="inlineStr">
        <is>
          <t>Föryngringsavverkning</t>
        </is>
      </c>
      <c r="D219" s="1" t="n">
        <v>44945</v>
      </c>
      <c r="E219" s="1" t="n">
        <v>46309</v>
      </c>
      <c r="F219" t="inlineStr">
        <is>
          <t>GÄVLEBORGS LÄN</t>
        </is>
      </c>
      <c r="G219" t="inlineStr">
        <is>
          <t>NORDANSTIG</t>
        </is>
      </c>
      <c r="I219" t="n">
        <v>5.2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30978-2024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45499</v>
      </c>
      <c r="E220" s="1" t="n">
        <v>46309</v>
      </c>
      <c r="F220" t="inlineStr">
        <is>
          <t>GÄVLEBORGS LÄN</t>
        </is>
      </c>
      <c r="G220" t="inlineStr">
        <is>
          <t>NORDANSTIG</t>
        </is>
      </c>
      <c r="I220" t="n">
        <v>1.5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40658-2025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45896</v>
      </c>
      <c r="E221" s="1" t="n">
        <v>46309</v>
      </c>
      <c r="F221" t="inlineStr">
        <is>
          <t>GÄVLEBORGS LÄN</t>
        </is>
      </c>
      <c r="G221" t="inlineStr">
        <is>
          <t>NORDANSTIG</t>
        </is>
      </c>
      <c r="I221" t="n">
        <v>11.2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35822-2025</t>
        </is>
      </c>
      <c r="B222" t="inlineStr">
        <is>
          <t>avverkningsanmälan</t>
        </is>
      </c>
      <c r="C222" t="inlineStr">
        <is>
          <t>Föryngringsavverkning</t>
        </is>
      </c>
      <c r="D222" s="1" t="n">
        <v>45861</v>
      </c>
      <c r="E222" s="1" t="n">
        <v>46309</v>
      </c>
      <c r="F222" t="inlineStr">
        <is>
          <t>GÄVLEBORGS LÄN</t>
        </is>
      </c>
      <c r="G222" t="inlineStr">
        <is>
          <t>NORDANSTIG</t>
        </is>
      </c>
      <c r="I222" t="n">
        <v>0.5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40622-2025</t>
        </is>
      </c>
      <c r="B223" t="inlineStr">
        <is>
          <t>avverkningsanmälan</t>
        </is>
      </c>
      <c r="C223" t="inlineStr">
        <is>
          <t>Föryngringsavverkning</t>
        </is>
      </c>
      <c r="D223" s="1" t="n">
        <v>45896</v>
      </c>
      <c r="E223" s="1" t="n">
        <v>46309</v>
      </c>
      <c r="F223" t="inlineStr">
        <is>
          <t>GÄVLEBORGS LÄN</t>
        </is>
      </c>
      <c r="G223" t="inlineStr">
        <is>
          <t>NORDANSTIG</t>
        </is>
      </c>
      <c r="I223" t="n">
        <v>1.2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40647-2025</t>
        </is>
      </c>
      <c r="B224" t="inlineStr">
        <is>
          <t>avverkningsanmälan</t>
        </is>
      </c>
      <c r="C224" t="inlineStr">
        <is>
          <t>Föryngringsavverkning</t>
        </is>
      </c>
      <c r="D224" s="1" t="n">
        <v>45896</v>
      </c>
      <c r="E224" s="1" t="n">
        <v>46309</v>
      </c>
      <c r="F224" t="inlineStr">
        <is>
          <t>GÄVLEBORGS LÄN</t>
        </is>
      </c>
      <c r="G224" t="inlineStr">
        <is>
          <t>NORDANSTIG</t>
        </is>
      </c>
      <c r="I224" t="n">
        <v>1.4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40629-2025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45896</v>
      </c>
      <c r="E225" s="1" t="n">
        <v>46309</v>
      </c>
      <c r="F225" t="inlineStr">
        <is>
          <t>GÄVLEBORGS LÄN</t>
        </is>
      </c>
      <c r="G225" t="inlineStr">
        <is>
          <t>NORDANSTIG</t>
        </is>
      </c>
      <c r="I225" t="n">
        <v>1.1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40804-2025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45897</v>
      </c>
      <c r="E226" s="1" t="n">
        <v>46309</v>
      </c>
      <c r="F226" t="inlineStr">
        <is>
          <t>GÄVLEBORGS LÄN</t>
        </is>
      </c>
      <c r="G226" t="inlineStr">
        <is>
          <t>NORDANSTIG</t>
        </is>
      </c>
      <c r="I226" t="n">
        <v>7.1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1703-2026</t>
        </is>
      </c>
      <c r="B227" t="inlineStr">
        <is>
          <t>avverkningsanmälan</t>
        </is>
      </c>
      <c r="C227" t="inlineStr">
        <is>
          <t>Föryngringsavverkning</t>
        </is>
      </c>
      <c r="D227" s="1" t="n">
        <v>46034</v>
      </c>
      <c r="E227" s="1" t="n">
        <v>46309</v>
      </c>
      <c r="F227" t="inlineStr">
        <is>
          <t>GÄVLEBORGS LÄN</t>
        </is>
      </c>
      <c r="G227" t="inlineStr">
        <is>
          <t>NORDANSTIG</t>
        </is>
      </c>
      <c r="I227" t="n">
        <v>12.7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1526-2024</t>
        </is>
      </c>
      <c r="B228" t="inlineStr">
        <is>
          <t>avverkningsanmälan</t>
        </is>
      </c>
      <c r="C228" t="inlineStr">
        <is>
          <t>Föryngringsavverkning</t>
        </is>
      </c>
      <c r="D228" s="1" t="n">
        <v>45306</v>
      </c>
      <c r="E228" s="1" t="n">
        <v>46309</v>
      </c>
      <c r="F228" t="inlineStr">
        <is>
          <t>GÄVLEBORGS LÄN</t>
        </is>
      </c>
      <c r="G228" t="inlineStr">
        <is>
          <t>NORDANSTIG</t>
        </is>
      </c>
      <c r="I228" t="n">
        <v>1.5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52120-2022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44873</v>
      </c>
      <c r="E229" s="1" t="n">
        <v>46309</v>
      </c>
      <c r="F229" t="inlineStr">
        <is>
          <t>GÄVLEBORGS LÄN</t>
        </is>
      </c>
      <c r="G229" t="inlineStr">
        <is>
          <t>NORDANSTIG</t>
        </is>
      </c>
      <c r="I229" t="n">
        <v>6.9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5475-2023</t>
        </is>
      </c>
      <c r="B230" t="inlineStr">
        <is>
          <t>avverkningsanmälan</t>
        </is>
      </c>
      <c r="C230" t="inlineStr">
        <is>
          <t>Föryngringsavverkning</t>
        </is>
      </c>
      <c r="D230" s="1" t="n">
        <v>44960</v>
      </c>
      <c r="E230" s="1" t="n">
        <v>46309</v>
      </c>
      <c r="F230" t="inlineStr">
        <is>
          <t>GÄVLEBORGS LÄN</t>
        </is>
      </c>
      <c r="G230" t="inlineStr">
        <is>
          <t>NORDANSTIG</t>
        </is>
      </c>
      <c r="I230" t="n">
        <v>7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A 1184-2026</t>
        </is>
      </c>
      <c r="B231" t="inlineStr">
        <is>
          <t>avverkningsanmälan</t>
        </is>
      </c>
      <c r="C231" t="inlineStr">
        <is>
          <t>Föryngringsavverkning</t>
        </is>
      </c>
      <c r="D231" s="1" t="n">
        <v>46031</v>
      </c>
      <c r="E231" s="1" t="n">
        <v>46309</v>
      </c>
      <c r="F231" t="inlineStr">
        <is>
          <t>GÄVLEBORGS LÄN</t>
        </is>
      </c>
      <c r="G231" t="inlineStr">
        <is>
          <t>NORDANSTIG</t>
        </is>
      </c>
      <c r="I231" t="n">
        <v>2.7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A 41701-2023</t>
        </is>
      </c>
      <c r="B232" t="inlineStr">
        <is>
          <t>avverkningsanmälan</t>
        </is>
      </c>
      <c r="C232" t="inlineStr">
        <is>
          <t>Föryngringsavverkning</t>
        </is>
      </c>
      <c r="D232" s="1" t="n">
        <v>45176</v>
      </c>
      <c r="E232" s="1" t="n">
        <v>46309</v>
      </c>
      <c r="F232" t="inlineStr">
        <is>
          <t>GÄVLEBORGS LÄN</t>
        </is>
      </c>
      <c r="G232" t="inlineStr">
        <is>
          <t>NORDANSTIG</t>
        </is>
      </c>
      <c r="H232" t="inlineStr">
        <is>
          <t>Holmen skog AB</t>
        </is>
      </c>
      <c r="I232" t="n">
        <v>5.6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A 40824-2025</t>
        </is>
      </c>
      <c r="B233" t="inlineStr">
        <is>
          <t>avverkningsanmälan</t>
        </is>
      </c>
      <c r="C233" t="inlineStr">
        <is>
          <t>Föryngringsavverkning</t>
        </is>
      </c>
      <c r="D233" s="1" t="n">
        <v>45897</v>
      </c>
      <c r="E233" s="1" t="n">
        <v>46309</v>
      </c>
      <c r="F233" t="inlineStr">
        <is>
          <t>GÄVLEBORGS LÄN</t>
        </is>
      </c>
      <c r="G233" t="inlineStr">
        <is>
          <t>NORDANSTIG</t>
        </is>
      </c>
      <c r="H233" t="inlineStr">
        <is>
          <t>Holmen skog AB</t>
        </is>
      </c>
      <c r="I233" t="n">
        <v>10.6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A 40812-2025</t>
        </is>
      </c>
      <c r="B234" t="inlineStr">
        <is>
          <t>avverkningsanmälan</t>
        </is>
      </c>
      <c r="C234" t="inlineStr">
        <is>
          <t>Föryngringsavverkning</t>
        </is>
      </c>
      <c r="D234" s="1" t="n">
        <v>45897</v>
      </c>
      <c r="E234" s="1" t="n">
        <v>46309</v>
      </c>
      <c r="F234" t="inlineStr">
        <is>
          <t>GÄVLEBORGS LÄN</t>
        </is>
      </c>
      <c r="G234" t="inlineStr">
        <is>
          <t>NORDANSTIG</t>
        </is>
      </c>
      <c r="I234" t="n">
        <v>1.9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A 41202-2025</t>
        </is>
      </c>
      <c r="B235" t="inlineStr">
        <is>
          <t>avverkningsanmälan</t>
        </is>
      </c>
      <c r="C235" t="inlineStr">
        <is>
          <t>Föryngringsavverkning</t>
        </is>
      </c>
      <c r="D235" s="1" t="n">
        <v>45898</v>
      </c>
      <c r="E235" s="1" t="n">
        <v>46309</v>
      </c>
      <c r="F235" t="inlineStr">
        <is>
          <t>GÄVLEBORGS LÄN</t>
        </is>
      </c>
      <c r="G235" t="inlineStr">
        <is>
          <t>NORDANSTIG</t>
        </is>
      </c>
      <c r="H235" t="inlineStr">
        <is>
          <t>Holmen skog AB</t>
        </is>
      </c>
      <c r="I235" t="n">
        <v>3.1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A 1958-2026</t>
        </is>
      </c>
      <c r="B236" t="inlineStr">
        <is>
          <t>avverkningsanmälan</t>
        </is>
      </c>
      <c r="C236" t="inlineStr">
        <is>
          <t>Föryngringsavverkning</t>
        </is>
      </c>
      <c r="D236" s="1" t="n">
        <v>46035</v>
      </c>
      <c r="E236" s="1" t="n">
        <v>46309</v>
      </c>
      <c r="F236" t="inlineStr">
        <is>
          <t>GÄVLEBORGS LÄN</t>
        </is>
      </c>
      <c r="G236" t="inlineStr">
        <is>
          <t>NORDANSTIG</t>
        </is>
      </c>
      <c r="I236" t="n">
        <v>2.7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A 2105-2023</t>
        </is>
      </c>
      <c r="B237" t="inlineStr">
        <is>
          <t>avverkningsanmälan</t>
        </is>
      </c>
      <c r="C237" t="inlineStr">
        <is>
          <t>Föryngringsavverkning</t>
        </is>
      </c>
      <c r="D237" s="1" t="n">
        <v>44939</v>
      </c>
      <c r="E237" s="1" t="n">
        <v>46309</v>
      </c>
      <c r="F237" t="inlineStr">
        <is>
          <t>GÄVLEBORGS LÄN</t>
        </is>
      </c>
      <c r="G237" t="inlineStr">
        <is>
          <t>NORDANSTIG</t>
        </is>
      </c>
      <c r="I237" t="n">
        <v>3.6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A 60520-2023</t>
        </is>
      </c>
      <c r="B238" t="inlineStr">
        <is>
          <t>avverkningsanmälan</t>
        </is>
      </c>
      <c r="C238" t="inlineStr">
        <is>
          <t>Föryngringsavverkning</t>
        </is>
      </c>
      <c r="D238" s="1" t="n">
        <v>45259</v>
      </c>
      <c r="E238" s="1" t="n">
        <v>46309</v>
      </c>
      <c r="F238" t="inlineStr">
        <is>
          <t>GÄVLEBORGS LÄN</t>
        </is>
      </c>
      <c r="G238" t="inlineStr">
        <is>
          <t>NORDANSTIG</t>
        </is>
      </c>
      <c r="I238" t="n">
        <v>1.1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A 2149-2024</t>
        </is>
      </c>
      <c r="B239" t="inlineStr">
        <is>
          <t>avverkningsanmälan</t>
        </is>
      </c>
      <c r="C239" t="inlineStr">
        <is>
          <t>Föryngringsavverkning</t>
        </is>
      </c>
      <c r="D239" s="1" t="n">
        <v>45309</v>
      </c>
      <c r="E239" s="1" t="n">
        <v>46309</v>
      </c>
      <c r="F239" t="inlineStr">
        <is>
          <t>GÄVLEBORGS LÄN</t>
        </is>
      </c>
      <c r="G239" t="inlineStr">
        <is>
          <t>NORDANSTIG</t>
        </is>
      </c>
      <c r="I239" t="n">
        <v>1.6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 ht="15" customHeight="1">
      <c r="A240" t="inlineStr">
        <is>
          <t>A 675-2023</t>
        </is>
      </c>
      <c r="B240" t="inlineStr">
        <is>
          <t>avverkningsanmälan</t>
        </is>
      </c>
      <c r="C240" t="inlineStr">
        <is>
          <t>Föryngringsavverkning</t>
        </is>
      </c>
      <c r="D240" s="1" t="n">
        <v>44930</v>
      </c>
      <c r="E240" s="1" t="n">
        <v>46309</v>
      </c>
      <c r="F240" t="inlineStr">
        <is>
          <t>GÄVLEBORGS LÄN</t>
        </is>
      </c>
      <c r="G240" t="inlineStr">
        <is>
          <t>NORDANSTIG</t>
        </is>
      </c>
      <c r="H240" t="inlineStr">
        <is>
          <t>Holmen skog AB</t>
        </is>
      </c>
      <c r="I240" t="n">
        <v>2.3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  <row r="241" ht="15" customHeight="1">
      <c r="A241" t="inlineStr">
        <is>
          <t>A 27224-2025</t>
        </is>
      </c>
      <c r="B241" t="inlineStr">
        <is>
          <t>avverkningsanmälan</t>
        </is>
      </c>
      <c r="C241" t="inlineStr">
        <is>
          <t>Föryngringsavverkning</t>
        </is>
      </c>
      <c r="D241" s="1" t="n">
        <v>45812</v>
      </c>
      <c r="E241" s="1" t="n">
        <v>46309</v>
      </c>
      <c r="F241" t="inlineStr">
        <is>
          <t>GÄVLEBORGS LÄN</t>
        </is>
      </c>
      <c r="G241" t="inlineStr">
        <is>
          <t>NORDANSTIG</t>
        </is>
      </c>
      <c r="I241" t="n">
        <v>3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inlineStr"/>
    </row>
    <row r="242" ht="15" customHeight="1">
      <c r="A242" t="inlineStr">
        <is>
          <t>A 42210-2025</t>
        </is>
      </c>
      <c r="B242" t="inlineStr">
        <is>
          <t>avverkningsanmälan</t>
        </is>
      </c>
      <c r="C242" t="inlineStr">
        <is>
          <t>Föryngringsavverkning</t>
        </is>
      </c>
      <c r="D242" s="1" t="n">
        <v>45904</v>
      </c>
      <c r="E242" s="1" t="n">
        <v>46309</v>
      </c>
      <c r="F242" t="inlineStr">
        <is>
          <t>GÄVLEBORGS LÄN</t>
        </is>
      </c>
      <c r="G242" t="inlineStr">
        <is>
          <t>NORDANSTIG</t>
        </is>
      </c>
      <c r="I242" t="n">
        <v>7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2" t="inlineStr"/>
    </row>
    <row r="243" ht="15" customHeight="1">
      <c r="A243" t="inlineStr">
        <is>
          <t>A 55450-2024</t>
        </is>
      </c>
      <c r="B243" t="inlineStr">
        <is>
          <t>avverkningsanmälan</t>
        </is>
      </c>
      <c r="C243" t="inlineStr">
        <is>
          <t>Föryngringsavverkning</t>
        </is>
      </c>
      <c r="D243" s="1" t="n">
        <v>45622</v>
      </c>
      <c r="E243" s="1" t="n">
        <v>46309</v>
      </c>
      <c r="F243" t="inlineStr">
        <is>
          <t>GÄVLEBORGS LÄN</t>
        </is>
      </c>
      <c r="G243" t="inlineStr">
        <is>
          <t>NORDANSTIG</t>
        </is>
      </c>
      <c r="H243" t="inlineStr">
        <is>
          <t>Holmen skog AB</t>
        </is>
      </c>
      <c r="I243" t="n">
        <v>3.2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2" t="inlineStr"/>
    </row>
    <row r="244" ht="15" customHeight="1">
      <c r="A244" t="inlineStr">
        <is>
          <t>A 41960-2025</t>
        </is>
      </c>
      <c r="B244" t="inlineStr">
        <is>
          <t>avverkningsanmälan</t>
        </is>
      </c>
      <c r="C244" t="inlineStr">
        <is>
          <t>Föryngringsavverkning</t>
        </is>
      </c>
      <c r="D244" s="1" t="n">
        <v>45903</v>
      </c>
      <c r="E244" s="1" t="n">
        <v>46309</v>
      </c>
      <c r="F244" t="inlineStr">
        <is>
          <t>GÄVLEBORGS LÄN</t>
        </is>
      </c>
      <c r="G244" t="inlineStr">
        <is>
          <t>NORDANSTIG</t>
        </is>
      </c>
      <c r="H244" t="inlineStr">
        <is>
          <t>SCA</t>
        </is>
      </c>
      <c r="I244" t="n">
        <v>1.7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2" t="inlineStr"/>
    </row>
    <row r="245" ht="15" customHeight="1">
      <c r="A245" t="inlineStr">
        <is>
          <t>A 11762-2023</t>
        </is>
      </c>
      <c r="B245" t="inlineStr">
        <is>
          <t>avverkningsanmälan</t>
        </is>
      </c>
      <c r="C245" t="inlineStr">
        <is>
          <t>Föryngringsavverkning</t>
        </is>
      </c>
      <c r="D245" s="1" t="n">
        <v>44994</v>
      </c>
      <c r="E245" s="1" t="n">
        <v>46309</v>
      </c>
      <c r="F245" t="inlineStr">
        <is>
          <t>GÄVLEBORGS LÄN</t>
        </is>
      </c>
      <c r="G245" t="inlineStr">
        <is>
          <t>NORDANSTIG</t>
        </is>
      </c>
      <c r="I245" t="n">
        <v>9.5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s="2" t="inlineStr"/>
    </row>
    <row r="246" ht="15" customHeight="1">
      <c r="A246" t="inlineStr">
        <is>
          <t>A 54896-2024</t>
        </is>
      </c>
      <c r="B246" t="inlineStr">
        <is>
          <t>avverkningsanmälan</t>
        </is>
      </c>
      <c r="C246" t="inlineStr">
        <is>
          <t>Föryngringsavverkning</t>
        </is>
      </c>
      <c r="D246" s="1" t="n">
        <v>45618</v>
      </c>
      <c r="E246" s="1" t="n">
        <v>46309</v>
      </c>
      <c r="F246" t="inlineStr">
        <is>
          <t>GÄVLEBORGS LÄN</t>
        </is>
      </c>
      <c r="G246" t="inlineStr">
        <is>
          <t>NORDANSTIG</t>
        </is>
      </c>
      <c r="H246" t="inlineStr">
        <is>
          <t>Holmen skog AB</t>
        </is>
      </c>
      <c r="I246" t="n">
        <v>2.7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s="2" t="inlineStr"/>
    </row>
    <row r="247" ht="15" customHeight="1">
      <c r="A247" t="inlineStr">
        <is>
          <t>A 27203-2025</t>
        </is>
      </c>
      <c r="B247" t="inlineStr">
        <is>
          <t>avverkningsanmälan</t>
        </is>
      </c>
      <c r="C247" t="inlineStr">
        <is>
          <t>Föryngringsavverkning</t>
        </is>
      </c>
      <c r="D247" s="1" t="n">
        <v>45812</v>
      </c>
      <c r="E247" s="1" t="n">
        <v>46309</v>
      </c>
      <c r="F247" t="inlineStr">
        <is>
          <t>GÄVLEBORGS LÄN</t>
        </is>
      </c>
      <c r="G247" t="inlineStr">
        <is>
          <t>NORDANSTIG</t>
        </is>
      </c>
      <c r="H247" t="inlineStr">
        <is>
          <t>Holmen skog AB</t>
        </is>
      </c>
      <c r="I247" t="n">
        <v>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s="2" t="inlineStr"/>
    </row>
    <row r="248" ht="15" customHeight="1">
      <c r="A248" t="inlineStr">
        <is>
          <t>A 61418-2024</t>
        </is>
      </c>
      <c r="B248" t="inlineStr">
        <is>
          <t>avverkningsanmälan</t>
        </is>
      </c>
      <c r="C248" t="inlineStr">
        <is>
          <t>Föryngringsavverkning</t>
        </is>
      </c>
      <c r="D248" s="1" t="n">
        <v>45646</v>
      </c>
      <c r="E248" s="1" t="n">
        <v>46309</v>
      </c>
      <c r="F248" t="inlineStr">
        <is>
          <t>GÄVLEBORGS LÄN</t>
        </is>
      </c>
      <c r="G248" t="inlineStr">
        <is>
          <t>NORDANSTIG</t>
        </is>
      </c>
      <c r="I248" t="n">
        <v>2.6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s="2" t="inlineStr"/>
    </row>
    <row r="249" ht="15" customHeight="1">
      <c r="A249" t="inlineStr">
        <is>
          <t>A 12266-2025</t>
        </is>
      </c>
      <c r="B249" t="inlineStr">
        <is>
          <t>avverkningsanmälan</t>
        </is>
      </c>
      <c r="C249" t="inlineStr">
        <is>
          <t>Föryngringsavverkning</t>
        </is>
      </c>
      <c r="D249" s="1" t="n">
        <v>45729</v>
      </c>
      <c r="E249" s="1" t="n">
        <v>46309</v>
      </c>
      <c r="F249" t="inlineStr">
        <is>
          <t>GÄVLEBORGS LÄN</t>
        </is>
      </c>
      <c r="G249" t="inlineStr">
        <is>
          <t>NORDANSTIG</t>
        </is>
      </c>
      <c r="H249" t="inlineStr">
        <is>
          <t>Holmen skog AB</t>
        </is>
      </c>
      <c r="I249" t="n">
        <v>3.1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s="2" t="inlineStr"/>
    </row>
    <row r="250" ht="15" customHeight="1">
      <c r="A250" t="inlineStr">
        <is>
          <t>A 42200-2025</t>
        </is>
      </c>
      <c r="B250" t="inlineStr">
        <is>
          <t>avverkningsanmälan</t>
        </is>
      </c>
      <c r="C250" t="inlineStr">
        <is>
          <t>Föryngringsavverkning</t>
        </is>
      </c>
      <c r="D250" s="1" t="n">
        <v>45904</v>
      </c>
      <c r="E250" s="1" t="n">
        <v>46309</v>
      </c>
      <c r="F250" t="inlineStr">
        <is>
          <t>GÄVLEBORGS LÄN</t>
        </is>
      </c>
      <c r="G250" t="inlineStr">
        <is>
          <t>NORDANSTIG</t>
        </is>
      </c>
      <c r="I250" t="n">
        <v>6.6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s="2" t="inlineStr"/>
    </row>
    <row r="251" ht="15" customHeight="1">
      <c r="A251" t="inlineStr">
        <is>
          <t>A 71442-2021</t>
        </is>
      </c>
      <c r="B251" t="inlineStr">
        <is>
          <t>avverkningsanmälan</t>
        </is>
      </c>
      <c r="C251" t="inlineStr">
        <is>
          <t>Föryngringsavverkning</t>
        </is>
      </c>
      <c r="D251" s="1" t="n">
        <v>44540</v>
      </c>
      <c r="E251" s="1" t="n">
        <v>46309</v>
      </c>
      <c r="F251" t="inlineStr">
        <is>
          <t>GÄVLEBORGS LÄN</t>
        </is>
      </c>
      <c r="G251" t="inlineStr">
        <is>
          <t>NORDANSTIG</t>
        </is>
      </c>
      <c r="H251" t="inlineStr">
        <is>
          <t>Holmen skog AB</t>
        </is>
      </c>
      <c r="I251" t="n">
        <v>4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s="2" t="inlineStr"/>
    </row>
    <row r="252" ht="15" customHeight="1">
      <c r="A252" t="inlineStr">
        <is>
          <t>A 42884-2025</t>
        </is>
      </c>
      <c r="B252" t="inlineStr">
        <is>
          <t>avverkningsanmälan</t>
        </is>
      </c>
      <c r="C252" t="inlineStr">
        <is>
          <t>Föryngringsavverkning</t>
        </is>
      </c>
      <c r="D252" s="1" t="n">
        <v>45908</v>
      </c>
      <c r="E252" s="1" t="n">
        <v>46309</v>
      </c>
      <c r="F252" t="inlineStr">
        <is>
          <t>GÄVLEBORGS LÄN</t>
        </is>
      </c>
      <c r="G252" t="inlineStr">
        <is>
          <t>NORDANSTIG</t>
        </is>
      </c>
      <c r="I252" t="n">
        <v>1.8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s="2" t="inlineStr"/>
    </row>
    <row r="253" ht="15" customHeight="1">
      <c r="A253" t="inlineStr">
        <is>
          <t>A 74460-2021</t>
        </is>
      </c>
      <c r="B253" t="inlineStr">
        <is>
          <t>avverkningsanmälan</t>
        </is>
      </c>
      <c r="C253" t="inlineStr">
        <is>
          <t>Föryngringsavverkning</t>
        </is>
      </c>
      <c r="D253" s="1" t="n">
        <v>44560</v>
      </c>
      <c r="E253" s="1" t="n">
        <v>46309</v>
      </c>
      <c r="F253" t="inlineStr">
        <is>
          <t>GÄVLEBORGS LÄN</t>
        </is>
      </c>
      <c r="G253" t="inlineStr">
        <is>
          <t>NORDANSTIG</t>
        </is>
      </c>
      <c r="H253" t="inlineStr">
        <is>
          <t>Holmen skog AB</t>
        </is>
      </c>
      <c r="I253" t="n">
        <v>1.7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s="2" t="inlineStr"/>
    </row>
    <row r="254" ht="15" customHeight="1">
      <c r="A254" t="inlineStr">
        <is>
          <t>A 27447-2025</t>
        </is>
      </c>
      <c r="B254" t="inlineStr">
        <is>
          <t>avverkningsanmälan</t>
        </is>
      </c>
      <c r="C254" t="inlineStr">
        <is>
          <t>Föryngringsavverkning</t>
        </is>
      </c>
      <c r="D254" s="1" t="n">
        <v>45813</v>
      </c>
      <c r="E254" s="1" t="n">
        <v>46309</v>
      </c>
      <c r="F254" t="inlineStr">
        <is>
          <t>GÄVLEBORGS LÄN</t>
        </is>
      </c>
      <c r="G254" t="inlineStr">
        <is>
          <t>NORDANSTIG</t>
        </is>
      </c>
      <c r="I254" t="n">
        <v>1.3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s="2" t="inlineStr"/>
    </row>
    <row r="255" ht="15" customHeight="1">
      <c r="A255" t="inlineStr">
        <is>
          <t>A 42737-2025</t>
        </is>
      </c>
      <c r="B255" t="inlineStr">
        <is>
          <t>avverkningsanmälan</t>
        </is>
      </c>
      <c r="C255" t="inlineStr">
        <is>
          <t>Föryngringsavverkning</t>
        </is>
      </c>
      <c r="D255" s="1" t="n">
        <v>45908</v>
      </c>
      <c r="E255" s="1" t="n">
        <v>46309</v>
      </c>
      <c r="F255" t="inlineStr">
        <is>
          <t>GÄVLEBORGS LÄN</t>
        </is>
      </c>
      <c r="G255" t="inlineStr">
        <is>
          <t>NORDANSTIG</t>
        </is>
      </c>
      <c r="H255" t="inlineStr">
        <is>
          <t>Holmen skog AB</t>
        </is>
      </c>
      <c r="I255" t="n">
        <v>6.7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s="2" t="inlineStr"/>
    </row>
    <row r="256" ht="15" customHeight="1">
      <c r="A256" t="inlineStr">
        <is>
          <t>A 411-2025</t>
        </is>
      </c>
      <c r="B256" t="inlineStr">
        <is>
          <t>avverkningsanmälan</t>
        </is>
      </c>
      <c r="C256" t="inlineStr">
        <is>
          <t>Avverkning för annat ändamål</t>
        </is>
      </c>
      <c r="D256" s="1" t="n">
        <v>45663</v>
      </c>
      <c r="E256" s="1" t="n">
        <v>46309</v>
      </c>
      <c r="F256" t="inlineStr">
        <is>
          <t>GÄVLEBORGS LÄN</t>
        </is>
      </c>
      <c r="G256" t="inlineStr">
        <is>
          <t>NORDANSTIG</t>
        </is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s="2" t="inlineStr"/>
    </row>
    <row r="257" ht="15" customHeight="1">
      <c r="A257" t="inlineStr">
        <is>
          <t>A 27894-2025</t>
        </is>
      </c>
      <c r="B257" t="inlineStr">
        <is>
          <t>avverkningsanmälan</t>
        </is>
      </c>
      <c r="C257" t="inlineStr">
        <is>
          <t>Föryngringsavverkning</t>
        </is>
      </c>
      <c r="D257" s="1" t="n">
        <v>45817</v>
      </c>
      <c r="E257" s="1" t="n">
        <v>46309</v>
      </c>
      <c r="F257" t="inlineStr">
        <is>
          <t>GÄVLEBORGS LÄN</t>
        </is>
      </c>
      <c r="G257" t="inlineStr">
        <is>
          <t>NORDANSTIG</t>
        </is>
      </c>
      <c r="H257" t="inlineStr">
        <is>
          <t>Holmen skog AB</t>
        </is>
      </c>
      <c r="I257" t="n">
        <v>8.6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s="2" t="inlineStr"/>
    </row>
    <row r="258" ht="15" customHeight="1">
      <c r="A258" t="inlineStr">
        <is>
          <t>A 38342-2024</t>
        </is>
      </c>
      <c r="B258" t="inlineStr">
        <is>
          <t>avverkningsanmälan</t>
        </is>
      </c>
      <c r="C258" t="inlineStr">
        <is>
          <t>Föryngringsavverkning</t>
        </is>
      </c>
      <c r="D258" s="1" t="n">
        <v>45545</v>
      </c>
      <c r="E258" s="1" t="n">
        <v>46309</v>
      </c>
      <c r="F258" t="inlineStr">
        <is>
          <t>GÄVLEBORGS LÄN</t>
        </is>
      </c>
      <c r="G258" t="inlineStr">
        <is>
          <t>NORDANSTIG</t>
        </is>
      </c>
      <c r="H258" t="inlineStr">
        <is>
          <t>Holmen skog AB</t>
        </is>
      </c>
      <c r="I258" t="n">
        <v>2.9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s="2" t="inlineStr"/>
    </row>
    <row r="259" ht="15" customHeight="1">
      <c r="A259" t="inlineStr">
        <is>
          <t>A 42930-2025</t>
        </is>
      </c>
      <c r="B259" t="inlineStr">
        <is>
          <t>avverkningsanmälan</t>
        </is>
      </c>
      <c r="C259" t="inlineStr">
        <is>
          <t>Föryngringsavverkning</t>
        </is>
      </c>
      <c r="D259" s="1" t="n">
        <v>45909</v>
      </c>
      <c r="E259" s="1" t="n">
        <v>46309</v>
      </c>
      <c r="F259" t="inlineStr">
        <is>
          <t>GÄVLEBORGS LÄN</t>
        </is>
      </c>
      <c r="G259" t="inlineStr">
        <is>
          <t>NORDANSTIG</t>
        </is>
      </c>
      <c r="I259" t="n">
        <v>0.5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s="2" t="inlineStr"/>
    </row>
    <row r="260" ht="15" customHeight="1">
      <c r="A260" t="inlineStr">
        <is>
          <t>A 27841-2025</t>
        </is>
      </c>
      <c r="B260" t="inlineStr">
        <is>
          <t>avverkningsanmälan</t>
        </is>
      </c>
      <c r="C260" t="inlineStr">
        <is>
          <t>Föryngringsavverkning</t>
        </is>
      </c>
      <c r="D260" s="1" t="n">
        <v>45817</v>
      </c>
      <c r="E260" s="1" t="n">
        <v>46309</v>
      </c>
      <c r="F260" t="inlineStr">
        <is>
          <t>GÄVLEBORGS LÄN</t>
        </is>
      </c>
      <c r="G260" t="inlineStr">
        <is>
          <t>NORDANSTIG</t>
        </is>
      </c>
      <c r="H260" t="inlineStr">
        <is>
          <t>Holmen skog AB</t>
        </is>
      </c>
      <c r="I260" t="n">
        <v>14.2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s="2" t="inlineStr"/>
    </row>
    <row r="261" ht="15" customHeight="1">
      <c r="A261" t="inlineStr">
        <is>
          <t>A 27804-2025</t>
        </is>
      </c>
      <c r="B261" t="inlineStr">
        <is>
          <t>avverkningsanmälan</t>
        </is>
      </c>
      <c r="C261" t="inlineStr">
        <is>
          <t>Föryngringsavverkning</t>
        </is>
      </c>
      <c r="D261" s="1" t="n">
        <v>45817</v>
      </c>
      <c r="E261" s="1" t="n">
        <v>46309</v>
      </c>
      <c r="F261" t="inlineStr">
        <is>
          <t>GÄVLEBORGS LÄN</t>
        </is>
      </c>
      <c r="G261" t="inlineStr">
        <is>
          <t>NORDANSTIG</t>
        </is>
      </c>
      <c r="H261" t="inlineStr">
        <is>
          <t>Holmen skog AB</t>
        </is>
      </c>
      <c r="I261" t="n">
        <v>1.2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s="2" t="inlineStr"/>
    </row>
    <row r="262" ht="15" customHeight="1">
      <c r="A262" t="inlineStr">
        <is>
          <t>A 8395-2024</t>
        </is>
      </c>
      <c r="B262" t="inlineStr">
        <is>
          <t>avverkningsanmälan</t>
        </is>
      </c>
      <c r="C262" t="inlineStr">
        <is>
          <t>Föryngringsavverkning</t>
        </is>
      </c>
      <c r="D262" s="1" t="n">
        <v>45352</v>
      </c>
      <c r="E262" s="1" t="n">
        <v>46309</v>
      </c>
      <c r="F262" t="inlineStr">
        <is>
          <t>GÄVLEBORGS LÄN</t>
        </is>
      </c>
      <c r="G262" t="inlineStr">
        <is>
          <t>NORDANSTIG</t>
        </is>
      </c>
      <c r="H262" t="inlineStr">
        <is>
          <t>Holmen skog AB</t>
        </is>
      </c>
      <c r="I262" t="n">
        <v>1.1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s="2" t="inlineStr"/>
    </row>
    <row r="263" ht="15" customHeight="1">
      <c r="A263" t="inlineStr">
        <is>
          <t>A 18401-2023</t>
        </is>
      </c>
      <c r="B263" t="inlineStr">
        <is>
          <t>avverkningsanmälan</t>
        </is>
      </c>
      <c r="C263" t="inlineStr">
        <is>
          <t>Föryngringsavverkning</t>
        </is>
      </c>
      <c r="D263" s="1" t="n">
        <v>45042</v>
      </c>
      <c r="E263" s="1" t="n">
        <v>46309</v>
      </c>
      <c r="F263" t="inlineStr">
        <is>
          <t>GÄVLEBORGS LÄN</t>
        </is>
      </c>
      <c r="G263" t="inlineStr">
        <is>
          <t>NORDANSTIG</t>
        </is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s="2" t="inlineStr"/>
    </row>
    <row r="264" ht="15" customHeight="1">
      <c r="A264" t="inlineStr">
        <is>
          <t>A 43507-2025</t>
        </is>
      </c>
      <c r="B264" t="inlineStr">
        <is>
          <t>avverkningsanmälan</t>
        </is>
      </c>
      <c r="C264" t="inlineStr">
        <is>
          <t>Föryngringsavverkning</t>
        </is>
      </c>
      <c r="D264" s="1" t="n">
        <v>45911</v>
      </c>
      <c r="E264" s="1" t="n">
        <v>46309</v>
      </c>
      <c r="F264" t="inlineStr">
        <is>
          <t>GÄVLEBORGS LÄN</t>
        </is>
      </c>
      <c r="G264" t="inlineStr">
        <is>
          <t>NORDANSTIG</t>
        </is>
      </c>
      <c r="I264" t="n">
        <v>1.3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s="2" t="inlineStr"/>
    </row>
    <row r="265" ht="15" customHeight="1">
      <c r="A265" t="inlineStr">
        <is>
          <t>A 29275-2025</t>
        </is>
      </c>
      <c r="B265" t="inlineStr">
        <is>
          <t>avverkningsanmälan</t>
        </is>
      </c>
      <c r="C265" t="inlineStr">
        <is>
          <t>Föryngringsavverkning</t>
        </is>
      </c>
      <c r="D265" s="1" t="n">
        <v>45824</v>
      </c>
      <c r="E265" s="1" t="n">
        <v>46309</v>
      </c>
      <c r="F265" t="inlineStr">
        <is>
          <t>GÄVLEBORGS LÄN</t>
        </is>
      </c>
      <c r="G265" t="inlineStr">
        <is>
          <t>NORDANSTIG</t>
        </is>
      </c>
      <c r="H265" t="inlineStr">
        <is>
          <t>Holmen skog AB</t>
        </is>
      </c>
      <c r="I265" t="n">
        <v>5.3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s="2" t="inlineStr"/>
    </row>
    <row r="266" ht="15" customHeight="1">
      <c r="A266" t="inlineStr">
        <is>
          <t>A 36464-2024</t>
        </is>
      </c>
      <c r="B266" t="inlineStr">
        <is>
          <t>avverkningsanmälan</t>
        </is>
      </c>
      <c r="C266" t="inlineStr">
        <is>
          <t>Avverkning för att bevara och utveckla /försöksver</t>
        </is>
      </c>
      <c r="D266" s="1" t="n">
        <v>45537</v>
      </c>
      <c r="E266" s="1" t="n">
        <v>46309</v>
      </c>
      <c r="F266" t="inlineStr">
        <is>
          <t>GÄVLEBORGS LÄN</t>
        </is>
      </c>
      <c r="G266" t="inlineStr">
        <is>
          <t>NORDANSTIG</t>
        </is>
      </c>
      <c r="H266" t="inlineStr">
        <is>
          <t>SCA</t>
        </is>
      </c>
      <c r="I266" t="n">
        <v>4.4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s="2" t="inlineStr"/>
    </row>
    <row r="267" ht="15" customHeight="1">
      <c r="A267" t="inlineStr">
        <is>
          <t>A 44049-2025</t>
        </is>
      </c>
      <c r="B267" t="inlineStr">
        <is>
          <t>avverkningsanmälan</t>
        </is>
      </c>
      <c r="C267" t="inlineStr">
        <is>
          <t>Föryngringsavverkning</t>
        </is>
      </c>
      <c r="D267" s="1" t="n">
        <v>45915</v>
      </c>
      <c r="E267" s="1" t="n">
        <v>46309</v>
      </c>
      <c r="F267" t="inlineStr">
        <is>
          <t>GÄVLEBORGS LÄN</t>
        </is>
      </c>
      <c r="G267" t="inlineStr">
        <is>
          <t>NORDANSTIG</t>
        </is>
      </c>
      <c r="H267" t="inlineStr">
        <is>
          <t>Holmen skog AB</t>
        </is>
      </c>
      <c r="I267" t="n">
        <v>2.7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s="2" t="inlineStr"/>
    </row>
    <row r="268" ht="15" customHeight="1">
      <c r="A268" t="inlineStr">
        <is>
          <t>A 29878-2025</t>
        </is>
      </c>
      <c r="B268" t="inlineStr">
        <is>
          <t>avverkningsanmälan</t>
        </is>
      </c>
      <c r="C268" t="inlineStr">
        <is>
          <t>Föryngringsavverkning</t>
        </is>
      </c>
      <c r="D268" s="1" t="n">
        <v>45826</v>
      </c>
      <c r="E268" s="1" t="n">
        <v>46309</v>
      </c>
      <c r="F268" t="inlineStr">
        <is>
          <t>GÄVLEBORGS LÄN</t>
        </is>
      </c>
      <c r="G268" t="inlineStr">
        <is>
          <t>NORDANSTIG</t>
        </is>
      </c>
      <c r="H268" t="inlineStr">
        <is>
          <t>Holmen skog AB</t>
        </is>
      </c>
      <c r="I268" t="n">
        <v>4.2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s="2" t="inlineStr"/>
    </row>
    <row r="269" ht="15" customHeight="1">
      <c r="A269" t="inlineStr">
        <is>
          <t>A 44052-2025</t>
        </is>
      </c>
      <c r="B269" t="inlineStr">
        <is>
          <t>avverkningsanmälan</t>
        </is>
      </c>
      <c r="C269" t="inlineStr">
        <is>
          <t>Föryngringsavverkning</t>
        </is>
      </c>
      <c r="D269" s="1" t="n">
        <v>45915</v>
      </c>
      <c r="E269" s="1" t="n">
        <v>46309</v>
      </c>
      <c r="F269" t="inlineStr">
        <is>
          <t>GÄVLEBORGS LÄN</t>
        </is>
      </c>
      <c r="G269" t="inlineStr">
        <is>
          <t>NORDANSTIG</t>
        </is>
      </c>
      <c r="H269" t="inlineStr">
        <is>
          <t>Holmen skog AB</t>
        </is>
      </c>
      <c r="I269" t="n">
        <v>4.3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s="2" t="inlineStr"/>
    </row>
    <row r="270" ht="15" customHeight="1">
      <c r="A270" t="inlineStr">
        <is>
          <t>A 55526-2024</t>
        </is>
      </c>
      <c r="B270" t="inlineStr">
        <is>
          <t>avverkningsanmälan</t>
        </is>
      </c>
      <c r="C270" t="inlineStr">
        <is>
          <t>Föryngringsavverkning</t>
        </is>
      </c>
      <c r="D270" s="1" t="n">
        <v>45622</v>
      </c>
      <c r="E270" s="1" t="n">
        <v>46309</v>
      </c>
      <c r="F270" t="inlineStr">
        <is>
          <t>GÄVLEBORGS LÄN</t>
        </is>
      </c>
      <c r="G270" t="inlineStr">
        <is>
          <t>NORDANSTIG</t>
        </is>
      </c>
      <c r="I270" t="n">
        <v>1.8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s="2" t="inlineStr"/>
    </row>
    <row r="271" ht="15" customHeight="1">
      <c r="A271" t="inlineStr">
        <is>
          <t>A 30022-2025</t>
        </is>
      </c>
      <c r="B271" t="inlineStr">
        <is>
          <t>avverkningsanmälan</t>
        </is>
      </c>
      <c r="C271" t="inlineStr">
        <is>
          <t>Föryngringsavverkning</t>
        </is>
      </c>
      <c r="D271" s="1" t="n">
        <v>45826</v>
      </c>
      <c r="E271" s="1" t="n">
        <v>46309</v>
      </c>
      <c r="F271" t="inlineStr">
        <is>
          <t>GÄVLEBORGS LÄN</t>
        </is>
      </c>
      <c r="G271" t="inlineStr">
        <is>
          <t>NORDANSTIG</t>
        </is>
      </c>
      <c r="H271" t="inlineStr">
        <is>
          <t>Holmen skog AB</t>
        </is>
      </c>
      <c r="I271" t="n">
        <v>4.2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s="2" t="inlineStr"/>
    </row>
    <row r="272" ht="15" customHeight="1">
      <c r="A272" t="inlineStr">
        <is>
          <t>A 42858-2024</t>
        </is>
      </c>
      <c r="B272" t="inlineStr">
        <is>
          <t>avverkningsanmälan</t>
        </is>
      </c>
      <c r="C272" t="inlineStr">
        <is>
          <t>Föryngringsavverkning</t>
        </is>
      </c>
      <c r="D272" s="1" t="n">
        <v>45566</v>
      </c>
      <c r="E272" s="1" t="n">
        <v>46309</v>
      </c>
      <c r="F272" t="inlineStr">
        <is>
          <t>GÄVLEBORGS LÄN</t>
        </is>
      </c>
      <c r="G272" t="inlineStr">
        <is>
          <t>NORDANSTIG</t>
        </is>
      </c>
      <c r="I272" t="n">
        <v>3.2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s="2" t="inlineStr"/>
    </row>
    <row r="273" ht="15" customHeight="1">
      <c r="A273" t="inlineStr">
        <is>
          <t>A 6096-2022</t>
        </is>
      </c>
      <c r="B273" t="inlineStr">
        <is>
          <t>avverkningsanmälan</t>
        </is>
      </c>
      <c r="C273" t="inlineStr">
        <is>
          <t>Föryngringsavverkning</t>
        </is>
      </c>
      <c r="D273" s="1" t="n">
        <v>44599</v>
      </c>
      <c r="E273" s="1" t="n">
        <v>46309</v>
      </c>
      <c r="F273" t="inlineStr">
        <is>
          <t>GÄVLEBORGS LÄN</t>
        </is>
      </c>
      <c r="G273" t="inlineStr">
        <is>
          <t>NORDANSTIG</t>
        </is>
      </c>
      <c r="I273" t="n">
        <v>1.5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s="2" t="inlineStr"/>
    </row>
    <row r="274" ht="15" customHeight="1">
      <c r="A274" t="inlineStr">
        <is>
          <t>A 44599-2025</t>
        </is>
      </c>
      <c r="B274" t="inlineStr">
        <is>
          <t>avverkningsanmälan</t>
        </is>
      </c>
      <c r="C274" t="inlineStr">
        <is>
          <t>Föryngringsavverkning</t>
        </is>
      </c>
      <c r="D274" s="1" t="n">
        <v>45917</v>
      </c>
      <c r="E274" s="1" t="n">
        <v>46309</v>
      </c>
      <c r="F274" t="inlineStr">
        <is>
          <t>GÄVLEBORGS LÄN</t>
        </is>
      </c>
      <c r="G274" t="inlineStr">
        <is>
          <t>NORDANSTIG</t>
        </is>
      </c>
      <c r="I274" t="n">
        <v>1.8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s="2" t="inlineStr"/>
    </row>
    <row r="275" ht="15" customHeight="1">
      <c r="A275" t="inlineStr">
        <is>
          <t>A 1982-2026</t>
        </is>
      </c>
      <c r="B275" t="inlineStr">
        <is>
          <t>avverkningsanmälan</t>
        </is>
      </c>
      <c r="C275" t="inlineStr">
        <is>
          <t>Föryngringsavverkning</t>
        </is>
      </c>
      <c r="D275" s="1" t="n">
        <v>46035</v>
      </c>
      <c r="E275" s="1" t="n">
        <v>46309</v>
      </c>
      <c r="F275" t="inlineStr">
        <is>
          <t>GÄVLEBORGS LÄN</t>
        </is>
      </c>
      <c r="G275" t="inlineStr">
        <is>
          <t>NORDANSTIG</t>
        </is>
      </c>
      <c r="I275" t="n">
        <v>1.2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s="2" t="inlineStr"/>
    </row>
    <row r="276" ht="15" customHeight="1">
      <c r="A276" t="inlineStr">
        <is>
          <t>A 44603-2025</t>
        </is>
      </c>
      <c r="B276" t="inlineStr">
        <is>
          <t>avverkningsanmälan</t>
        </is>
      </c>
      <c r="C276" t="inlineStr">
        <is>
          <t>Föryngringsavverkning</t>
        </is>
      </c>
      <c r="D276" s="1" t="n">
        <v>45917</v>
      </c>
      <c r="E276" s="1" t="n">
        <v>46309</v>
      </c>
      <c r="F276" t="inlineStr">
        <is>
          <t>GÄVLEBORGS LÄN</t>
        </is>
      </c>
      <c r="G276" t="inlineStr">
        <is>
          <t>NORDANSTIG</t>
        </is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s="2" t="inlineStr"/>
    </row>
    <row r="277" ht="15" customHeight="1">
      <c r="A277" t="inlineStr">
        <is>
          <t>A 44591-2025</t>
        </is>
      </c>
      <c r="B277" t="inlineStr">
        <is>
          <t>avverkningsanmälan</t>
        </is>
      </c>
      <c r="C277" t="inlineStr">
        <is>
          <t>Föryngringsavverkning</t>
        </is>
      </c>
      <c r="D277" s="1" t="n">
        <v>45917</v>
      </c>
      <c r="E277" s="1" t="n">
        <v>46309</v>
      </c>
      <c r="F277" t="inlineStr">
        <is>
          <t>GÄVLEBORGS LÄN</t>
        </is>
      </c>
      <c r="G277" t="inlineStr">
        <is>
          <t>NORDANSTIG</t>
        </is>
      </c>
      <c r="I277" t="n">
        <v>1.4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s="2" t="inlineStr"/>
    </row>
    <row r="278" ht="15" customHeight="1">
      <c r="A278" t="inlineStr">
        <is>
          <t>A 44983-2025</t>
        </is>
      </c>
      <c r="B278" t="inlineStr">
        <is>
          <t>avverkningsanmälan</t>
        </is>
      </c>
      <c r="C278" t="inlineStr">
        <is>
          <t>Föryngringsavverkning</t>
        </is>
      </c>
      <c r="D278" s="1" t="n">
        <v>45918</v>
      </c>
      <c r="E278" s="1" t="n">
        <v>46309</v>
      </c>
      <c r="F278" t="inlineStr">
        <is>
          <t>GÄVLEBORGS LÄN</t>
        </is>
      </c>
      <c r="G278" t="inlineStr">
        <is>
          <t>NORDANSTIG</t>
        </is>
      </c>
      <c r="I278" t="n">
        <v>2.7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s="2" t="inlineStr"/>
    </row>
    <row r="279" ht="15" customHeight="1">
      <c r="A279" t="inlineStr">
        <is>
          <t>A 29741-2025</t>
        </is>
      </c>
      <c r="B279" t="inlineStr">
        <is>
          <t>avverkningsanmälan</t>
        </is>
      </c>
      <c r="C279" t="inlineStr">
        <is>
          <t>Föryngringsavverkning</t>
        </is>
      </c>
      <c r="D279" s="1" t="n">
        <v>45825</v>
      </c>
      <c r="E279" s="1" t="n">
        <v>46309</v>
      </c>
      <c r="F279" t="inlineStr">
        <is>
          <t>GÄVLEBORGS LÄN</t>
        </is>
      </c>
      <c r="G279" t="inlineStr">
        <is>
          <t>NORDANSTIG</t>
        </is>
      </c>
      <c r="I279" t="n">
        <v>0.8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s="2" t="inlineStr"/>
    </row>
    <row r="280" ht="15" customHeight="1">
      <c r="A280" t="inlineStr">
        <is>
          <t>A 44972-2025</t>
        </is>
      </c>
      <c r="B280" t="inlineStr">
        <is>
          <t>avverkningsanmälan</t>
        </is>
      </c>
      <c r="C280" t="inlineStr">
        <is>
          <t>Föryngringsavverkning</t>
        </is>
      </c>
      <c r="D280" s="1" t="n">
        <v>45918</v>
      </c>
      <c r="E280" s="1" t="n">
        <v>46309</v>
      </c>
      <c r="F280" t="inlineStr">
        <is>
          <t>GÄVLEBORGS LÄN</t>
        </is>
      </c>
      <c r="G280" t="inlineStr">
        <is>
          <t>NORDANSTIG</t>
        </is>
      </c>
      <c r="I280" t="n">
        <v>2.3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s="2" t="inlineStr"/>
    </row>
    <row r="281" ht="15" customHeight="1">
      <c r="A281" t="inlineStr">
        <is>
          <t>A 44978-2025</t>
        </is>
      </c>
      <c r="B281" t="inlineStr">
        <is>
          <t>avverkningsanmälan</t>
        </is>
      </c>
      <c r="C281" t="inlineStr">
        <is>
          <t>Föryngringsavverkning</t>
        </is>
      </c>
      <c r="D281" s="1" t="n">
        <v>45918</v>
      </c>
      <c r="E281" s="1" t="n">
        <v>46309</v>
      </c>
      <c r="F281" t="inlineStr">
        <is>
          <t>GÄVLEBORGS LÄN</t>
        </is>
      </c>
      <c r="G281" t="inlineStr">
        <is>
          <t>NORDANSTIG</t>
        </is>
      </c>
      <c r="I281" t="n">
        <v>2.5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s="2" t="inlineStr"/>
    </row>
    <row r="282" ht="15" customHeight="1">
      <c r="A282" t="inlineStr">
        <is>
          <t>A 45058-2025</t>
        </is>
      </c>
      <c r="B282" t="inlineStr">
        <is>
          <t>avverkningsanmälan</t>
        </is>
      </c>
      <c r="C282" t="inlineStr">
        <is>
          <t>Föryngringsavverkning</t>
        </is>
      </c>
      <c r="D282" s="1" t="n">
        <v>45919</v>
      </c>
      <c r="E282" s="1" t="n">
        <v>46309</v>
      </c>
      <c r="F282" t="inlineStr">
        <is>
          <t>GÄVLEBORGS LÄN</t>
        </is>
      </c>
      <c r="G282" t="inlineStr">
        <is>
          <t>NORDANSTIG</t>
        </is>
      </c>
      <c r="I282" t="n">
        <v>0.8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s="2" t="inlineStr"/>
    </row>
    <row r="283" ht="15" customHeight="1">
      <c r="A283" t="inlineStr">
        <is>
          <t>A 30291-2025</t>
        </is>
      </c>
      <c r="B283" t="inlineStr">
        <is>
          <t>avverkningsanmälan</t>
        </is>
      </c>
      <c r="C283" t="inlineStr">
        <is>
          <t>Föryngringsavverkning</t>
        </is>
      </c>
      <c r="D283" s="1" t="n">
        <v>45827</v>
      </c>
      <c r="E283" s="1" t="n">
        <v>46309</v>
      </c>
      <c r="F283" t="inlineStr">
        <is>
          <t>GÄVLEBORGS LÄN</t>
        </is>
      </c>
      <c r="G283" t="inlineStr">
        <is>
          <t>NORDANSTIG</t>
        </is>
      </c>
      <c r="H283" t="inlineStr">
        <is>
          <t>Holmen skog AB</t>
        </is>
      </c>
      <c r="I283" t="n">
        <v>11.2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s="2" t="inlineStr"/>
    </row>
    <row r="284" ht="15" customHeight="1">
      <c r="A284" t="inlineStr">
        <is>
          <t>A 9131-2024</t>
        </is>
      </c>
      <c r="B284" t="inlineStr">
        <is>
          <t>avverkningsanmälan</t>
        </is>
      </c>
      <c r="C284" t="inlineStr">
        <is>
          <t>Föryngringsavverkning</t>
        </is>
      </c>
      <c r="D284" s="1" t="n">
        <v>45358</v>
      </c>
      <c r="E284" s="1" t="n">
        <v>46309</v>
      </c>
      <c r="F284" t="inlineStr">
        <is>
          <t>GÄVLEBORGS LÄN</t>
        </is>
      </c>
      <c r="G284" t="inlineStr">
        <is>
          <t>NORDANSTIG</t>
        </is>
      </c>
      <c r="H284" t="inlineStr">
        <is>
          <t>Holmen skog AB</t>
        </is>
      </c>
      <c r="I284" t="n">
        <v>0.6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s="2" t="inlineStr"/>
    </row>
    <row r="285" ht="15" customHeight="1">
      <c r="A285" t="inlineStr">
        <is>
          <t>A 45946-2025</t>
        </is>
      </c>
      <c r="B285" t="inlineStr">
        <is>
          <t>avverkningsanmälan</t>
        </is>
      </c>
      <c r="C285" t="inlineStr">
        <is>
          <t>Föryngringsavverkning</t>
        </is>
      </c>
      <c r="D285" s="1" t="n">
        <v>45924</v>
      </c>
      <c r="E285" s="1" t="n">
        <v>46309</v>
      </c>
      <c r="F285" t="inlineStr">
        <is>
          <t>GÄVLEBORGS LÄN</t>
        </is>
      </c>
      <c r="G285" t="inlineStr">
        <is>
          <t>NORDANSTIG</t>
        </is>
      </c>
      <c r="H285" t="inlineStr">
        <is>
          <t>Holmen skog AB</t>
        </is>
      </c>
      <c r="I285" t="n">
        <v>1.6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s="2" t="inlineStr"/>
    </row>
    <row r="286" ht="15" customHeight="1">
      <c r="A286" t="inlineStr">
        <is>
          <t>A 45902-2025</t>
        </is>
      </c>
      <c r="B286" t="inlineStr">
        <is>
          <t>avverkningsanmälan</t>
        </is>
      </c>
      <c r="C286" t="inlineStr">
        <is>
          <t>Avverkning för att bevara och utveckla /försöksver</t>
        </is>
      </c>
      <c r="D286" s="1" t="n">
        <v>45923</v>
      </c>
      <c r="E286" s="1" t="n">
        <v>46309</v>
      </c>
      <c r="F286" t="inlineStr">
        <is>
          <t>GÄVLEBORGS LÄN</t>
        </is>
      </c>
      <c r="G286" t="inlineStr">
        <is>
          <t>NORDANSTIG</t>
        </is>
      </c>
      <c r="H286" t="inlineStr">
        <is>
          <t>SCA</t>
        </is>
      </c>
      <c r="I286" t="n">
        <v>1.5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s="2" t="inlineStr"/>
    </row>
    <row r="287" ht="15" customHeight="1">
      <c r="A287" t="inlineStr">
        <is>
          <t>A 57976-2022</t>
        </is>
      </c>
      <c r="B287" t="inlineStr">
        <is>
          <t>avverkningsanmälan</t>
        </is>
      </c>
      <c r="C287" t="inlineStr">
        <is>
          <t>Föryngringsavverkning</t>
        </is>
      </c>
      <c r="D287" s="1" t="n">
        <v>44900</v>
      </c>
      <c r="E287" s="1" t="n">
        <v>46309</v>
      </c>
      <c r="F287" t="inlineStr">
        <is>
          <t>GÄVLEBORGS LÄN</t>
        </is>
      </c>
      <c r="G287" t="inlineStr">
        <is>
          <t>NORDANSTIG</t>
        </is>
      </c>
      <c r="H287" t="inlineStr">
        <is>
          <t>Holmen skog AB</t>
        </is>
      </c>
      <c r="I287" t="n">
        <v>1.9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s="2" t="inlineStr"/>
    </row>
    <row r="288" ht="15" customHeight="1">
      <c r="A288" t="inlineStr">
        <is>
          <t>A 57983-2022</t>
        </is>
      </c>
      <c r="B288" t="inlineStr">
        <is>
          <t>avverkningsanmälan</t>
        </is>
      </c>
      <c r="C288" t="inlineStr">
        <is>
          <t>Föryngringsavverkning</t>
        </is>
      </c>
      <c r="D288" s="1" t="n">
        <v>44900</v>
      </c>
      <c r="E288" s="1" t="n">
        <v>46309</v>
      </c>
      <c r="F288" t="inlineStr">
        <is>
          <t>GÄVLEBORGS LÄN</t>
        </is>
      </c>
      <c r="G288" t="inlineStr">
        <is>
          <t>NORDANSTIG</t>
        </is>
      </c>
      <c r="H288" t="inlineStr">
        <is>
          <t>Holmen skog AB</t>
        </is>
      </c>
      <c r="I288" t="n">
        <v>1.2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s="2" t="inlineStr"/>
    </row>
    <row r="289" ht="15" customHeight="1">
      <c r="A289" t="inlineStr">
        <is>
          <t>A 30870-2025</t>
        </is>
      </c>
      <c r="B289" t="inlineStr">
        <is>
          <t>avverkningsanmälan</t>
        </is>
      </c>
      <c r="C289" t="inlineStr">
        <is>
          <t>Föryngringsavverkning</t>
        </is>
      </c>
      <c r="D289" s="1" t="n">
        <v>45832</v>
      </c>
      <c r="E289" s="1" t="n">
        <v>46309</v>
      </c>
      <c r="F289" t="inlineStr">
        <is>
          <t>GÄVLEBORGS LÄN</t>
        </is>
      </c>
      <c r="G289" t="inlineStr">
        <is>
          <t>NORDANSTIG</t>
        </is>
      </c>
      <c r="I289" t="n">
        <v>0.8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s="2" t="inlineStr"/>
    </row>
    <row r="290" ht="15" customHeight="1">
      <c r="A290" t="inlineStr">
        <is>
          <t>A 46027-2025</t>
        </is>
      </c>
      <c r="B290" t="inlineStr">
        <is>
          <t>avverkningsanmälan</t>
        </is>
      </c>
      <c r="C290" t="inlineStr">
        <is>
          <t>Föryngringsavverkning</t>
        </is>
      </c>
      <c r="D290" s="1" t="n">
        <v>45924</v>
      </c>
      <c r="E290" s="1" t="n">
        <v>46309</v>
      </c>
      <c r="F290" t="inlineStr">
        <is>
          <t>GÄVLEBORGS LÄN</t>
        </is>
      </c>
      <c r="G290" t="inlineStr">
        <is>
          <t>NORDANSTIG</t>
        </is>
      </c>
      <c r="H290" t="inlineStr">
        <is>
          <t>Holmen skog AB</t>
        </is>
      </c>
      <c r="I290" t="n">
        <v>1.7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s="2" t="inlineStr"/>
    </row>
    <row r="291" ht="15" customHeight="1">
      <c r="A291" t="inlineStr">
        <is>
          <t>A 31031-2025</t>
        </is>
      </c>
      <c r="B291" t="inlineStr">
        <is>
          <t>avverkningsanmälan</t>
        </is>
      </c>
      <c r="C291" t="inlineStr">
        <is>
          <t>Föryngringsavverkning</t>
        </is>
      </c>
      <c r="D291" s="1" t="n">
        <v>45832</v>
      </c>
      <c r="E291" s="1" t="n">
        <v>46309</v>
      </c>
      <c r="F291" t="inlineStr">
        <is>
          <t>GÄVLEBORGS LÄN</t>
        </is>
      </c>
      <c r="G291" t="inlineStr">
        <is>
          <t>NORDANSTIG</t>
        </is>
      </c>
      <c r="H291" t="inlineStr">
        <is>
          <t>Holmen skog AB</t>
        </is>
      </c>
      <c r="I291" t="n">
        <v>2.1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s="2" t="inlineStr"/>
    </row>
    <row r="292" ht="15" customHeight="1">
      <c r="A292" t="inlineStr">
        <is>
          <t>A 31197-2025</t>
        </is>
      </c>
      <c r="B292" t="inlineStr">
        <is>
          <t>avverkningsanmälan</t>
        </is>
      </c>
      <c r="C292" t="inlineStr">
        <is>
          <t>Föryngringsavverkning</t>
        </is>
      </c>
      <c r="D292" s="1" t="n">
        <v>45832</v>
      </c>
      <c r="E292" s="1" t="n">
        <v>46309</v>
      </c>
      <c r="F292" t="inlineStr">
        <is>
          <t>GÄVLEBORGS LÄN</t>
        </is>
      </c>
      <c r="G292" t="inlineStr">
        <is>
          <t>NORDANSTIG</t>
        </is>
      </c>
      <c r="H292" t="inlineStr">
        <is>
          <t>Holmen skog AB</t>
        </is>
      </c>
      <c r="I292" t="n">
        <v>1.9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s="2" t="inlineStr"/>
    </row>
    <row r="293" ht="15" customHeight="1">
      <c r="A293" t="inlineStr">
        <is>
          <t>A 2837-2026</t>
        </is>
      </c>
      <c r="B293" t="inlineStr">
        <is>
          <t>avverkningsanmälan</t>
        </is>
      </c>
      <c r="C293" t="inlineStr">
        <is>
          <t>Föryngringsavverkning</t>
        </is>
      </c>
      <c r="D293" s="1" t="n">
        <v>46038</v>
      </c>
      <c r="E293" s="1" t="n">
        <v>46309</v>
      </c>
      <c r="F293" t="inlineStr">
        <is>
          <t>GÄVLEBORGS LÄN</t>
        </is>
      </c>
      <c r="G293" t="inlineStr">
        <is>
          <t>NORDANSTIG</t>
        </is>
      </c>
      <c r="I293" t="n">
        <v>21.1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s="2" t="inlineStr"/>
    </row>
    <row r="294" ht="15" customHeight="1">
      <c r="A294" t="inlineStr">
        <is>
          <t>A 2506-2026</t>
        </is>
      </c>
      <c r="B294" t="inlineStr">
        <is>
          <t>avverkningsanmälan</t>
        </is>
      </c>
      <c r="C294" t="inlineStr">
        <is>
          <t>Föryngringsavverkning</t>
        </is>
      </c>
      <c r="D294" s="1" t="n">
        <v>46037</v>
      </c>
      <c r="E294" s="1" t="n">
        <v>46309</v>
      </c>
      <c r="F294" t="inlineStr">
        <is>
          <t>GÄVLEBORGS LÄN</t>
        </is>
      </c>
      <c r="G294" t="inlineStr">
        <is>
          <t>NORDANSTIG</t>
        </is>
      </c>
      <c r="I294" t="n">
        <v>5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s="2" t="inlineStr"/>
    </row>
    <row r="295" ht="15" customHeight="1">
      <c r="A295" t="inlineStr">
        <is>
          <t>A 46262-2025</t>
        </is>
      </c>
      <c r="B295" t="inlineStr">
        <is>
          <t>avverkningsanmälan</t>
        </is>
      </c>
      <c r="C295" t="inlineStr">
        <is>
          <t>Föryngringsavverkning</t>
        </is>
      </c>
      <c r="D295" s="1" t="n">
        <v>45925</v>
      </c>
      <c r="E295" s="1" t="n">
        <v>46309</v>
      </c>
      <c r="F295" t="inlineStr">
        <is>
          <t>GÄVLEBORGS LÄN</t>
        </is>
      </c>
      <c r="G295" t="inlineStr">
        <is>
          <t>NORDANSTIG</t>
        </is>
      </c>
      <c r="I295" t="n">
        <v>1.6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s="2" t="inlineStr"/>
    </row>
    <row r="296" ht="15" customHeight="1">
      <c r="A296" t="inlineStr">
        <is>
          <t>A 884-2024</t>
        </is>
      </c>
      <c r="B296" t="inlineStr">
        <is>
          <t>avverkningsanmälan</t>
        </is>
      </c>
      <c r="C296" t="inlineStr">
        <is>
          <t>Föryngringsavverkning</t>
        </is>
      </c>
      <c r="D296" s="1" t="n">
        <v>45301</v>
      </c>
      <c r="E296" s="1" t="n">
        <v>46309</v>
      </c>
      <c r="F296" t="inlineStr">
        <is>
          <t>GÄVLEBORGS LÄN</t>
        </is>
      </c>
      <c r="G296" t="inlineStr">
        <is>
          <t>NORDANSTIG</t>
        </is>
      </c>
      <c r="I296" t="n">
        <v>3.1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s="2" t="inlineStr"/>
    </row>
    <row r="297" ht="15" customHeight="1">
      <c r="A297" t="inlineStr">
        <is>
          <t>A 43539-2023</t>
        </is>
      </c>
      <c r="B297" t="inlineStr">
        <is>
          <t>avverkningsanmälan</t>
        </is>
      </c>
      <c r="C297" t="inlineStr">
        <is>
          <t>Föryngringsavverkning</t>
        </is>
      </c>
      <c r="D297" s="1" t="n">
        <v>45184</v>
      </c>
      <c r="E297" s="1" t="n">
        <v>46309</v>
      </c>
      <c r="F297" t="inlineStr">
        <is>
          <t>GÄVLEBORGS LÄN</t>
        </is>
      </c>
      <c r="G297" t="inlineStr">
        <is>
          <t>NORDANSTIG</t>
        </is>
      </c>
      <c r="I297" t="n">
        <v>3.9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s="2" t="inlineStr"/>
    </row>
    <row r="298" ht="15" customHeight="1">
      <c r="A298" t="inlineStr">
        <is>
          <t>A 2575-2026</t>
        </is>
      </c>
      <c r="B298" t="inlineStr">
        <is>
          <t>avverkningsanmälan</t>
        </is>
      </c>
      <c r="C298" t="inlineStr">
        <is>
          <t>Föryngringsavverkning</t>
        </is>
      </c>
      <c r="D298" s="1" t="n">
        <v>46037</v>
      </c>
      <c r="E298" s="1" t="n">
        <v>46309</v>
      </c>
      <c r="F298" t="inlineStr">
        <is>
          <t>GÄVLEBORGS LÄN</t>
        </is>
      </c>
      <c r="G298" t="inlineStr">
        <is>
          <t>NORDANSTIG</t>
        </is>
      </c>
      <c r="I298" t="n">
        <v>3.1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s="2" t="inlineStr"/>
    </row>
    <row r="299" ht="15" customHeight="1">
      <c r="A299" t="inlineStr">
        <is>
          <t>A 15973-2022</t>
        </is>
      </c>
      <c r="B299" t="inlineStr">
        <is>
          <t>avverkningsanmälan</t>
        </is>
      </c>
      <c r="C299" t="inlineStr">
        <is>
          <t>Föryngringsavverkning</t>
        </is>
      </c>
      <c r="D299" s="1" t="n">
        <v>44664</v>
      </c>
      <c r="E299" s="1" t="n">
        <v>46309</v>
      </c>
      <c r="F299" t="inlineStr">
        <is>
          <t>GÄVLEBORGS LÄN</t>
        </is>
      </c>
      <c r="G299" t="inlineStr">
        <is>
          <t>NORDANSTIG</t>
        </is>
      </c>
      <c r="H299" t="inlineStr">
        <is>
          <t>SCA</t>
        </is>
      </c>
      <c r="I299" t="n">
        <v>3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s="2" t="inlineStr"/>
    </row>
    <row r="300" ht="15" customHeight="1">
      <c r="A300" t="inlineStr">
        <is>
          <t>A 32092-2025</t>
        </is>
      </c>
      <c r="B300" t="inlineStr">
        <is>
          <t>avverkningsanmälan</t>
        </is>
      </c>
      <c r="C300" t="inlineStr">
        <is>
          <t>Föryngringsavverkning</t>
        </is>
      </c>
      <c r="D300" s="1" t="n">
        <v>45835</v>
      </c>
      <c r="E300" s="1" t="n">
        <v>46309</v>
      </c>
      <c r="F300" t="inlineStr">
        <is>
          <t>GÄVLEBORGS LÄN</t>
        </is>
      </c>
      <c r="G300" t="inlineStr">
        <is>
          <t>NORDANSTIG</t>
        </is>
      </c>
      <c r="H300" t="inlineStr">
        <is>
          <t>Holmen skog AB</t>
        </is>
      </c>
      <c r="I300" t="n">
        <v>6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s="2" t="inlineStr"/>
    </row>
    <row r="301" ht="15" customHeight="1">
      <c r="A301" t="inlineStr">
        <is>
          <t>A 32105-2025</t>
        </is>
      </c>
      <c r="B301" t="inlineStr">
        <is>
          <t>avverkningsanmälan</t>
        </is>
      </c>
      <c r="C301" t="inlineStr">
        <is>
          <t>Föryngringsavverkning</t>
        </is>
      </c>
      <c r="D301" s="1" t="n">
        <v>45835</v>
      </c>
      <c r="E301" s="1" t="n">
        <v>46309</v>
      </c>
      <c r="F301" t="inlineStr">
        <is>
          <t>GÄVLEBORGS LÄN</t>
        </is>
      </c>
      <c r="G301" t="inlineStr">
        <is>
          <t>NORDANSTIG</t>
        </is>
      </c>
      <c r="I301" t="n">
        <v>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s="2" t="inlineStr"/>
    </row>
    <row r="302" ht="15" customHeight="1">
      <c r="A302" t="inlineStr">
        <is>
          <t>A 32082-2025</t>
        </is>
      </c>
      <c r="B302" t="inlineStr">
        <is>
          <t>avverkningsanmälan</t>
        </is>
      </c>
      <c r="C302" t="inlineStr">
        <is>
          <t>Avverkning för annat ändamål</t>
        </is>
      </c>
      <c r="D302" s="1" t="n">
        <v>45835</v>
      </c>
      <c r="E302" s="1" t="n">
        <v>46309</v>
      </c>
      <c r="F302" t="inlineStr">
        <is>
          <t>GÄVLEBORGS LÄN</t>
        </is>
      </c>
      <c r="G302" t="inlineStr">
        <is>
          <t>NORDANSTIG</t>
        </is>
      </c>
      <c r="I302" t="n">
        <v>3.2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s="2" t="inlineStr"/>
    </row>
    <row r="303" ht="15" customHeight="1">
      <c r="A303" t="inlineStr">
        <is>
          <t>A 43652-2025</t>
        </is>
      </c>
      <c r="B303" t="inlineStr">
        <is>
          <t>avverkningsanmälan</t>
        </is>
      </c>
      <c r="C303" t="inlineStr">
        <is>
          <t>Föryngringsavverkning</t>
        </is>
      </c>
      <c r="D303" s="1" t="n">
        <v>45912</v>
      </c>
      <c r="E303" s="1" t="n">
        <v>46309</v>
      </c>
      <c r="F303" t="inlineStr">
        <is>
          <t>GÄVLEBORGS LÄN</t>
        </is>
      </c>
      <c r="G303" t="inlineStr">
        <is>
          <t>NORDANSTIG</t>
        </is>
      </c>
      <c r="H303" t="inlineStr">
        <is>
          <t>Holmen skog AB</t>
        </is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s="2" t="inlineStr"/>
    </row>
    <row r="304" ht="15" customHeight="1">
      <c r="A304" t="inlineStr">
        <is>
          <t>A 33097-2025</t>
        </is>
      </c>
      <c r="B304" t="inlineStr">
        <is>
          <t>avverkningsanmälan</t>
        </is>
      </c>
      <c r="C304" t="inlineStr">
        <is>
          <t>Föryngringsavverkning</t>
        </is>
      </c>
      <c r="D304" s="1" t="n">
        <v>45840</v>
      </c>
      <c r="E304" s="1" t="n">
        <v>46309</v>
      </c>
      <c r="F304" t="inlineStr">
        <is>
          <t>GÄVLEBORGS LÄN</t>
        </is>
      </c>
      <c r="G304" t="inlineStr">
        <is>
          <t>NORDANSTIG</t>
        </is>
      </c>
      <c r="H304" t="inlineStr">
        <is>
          <t>Holmen skog AB</t>
        </is>
      </c>
      <c r="I304" t="n">
        <v>2.1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s="2" t="inlineStr"/>
    </row>
    <row r="305" ht="15" customHeight="1">
      <c r="A305" t="inlineStr">
        <is>
          <t>A 2705-2026</t>
        </is>
      </c>
      <c r="B305" t="inlineStr">
        <is>
          <t>avverkningsanmälan</t>
        </is>
      </c>
      <c r="C305" t="inlineStr">
        <is>
          <t>Föryngringsavverkning</t>
        </is>
      </c>
      <c r="D305" s="1" t="n">
        <v>46037</v>
      </c>
      <c r="E305" s="1" t="n">
        <v>46309</v>
      </c>
      <c r="F305" t="inlineStr">
        <is>
          <t>GÄVLEBORGS LÄN</t>
        </is>
      </c>
      <c r="G305" t="inlineStr">
        <is>
          <t>NORDANSTIG</t>
        </is>
      </c>
      <c r="I305" t="n">
        <v>9.300000000000001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s="2" t="inlineStr"/>
    </row>
    <row r="306" ht="15" customHeight="1">
      <c r="A306" t="inlineStr">
        <is>
          <t>A 47544-2025</t>
        </is>
      </c>
      <c r="B306" t="inlineStr">
        <is>
          <t>avverkningsanmälan</t>
        </is>
      </c>
      <c r="C306" t="inlineStr">
        <is>
          <t>Föryngringsavverkning</t>
        </is>
      </c>
      <c r="D306" s="1" t="n">
        <v>45931</v>
      </c>
      <c r="E306" s="1" t="n">
        <v>46309</v>
      </c>
      <c r="F306" t="inlineStr">
        <is>
          <t>GÄVLEBORGS LÄN</t>
        </is>
      </c>
      <c r="G306" t="inlineStr">
        <is>
          <t>NORDANSTIG</t>
        </is>
      </c>
      <c r="I306" t="n">
        <v>1.9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s="2" t="inlineStr"/>
    </row>
    <row r="307" ht="15" customHeight="1">
      <c r="A307" t="inlineStr">
        <is>
          <t>A 60839-2023</t>
        </is>
      </c>
      <c r="B307" t="inlineStr">
        <is>
          <t>avverkningsanmälan</t>
        </is>
      </c>
      <c r="C307" t="inlineStr">
        <is>
          <t>Föryngringsavverkning</t>
        </is>
      </c>
      <c r="D307" s="1" t="n">
        <v>45260</v>
      </c>
      <c r="E307" s="1" t="n">
        <v>46309</v>
      </c>
      <c r="F307" t="inlineStr">
        <is>
          <t>GÄVLEBORGS LÄN</t>
        </is>
      </c>
      <c r="G307" t="inlineStr">
        <is>
          <t>NORDANSTIG</t>
        </is>
      </c>
      <c r="I307" t="n">
        <v>3.7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s="2" t="inlineStr"/>
    </row>
    <row r="308" ht="15" customHeight="1">
      <c r="A308" t="inlineStr">
        <is>
          <t>A 40104-2024</t>
        </is>
      </c>
      <c r="B308" t="inlineStr">
        <is>
          <t>avverkningsanmälan</t>
        </is>
      </c>
      <c r="C308" t="inlineStr">
        <is>
          <t>Avverkning för annat ändamål</t>
        </is>
      </c>
      <c r="D308" s="1" t="n">
        <v>45554</v>
      </c>
      <c r="E308" s="1" t="n">
        <v>46309</v>
      </c>
      <c r="F308" t="inlineStr">
        <is>
          <t>GÄVLEBORGS LÄN</t>
        </is>
      </c>
      <c r="G308" t="inlineStr">
        <is>
          <t>NORDANSTIG</t>
        </is>
      </c>
      <c r="I308" t="n">
        <v>0.8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s="2" t="inlineStr"/>
    </row>
    <row r="309" ht="15" customHeight="1">
      <c r="A309" t="inlineStr">
        <is>
          <t>A 32736-2025</t>
        </is>
      </c>
      <c r="B309" t="inlineStr">
        <is>
          <t>avverkningsanmälan</t>
        </is>
      </c>
      <c r="C309" t="inlineStr">
        <is>
          <t>Föryngringsavverkning</t>
        </is>
      </c>
      <c r="D309" s="1" t="n">
        <v>45839</v>
      </c>
      <c r="E309" s="1" t="n">
        <v>46309</v>
      </c>
      <c r="F309" t="inlineStr">
        <is>
          <t>GÄVLEBORGS LÄN</t>
        </is>
      </c>
      <c r="G309" t="inlineStr">
        <is>
          <t>NORDANSTIG</t>
        </is>
      </c>
      <c r="H309" t="inlineStr">
        <is>
          <t>Holmen skog AB</t>
        </is>
      </c>
      <c r="I309" t="n">
        <v>2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s="2" t="inlineStr"/>
    </row>
    <row r="310" ht="15" customHeight="1">
      <c r="A310" t="inlineStr">
        <is>
          <t>A 47790-2025</t>
        </is>
      </c>
      <c r="B310" t="inlineStr">
        <is>
          <t>avverkningsanmälan</t>
        </is>
      </c>
      <c r="C310" t="inlineStr">
        <is>
          <t>Föryngringsavverkning</t>
        </is>
      </c>
      <c r="D310" s="1" t="n">
        <v>45931</v>
      </c>
      <c r="E310" s="1" t="n">
        <v>46309</v>
      </c>
      <c r="F310" t="inlineStr">
        <is>
          <t>GÄVLEBORGS LÄN</t>
        </is>
      </c>
      <c r="G310" t="inlineStr">
        <is>
          <t>NORDANSTIG</t>
        </is>
      </c>
      <c r="I310" t="n">
        <v>2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s="2" t="inlineStr"/>
    </row>
    <row r="311" ht="15" customHeight="1">
      <c r="A311" t="inlineStr">
        <is>
          <t>A 33355-2025</t>
        </is>
      </c>
      <c r="B311" t="inlineStr">
        <is>
          <t>avverkningsanmälan</t>
        </is>
      </c>
      <c r="C311" t="inlineStr">
        <is>
          <t>Föryngringsavverkning</t>
        </is>
      </c>
      <c r="D311" s="1" t="n">
        <v>45841</v>
      </c>
      <c r="E311" s="1" t="n">
        <v>46309</v>
      </c>
      <c r="F311" t="inlineStr">
        <is>
          <t>GÄVLEBORGS LÄN</t>
        </is>
      </c>
      <c r="G311" t="inlineStr">
        <is>
          <t>NORDANSTIG</t>
        </is>
      </c>
      <c r="H311" t="inlineStr">
        <is>
          <t>Holmen skog AB</t>
        </is>
      </c>
      <c r="I311" t="n">
        <v>34.6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s="2" t="inlineStr"/>
    </row>
    <row r="312" ht="15" customHeight="1">
      <c r="A312" t="inlineStr">
        <is>
          <t>A 33339-2025</t>
        </is>
      </c>
      <c r="B312" t="inlineStr">
        <is>
          <t>avverkningsanmälan</t>
        </is>
      </c>
      <c r="C312" t="inlineStr">
        <is>
          <t>Föryngringsavverkning</t>
        </is>
      </c>
      <c r="D312" s="1" t="n">
        <v>45841</v>
      </c>
      <c r="E312" s="1" t="n">
        <v>46309</v>
      </c>
      <c r="F312" t="inlineStr">
        <is>
          <t>GÄVLEBORGS LÄN</t>
        </is>
      </c>
      <c r="G312" t="inlineStr">
        <is>
          <t>NORDANSTIG</t>
        </is>
      </c>
      <c r="H312" t="inlineStr">
        <is>
          <t>Holmen skog AB</t>
        </is>
      </c>
      <c r="I312" t="n">
        <v>2.2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s="2" t="inlineStr"/>
    </row>
    <row r="313" ht="15" customHeight="1">
      <c r="A313" t="inlineStr">
        <is>
          <t>A 33532-2025</t>
        </is>
      </c>
      <c r="B313" t="inlineStr">
        <is>
          <t>avverkningsanmälan</t>
        </is>
      </c>
      <c r="C313" t="inlineStr">
        <is>
          <t>Föryngringsavverkning</t>
        </is>
      </c>
      <c r="D313" s="1" t="n">
        <v>45841</v>
      </c>
      <c r="E313" s="1" t="n">
        <v>46309</v>
      </c>
      <c r="F313" t="inlineStr">
        <is>
          <t>GÄVLEBORGS LÄN</t>
        </is>
      </c>
      <c r="G313" t="inlineStr">
        <is>
          <t>NORDANSTIG</t>
        </is>
      </c>
      <c r="H313" t="inlineStr">
        <is>
          <t>Holmen skog AB</t>
        </is>
      </c>
      <c r="I313" t="n">
        <v>4.8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s="2" t="inlineStr"/>
    </row>
    <row r="314" ht="15" customHeight="1">
      <c r="A314" t="inlineStr">
        <is>
          <t>A 48566-2025</t>
        </is>
      </c>
      <c r="B314" t="inlineStr">
        <is>
          <t>avverkningsanmälan</t>
        </is>
      </c>
      <c r="C314" t="inlineStr">
        <is>
          <t>Föryngringsavverkning</t>
        </is>
      </c>
      <c r="D314" s="1" t="n">
        <v>45936</v>
      </c>
      <c r="E314" s="1" t="n">
        <v>46309</v>
      </c>
      <c r="F314" t="inlineStr">
        <is>
          <t>GÄVLEBORGS LÄN</t>
        </is>
      </c>
      <c r="G314" t="inlineStr">
        <is>
          <t>NORDANSTIG</t>
        </is>
      </c>
      <c r="I314" t="n">
        <v>9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s="2" t="inlineStr"/>
    </row>
    <row r="315" ht="15" customHeight="1">
      <c r="A315" t="inlineStr">
        <is>
          <t>A 48715-2025</t>
        </is>
      </c>
      <c r="B315" t="inlineStr">
        <is>
          <t>avverkningsanmälan</t>
        </is>
      </c>
      <c r="C315" t="inlineStr">
        <is>
          <t>Föryngringsavverkning</t>
        </is>
      </c>
      <c r="D315" s="1" t="n">
        <v>45936</v>
      </c>
      <c r="E315" s="1" t="n">
        <v>46309</v>
      </c>
      <c r="F315" t="inlineStr">
        <is>
          <t>GÄVLEBORGS LÄN</t>
        </is>
      </c>
      <c r="G315" t="inlineStr">
        <is>
          <t>NORDANSTIG</t>
        </is>
      </c>
      <c r="H315" t="inlineStr">
        <is>
          <t>Holmen skog AB</t>
        </is>
      </c>
      <c r="I315" t="n">
        <v>1.9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s="2" t="inlineStr"/>
    </row>
    <row r="316" ht="15" customHeight="1">
      <c r="A316" t="inlineStr">
        <is>
          <t>A 48724-2025</t>
        </is>
      </c>
      <c r="B316" t="inlineStr">
        <is>
          <t>avverkningsanmälan</t>
        </is>
      </c>
      <c r="C316" t="inlineStr">
        <is>
          <t>Föryngringsavverkning</t>
        </is>
      </c>
      <c r="D316" s="1" t="n">
        <v>45936</v>
      </c>
      <c r="E316" s="1" t="n">
        <v>46309</v>
      </c>
      <c r="F316" t="inlineStr">
        <is>
          <t>GÄVLEBORGS LÄN</t>
        </is>
      </c>
      <c r="G316" t="inlineStr">
        <is>
          <t>NORDANSTIG</t>
        </is>
      </c>
      <c r="I316" t="n">
        <v>1.3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s="2" t="inlineStr"/>
    </row>
    <row r="317" ht="15" customHeight="1">
      <c r="A317" t="inlineStr">
        <is>
          <t>A 2843-2026</t>
        </is>
      </c>
      <c r="B317" t="inlineStr">
        <is>
          <t>avverkningsanmälan</t>
        </is>
      </c>
      <c r="C317" t="inlineStr">
        <is>
          <t>Föryngringsavverkning</t>
        </is>
      </c>
      <c r="D317" s="1" t="n">
        <v>46038</v>
      </c>
      <c r="E317" s="1" t="n">
        <v>46309</v>
      </c>
      <c r="F317" t="inlineStr">
        <is>
          <t>GÄVLEBORGS LÄN</t>
        </is>
      </c>
      <c r="G317" t="inlineStr">
        <is>
          <t>NORDANSTIG</t>
        </is>
      </c>
      <c r="I317" t="n">
        <v>1.5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s="2" t="inlineStr"/>
    </row>
    <row r="318" ht="15" customHeight="1">
      <c r="A318" t="inlineStr">
        <is>
          <t>A 25273-2024</t>
        </is>
      </c>
      <c r="B318" t="inlineStr">
        <is>
          <t>avverkningsanmälan</t>
        </is>
      </c>
      <c r="C318" t="inlineStr">
        <is>
          <t>Föryngringsavverkning</t>
        </is>
      </c>
      <c r="D318" s="1" t="n">
        <v>45462</v>
      </c>
      <c r="E318" s="1" t="n">
        <v>46309</v>
      </c>
      <c r="F318" t="inlineStr">
        <is>
          <t>GÄVLEBORGS LÄN</t>
        </is>
      </c>
      <c r="G318" t="inlineStr">
        <is>
          <t>NORDANSTIG</t>
        </is>
      </c>
      <c r="I318" t="n">
        <v>1.3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s="2" t="inlineStr"/>
    </row>
    <row r="319" ht="15" customHeight="1">
      <c r="A319" t="inlineStr">
        <is>
          <t>A 34311-2025</t>
        </is>
      </c>
      <c r="B319" t="inlineStr">
        <is>
          <t>avverkningsanmälan</t>
        </is>
      </c>
      <c r="C319" t="inlineStr">
        <is>
          <t>Föryngringsavverkning</t>
        </is>
      </c>
      <c r="D319" s="1" t="n">
        <v>45846</v>
      </c>
      <c r="E319" s="1" t="n">
        <v>46309</v>
      </c>
      <c r="F319" t="inlineStr">
        <is>
          <t>GÄVLEBORGS LÄN</t>
        </is>
      </c>
      <c r="G319" t="inlineStr">
        <is>
          <t>NORDANSTIG</t>
        </is>
      </c>
      <c r="H319" t="inlineStr">
        <is>
          <t>Holmen skog AB</t>
        </is>
      </c>
      <c r="I319" t="n">
        <v>1.9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s="2" t="inlineStr"/>
    </row>
    <row r="320" ht="15" customHeight="1">
      <c r="A320" t="inlineStr">
        <is>
          <t>A 34342-2025</t>
        </is>
      </c>
      <c r="B320" t="inlineStr">
        <is>
          <t>avverkningsanmälan</t>
        </is>
      </c>
      <c r="C320" t="inlineStr">
        <is>
          <t>Föryngringsavverkning</t>
        </is>
      </c>
      <c r="D320" s="1" t="n">
        <v>45846</v>
      </c>
      <c r="E320" s="1" t="n">
        <v>46309</v>
      </c>
      <c r="F320" t="inlineStr">
        <is>
          <t>GÄVLEBORGS LÄN</t>
        </is>
      </c>
      <c r="G320" t="inlineStr">
        <is>
          <t>NORDANSTIG</t>
        </is>
      </c>
      <c r="H320" t="inlineStr">
        <is>
          <t>Holmen skog AB</t>
        </is>
      </c>
      <c r="I320" t="n">
        <v>2.2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s="2" t="inlineStr"/>
    </row>
    <row r="321" ht="15" customHeight="1">
      <c r="A321" t="inlineStr">
        <is>
          <t>A 48677-2025</t>
        </is>
      </c>
      <c r="B321" t="inlineStr">
        <is>
          <t>avverkningsanmälan</t>
        </is>
      </c>
      <c r="C321" t="inlineStr">
        <is>
          <t>Föryngringsavverkning</t>
        </is>
      </c>
      <c r="D321" s="1" t="n">
        <v>45936</v>
      </c>
      <c r="E321" s="1" t="n">
        <v>46309</v>
      </c>
      <c r="F321" t="inlineStr">
        <is>
          <t>GÄVLEBORGS LÄN</t>
        </is>
      </c>
      <c r="G321" t="inlineStr">
        <is>
          <t>NORDANSTIG</t>
        </is>
      </c>
      <c r="I321" t="n">
        <v>0.6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s="2" t="inlineStr"/>
    </row>
    <row r="322" ht="15" customHeight="1">
      <c r="A322" t="inlineStr">
        <is>
          <t>A 15622-2025</t>
        </is>
      </c>
      <c r="B322" t="inlineStr">
        <is>
          <t>avverkningsanmälan</t>
        </is>
      </c>
      <c r="C322" t="inlineStr">
        <is>
          <t>Föryngringsavverkning</t>
        </is>
      </c>
      <c r="D322" s="1" t="n">
        <v>45748</v>
      </c>
      <c r="E322" s="1" t="n">
        <v>46309</v>
      </c>
      <c r="F322" t="inlineStr">
        <is>
          <t>GÄVLEBORGS LÄN</t>
        </is>
      </c>
      <c r="G322" t="inlineStr">
        <is>
          <t>NORDANSTIG</t>
        </is>
      </c>
      <c r="H322" t="inlineStr">
        <is>
          <t>Holmen skog AB</t>
        </is>
      </c>
      <c r="I322" t="n">
        <v>1.7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s="2" t="inlineStr"/>
    </row>
    <row r="323" ht="15" customHeight="1">
      <c r="A323" t="inlineStr">
        <is>
          <t>A 45550-2024</t>
        </is>
      </c>
      <c r="B323" t="inlineStr">
        <is>
          <t>avverkningsanmälan</t>
        </is>
      </c>
      <c r="C323" t="inlineStr">
        <is>
          <t>Föryngringsavverkning</t>
        </is>
      </c>
      <c r="D323" s="1" t="n">
        <v>45579</v>
      </c>
      <c r="E323" s="1" t="n">
        <v>46309</v>
      </c>
      <c r="F323" t="inlineStr">
        <is>
          <t>GÄVLEBORGS LÄN</t>
        </is>
      </c>
      <c r="G323" t="inlineStr">
        <is>
          <t>NORDANSTIG</t>
        </is>
      </c>
      <c r="I323" t="n">
        <v>2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s="2" t="inlineStr"/>
    </row>
    <row r="324" ht="15" customHeight="1">
      <c r="A324" t="inlineStr">
        <is>
          <t>A 1873-2025</t>
        </is>
      </c>
      <c r="B324" t="inlineStr">
        <is>
          <t>avverkningsanmälan</t>
        </is>
      </c>
      <c r="C324" t="inlineStr">
        <is>
          <t>Föryngringsavverkning</t>
        </is>
      </c>
      <c r="D324" s="1" t="n">
        <v>45671</v>
      </c>
      <c r="E324" s="1" t="n">
        <v>46309</v>
      </c>
      <c r="F324" t="inlineStr">
        <is>
          <t>GÄVLEBORGS LÄN</t>
        </is>
      </c>
      <c r="G324" t="inlineStr">
        <is>
          <t>NORDANSTIG</t>
        </is>
      </c>
      <c r="H324" t="inlineStr">
        <is>
          <t>Holmen skog AB</t>
        </is>
      </c>
      <c r="I324" t="n">
        <v>9.199999999999999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s="2" t="inlineStr"/>
    </row>
    <row r="325" ht="15" customHeight="1">
      <c r="A325" t="inlineStr">
        <is>
          <t>A 48916-2025</t>
        </is>
      </c>
      <c r="B325" t="inlineStr">
        <is>
          <t>avverkningsanmälan</t>
        </is>
      </c>
      <c r="C325" t="inlineStr">
        <is>
          <t>Föryngringsavverkning</t>
        </is>
      </c>
      <c r="D325" s="1" t="n">
        <v>45937</v>
      </c>
      <c r="E325" s="1" t="n">
        <v>46309</v>
      </c>
      <c r="F325" t="inlineStr">
        <is>
          <t>GÄVLEBORGS LÄN</t>
        </is>
      </c>
      <c r="G325" t="inlineStr">
        <is>
          <t>NORDANSTIG</t>
        </is>
      </c>
      <c r="I325" t="n">
        <v>1.1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s="2" t="inlineStr"/>
    </row>
    <row r="326" ht="15" customHeight="1">
      <c r="A326" t="inlineStr">
        <is>
          <t>A 34728-2025</t>
        </is>
      </c>
      <c r="B326" t="inlineStr">
        <is>
          <t>avverkningsanmälan</t>
        </is>
      </c>
      <c r="C326" t="inlineStr">
        <is>
          <t>Föryngringsavverkning</t>
        </is>
      </c>
      <c r="D326" s="1" t="n">
        <v>45848</v>
      </c>
      <c r="E326" s="1" t="n">
        <v>46309</v>
      </c>
      <c r="F326" t="inlineStr">
        <is>
          <t>GÄVLEBORGS LÄN</t>
        </is>
      </c>
      <c r="G326" t="inlineStr">
        <is>
          <t>NORDANSTIG</t>
        </is>
      </c>
      <c r="H326" t="inlineStr">
        <is>
          <t>Holmen skog AB</t>
        </is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s="2" t="inlineStr"/>
    </row>
    <row r="327" ht="15" customHeight="1">
      <c r="A327" t="inlineStr">
        <is>
          <t>A 34788-2025</t>
        </is>
      </c>
      <c r="B327" t="inlineStr">
        <is>
          <t>avverkningsanmälan</t>
        </is>
      </c>
      <c r="C327" t="inlineStr">
        <is>
          <t>Föryngringsavverkning</t>
        </is>
      </c>
      <c r="D327" s="1" t="n">
        <v>45848</v>
      </c>
      <c r="E327" s="1" t="n">
        <v>46309</v>
      </c>
      <c r="F327" t="inlineStr">
        <is>
          <t>GÄVLEBORGS LÄN</t>
        </is>
      </c>
      <c r="G327" t="inlineStr">
        <is>
          <t>NORDANSTIG</t>
        </is>
      </c>
      <c r="I327" t="n">
        <v>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s="2" t="inlineStr"/>
    </row>
    <row r="328" ht="15" customHeight="1">
      <c r="A328" t="inlineStr">
        <is>
          <t>A 48832-2025</t>
        </is>
      </c>
      <c r="B328" t="inlineStr">
        <is>
          <t>avverkningsanmälan</t>
        </is>
      </c>
      <c r="C328" t="inlineStr">
        <is>
          <t>Föryngringsavverkning</t>
        </is>
      </c>
      <c r="D328" s="1" t="n">
        <v>45937</v>
      </c>
      <c r="E328" s="1" t="n">
        <v>46309</v>
      </c>
      <c r="F328" t="inlineStr">
        <is>
          <t>GÄVLEBORGS LÄN</t>
        </is>
      </c>
      <c r="G328" t="inlineStr">
        <is>
          <t>NORDANSTIG</t>
        </is>
      </c>
      <c r="I328" t="n">
        <v>1.1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s="2" t="inlineStr"/>
    </row>
    <row r="329" ht="15" customHeight="1">
      <c r="A329" t="inlineStr">
        <is>
          <t>A 34694-2025</t>
        </is>
      </c>
      <c r="B329" t="inlineStr">
        <is>
          <t>avverkningsanmälan</t>
        </is>
      </c>
      <c r="C329" t="inlineStr">
        <is>
          <t>Föryngringsavverkning</t>
        </is>
      </c>
      <c r="D329" s="1" t="n">
        <v>45848</v>
      </c>
      <c r="E329" s="1" t="n">
        <v>46309</v>
      </c>
      <c r="F329" t="inlineStr">
        <is>
          <t>GÄVLEBORGS LÄN</t>
        </is>
      </c>
      <c r="G329" t="inlineStr">
        <is>
          <t>NORDANSTIG</t>
        </is>
      </c>
      <c r="H329" t="inlineStr">
        <is>
          <t>Holmen skog AB</t>
        </is>
      </c>
      <c r="I329" t="n">
        <v>6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s="2" t="inlineStr"/>
    </row>
    <row r="330" ht="15" customHeight="1">
      <c r="A330" t="inlineStr">
        <is>
          <t>A 4556-2025</t>
        </is>
      </c>
      <c r="B330" t="inlineStr">
        <is>
          <t>avverkningsanmälan</t>
        </is>
      </c>
      <c r="C330" t="inlineStr">
        <is>
          <t>Föryngringsavverkning</t>
        </is>
      </c>
      <c r="D330" s="1" t="n">
        <v>45687</v>
      </c>
      <c r="E330" s="1" t="n">
        <v>46309</v>
      </c>
      <c r="F330" t="inlineStr">
        <is>
          <t>GÄVLEBORGS LÄN</t>
        </is>
      </c>
      <c r="G330" t="inlineStr">
        <is>
          <t>NORDANSTIG</t>
        </is>
      </c>
      <c r="I330" t="n">
        <v>1.5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s="2" t="inlineStr"/>
    </row>
    <row r="331" ht="15" customHeight="1">
      <c r="A331" t="inlineStr">
        <is>
          <t>A 49309-2025</t>
        </is>
      </c>
      <c r="B331" t="inlineStr">
        <is>
          <t>avverkningsanmälan</t>
        </is>
      </c>
      <c r="C331" t="inlineStr">
        <is>
          <t>Föryngringsavverkning</t>
        </is>
      </c>
      <c r="D331" s="1" t="n">
        <v>45938</v>
      </c>
      <c r="E331" s="1" t="n">
        <v>46309</v>
      </c>
      <c r="F331" t="inlineStr">
        <is>
          <t>GÄVLEBORGS LÄN</t>
        </is>
      </c>
      <c r="G331" t="inlineStr">
        <is>
          <t>NORDANSTIG</t>
        </is>
      </c>
      <c r="I331" t="n">
        <v>7.4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s="2" t="inlineStr"/>
    </row>
    <row r="332" ht="15" customHeight="1">
      <c r="A332" t="inlineStr">
        <is>
          <t>A 49334-2025</t>
        </is>
      </c>
      <c r="B332" t="inlineStr">
        <is>
          <t>avverkningsanmälan</t>
        </is>
      </c>
      <c r="C332" t="inlineStr">
        <is>
          <t>Föryngringsavverkning</t>
        </is>
      </c>
      <c r="D332" s="1" t="n">
        <v>45938</v>
      </c>
      <c r="E332" s="1" t="n">
        <v>46309</v>
      </c>
      <c r="F332" t="inlineStr">
        <is>
          <t>GÄVLEBORGS LÄN</t>
        </is>
      </c>
      <c r="G332" t="inlineStr">
        <is>
          <t>NORDANSTIG</t>
        </is>
      </c>
      <c r="I332" t="n">
        <v>0.8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s="2" t="inlineStr"/>
    </row>
    <row r="333" ht="15" customHeight="1">
      <c r="A333" t="inlineStr">
        <is>
          <t>A 49263-2025</t>
        </is>
      </c>
      <c r="B333" t="inlineStr">
        <is>
          <t>avverkningsanmälan</t>
        </is>
      </c>
      <c r="C333" t="inlineStr">
        <is>
          <t>Föryngringsavverkning</t>
        </is>
      </c>
      <c r="D333" s="1" t="n">
        <v>45938</v>
      </c>
      <c r="E333" s="1" t="n">
        <v>46309</v>
      </c>
      <c r="F333" t="inlineStr">
        <is>
          <t>GÄVLEBORGS LÄN</t>
        </is>
      </c>
      <c r="G333" t="inlineStr">
        <is>
          <t>NORDANSTIG</t>
        </is>
      </c>
      <c r="I333" t="n">
        <v>0.6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s="2" t="inlineStr"/>
    </row>
    <row r="334" ht="15" customHeight="1">
      <c r="A334" t="inlineStr">
        <is>
          <t>A 49287-2025</t>
        </is>
      </c>
      <c r="B334" t="inlineStr">
        <is>
          <t>avverkningsanmälan</t>
        </is>
      </c>
      <c r="C334" t="inlineStr">
        <is>
          <t>Föryngringsavverkning</t>
        </is>
      </c>
      <c r="D334" s="1" t="n">
        <v>45938</v>
      </c>
      <c r="E334" s="1" t="n">
        <v>46309</v>
      </c>
      <c r="F334" t="inlineStr">
        <is>
          <t>GÄVLEBORGS LÄN</t>
        </is>
      </c>
      <c r="G334" t="inlineStr">
        <is>
          <t>NORDANSTIG</t>
        </is>
      </c>
      <c r="I334" t="n">
        <v>0.5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s="2" t="inlineStr"/>
    </row>
    <row r="335" ht="15" customHeight="1">
      <c r="A335" t="inlineStr">
        <is>
          <t>A 49331-2025</t>
        </is>
      </c>
      <c r="B335" t="inlineStr">
        <is>
          <t>avverkningsanmälan</t>
        </is>
      </c>
      <c r="C335" t="inlineStr">
        <is>
          <t>Föryngringsavverkning</t>
        </is>
      </c>
      <c r="D335" s="1" t="n">
        <v>45938</v>
      </c>
      <c r="E335" s="1" t="n">
        <v>46309</v>
      </c>
      <c r="F335" t="inlineStr">
        <is>
          <t>GÄVLEBORGS LÄN</t>
        </is>
      </c>
      <c r="G335" t="inlineStr">
        <is>
          <t>NORDANSTIG</t>
        </is>
      </c>
      <c r="I335" t="n">
        <v>1.5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s="2" t="inlineStr"/>
    </row>
    <row r="336" ht="15" customHeight="1">
      <c r="A336" t="inlineStr">
        <is>
          <t>A 49268-2025</t>
        </is>
      </c>
      <c r="B336" t="inlineStr">
        <is>
          <t>avverkningsanmälan</t>
        </is>
      </c>
      <c r="C336" t="inlineStr">
        <is>
          <t>Föryngringsavverkning</t>
        </is>
      </c>
      <c r="D336" s="1" t="n">
        <v>45938</v>
      </c>
      <c r="E336" s="1" t="n">
        <v>46309</v>
      </c>
      <c r="F336" t="inlineStr">
        <is>
          <t>GÄVLEBORGS LÄN</t>
        </is>
      </c>
      <c r="G336" t="inlineStr">
        <is>
          <t>NORDANSTIG</t>
        </is>
      </c>
      <c r="I336" t="n">
        <v>0.7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s="2" t="inlineStr"/>
    </row>
    <row r="337" ht="15" customHeight="1">
      <c r="A337" t="inlineStr">
        <is>
          <t>A 3547-2026</t>
        </is>
      </c>
      <c r="B337" t="inlineStr">
        <is>
          <t>avverkningsanmälan</t>
        </is>
      </c>
      <c r="C337" t="inlineStr">
        <is>
          <t>Föryngringsavverkning</t>
        </is>
      </c>
      <c r="D337" s="1" t="n">
        <v>46042</v>
      </c>
      <c r="E337" s="1" t="n">
        <v>46309</v>
      </c>
      <c r="F337" t="inlineStr">
        <is>
          <t>GÄVLEBORGS LÄN</t>
        </is>
      </c>
      <c r="G337" t="inlineStr">
        <is>
          <t>NORDANSTIG</t>
        </is>
      </c>
      <c r="I337" t="n">
        <v>7.5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s="2" t="inlineStr"/>
    </row>
    <row r="338" ht="15" customHeight="1">
      <c r="A338" t="inlineStr">
        <is>
          <t>A 49328-2025</t>
        </is>
      </c>
      <c r="B338" t="inlineStr">
        <is>
          <t>avverkningsanmälan</t>
        </is>
      </c>
      <c r="C338" t="inlineStr">
        <is>
          <t>Föryngringsavverkning</t>
        </is>
      </c>
      <c r="D338" s="1" t="n">
        <v>45938</v>
      </c>
      <c r="E338" s="1" t="n">
        <v>46309</v>
      </c>
      <c r="F338" t="inlineStr">
        <is>
          <t>GÄVLEBORGS LÄN</t>
        </is>
      </c>
      <c r="G338" t="inlineStr">
        <is>
          <t>NORDANSTIG</t>
        </is>
      </c>
      <c r="I338" t="n">
        <v>2.7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s="2" t="inlineStr"/>
    </row>
    <row r="339" ht="15" customHeight="1">
      <c r="A339" t="inlineStr">
        <is>
          <t>A 49342-2025</t>
        </is>
      </c>
      <c r="B339" t="inlineStr">
        <is>
          <t>avverkningsanmälan</t>
        </is>
      </c>
      <c r="C339" t="inlineStr">
        <is>
          <t>Föryngringsavverkning</t>
        </is>
      </c>
      <c r="D339" s="1" t="n">
        <v>45938</v>
      </c>
      <c r="E339" s="1" t="n">
        <v>46309</v>
      </c>
      <c r="F339" t="inlineStr">
        <is>
          <t>GÄVLEBORGS LÄN</t>
        </is>
      </c>
      <c r="G339" t="inlineStr">
        <is>
          <t>NORDANSTIG</t>
        </is>
      </c>
      <c r="I339" t="n">
        <v>6.2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s="2" t="inlineStr"/>
    </row>
    <row r="340" ht="15" customHeight="1">
      <c r="A340" t="inlineStr">
        <is>
          <t>A 49273-2025</t>
        </is>
      </c>
      <c r="B340" t="inlineStr">
        <is>
          <t>avverkningsanmälan</t>
        </is>
      </c>
      <c r="C340" t="inlineStr">
        <is>
          <t>Föryngringsavverkning</t>
        </is>
      </c>
      <c r="D340" s="1" t="n">
        <v>45938</v>
      </c>
      <c r="E340" s="1" t="n">
        <v>46309</v>
      </c>
      <c r="F340" t="inlineStr">
        <is>
          <t>GÄVLEBORGS LÄN</t>
        </is>
      </c>
      <c r="G340" t="inlineStr">
        <is>
          <t>NORDANSTIG</t>
        </is>
      </c>
      <c r="I340" t="n">
        <v>1.4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s="2" t="inlineStr"/>
    </row>
    <row r="341" ht="15" customHeight="1">
      <c r="A341" t="inlineStr">
        <is>
          <t>A 49282-2025</t>
        </is>
      </c>
      <c r="B341" t="inlineStr">
        <is>
          <t>avverkningsanmälan</t>
        </is>
      </c>
      <c r="C341" t="inlineStr">
        <is>
          <t>Föryngringsavverkning</t>
        </is>
      </c>
      <c r="D341" s="1" t="n">
        <v>45938</v>
      </c>
      <c r="E341" s="1" t="n">
        <v>46309</v>
      </c>
      <c r="F341" t="inlineStr">
        <is>
          <t>GÄVLEBORGS LÄN</t>
        </is>
      </c>
      <c r="G341" t="inlineStr">
        <is>
          <t>NORDANSTIG</t>
        </is>
      </c>
      <c r="I341" t="n">
        <v>1.4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s="2" t="inlineStr"/>
    </row>
    <row r="342" ht="15" customHeight="1">
      <c r="A342" t="inlineStr">
        <is>
          <t>A 49286-2025</t>
        </is>
      </c>
      <c r="B342" t="inlineStr">
        <is>
          <t>avverkningsanmälan</t>
        </is>
      </c>
      <c r="C342" t="inlineStr">
        <is>
          <t>Föryngringsavverkning</t>
        </is>
      </c>
      <c r="D342" s="1" t="n">
        <v>45938</v>
      </c>
      <c r="E342" s="1" t="n">
        <v>46309</v>
      </c>
      <c r="F342" t="inlineStr">
        <is>
          <t>GÄVLEBORGS LÄN</t>
        </is>
      </c>
      <c r="G342" t="inlineStr">
        <is>
          <t>NORDANSTIG</t>
        </is>
      </c>
      <c r="I342" t="n">
        <v>1.1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s="2" t="inlineStr"/>
    </row>
    <row r="343" ht="15" customHeight="1">
      <c r="A343" t="inlineStr">
        <is>
          <t>A 49597-2025</t>
        </is>
      </c>
      <c r="B343" t="inlineStr">
        <is>
          <t>avverkningsanmälan</t>
        </is>
      </c>
      <c r="C343" t="inlineStr">
        <is>
          <t>Föryngringsavverkning</t>
        </is>
      </c>
      <c r="D343" s="1" t="n">
        <v>45939</v>
      </c>
      <c r="E343" s="1" t="n">
        <v>46309</v>
      </c>
      <c r="F343" t="inlineStr">
        <is>
          <t>GÄVLEBORGS LÄN</t>
        </is>
      </c>
      <c r="G343" t="inlineStr">
        <is>
          <t>NORDANSTIG</t>
        </is>
      </c>
      <c r="I343" t="n">
        <v>1.2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s="2" t="inlineStr"/>
    </row>
    <row r="344" ht="15" customHeight="1">
      <c r="A344" t="inlineStr">
        <is>
          <t>A 49595-2025</t>
        </is>
      </c>
      <c r="B344" t="inlineStr">
        <is>
          <t>avverkningsanmälan</t>
        </is>
      </c>
      <c r="C344" t="inlineStr">
        <is>
          <t>Föryngringsavverkning</t>
        </is>
      </c>
      <c r="D344" s="1" t="n">
        <v>45939</v>
      </c>
      <c r="E344" s="1" t="n">
        <v>46309</v>
      </c>
      <c r="F344" t="inlineStr">
        <is>
          <t>GÄVLEBORGS LÄN</t>
        </is>
      </c>
      <c r="G344" t="inlineStr">
        <is>
          <t>NORDANSTIG</t>
        </is>
      </c>
      <c r="I344" t="n">
        <v>0.6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s="2" t="inlineStr"/>
    </row>
    <row r="345" ht="15" customHeight="1">
      <c r="A345" t="inlineStr">
        <is>
          <t>A 49594-2025</t>
        </is>
      </c>
      <c r="B345" t="inlineStr">
        <is>
          <t>avverkningsanmälan</t>
        </is>
      </c>
      <c r="C345" t="inlineStr">
        <is>
          <t>Föryngringsavverkning</t>
        </is>
      </c>
      <c r="D345" s="1" t="n">
        <v>45939</v>
      </c>
      <c r="E345" s="1" t="n">
        <v>46309</v>
      </c>
      <c r="F345" t="inlineStr">
        <is>
          <t>GÄVLEBORGS LÄN</t>
        </is>
      </c>
      <c r="G345" t="inlineStr">
        <is>
          <t>NORDANSTIG</t>
        </is>
      </c>
      <c r="I345" t="n">
        <v>0.6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s="2" t="inlineStr"/>
    </row>
    <row r="346" ht="15" customHeight="1">
      <c r="A346" t="inlineStr">
        <is>
          <t>A 49596-2025</t>
        </is>
      </c>
      <c r="B346" t="inlineStr">
        <is>
          <t>avverkningsanmälan</t>
        </is>
      </c>
      <c r="C346" t="inlineStr">
        <is>
          <t>Föryngringsavverkning</t>
        </is>
      </c>
      <c r="D346" s="1" t="n">
        <v>45939</v>
      </c>
      <c r="E346" s="1" t="n">
        <v>46309</v>
      </c>
      <c r="F346" t="inlineStr">
        <is>
          <t>GÄVLEBORGS LÄN</t>
        </is>
      </c>
      <c r="G346" t="inlineStr">
        <is>
          <t>NORDANSTIG</t>
        </is>
      </c>
      <c r="I346" t="n">
        <v>0.7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s="2" t="inlineStr"/>
    </row>
    <row r="347" ht="15" customHeight="1">
      <c r="A347" t="inlineStr">
        <is>
          <t>A 15312-2022</t>
        </is>
      </c>
      <c r="B347" t="inlineStr">
        <is>
          <t>avverkningsanmälan</t>
        </is>
      </c>
      <c r="C347" t="inlineStr">
        <is>
          <t>Föryngringsavverkning</t>
        </is>
      </c>
      <c r="D347" s="1" t="n">
        <v>44659</v>
      </c>
      <c r="E347" s="1" t="n">
        <v>46309</v>
      </c>
      <c r="F347" t="inlineStr">
        <is>
          <t>GÄVLEBORGS LÄN</t>
        </is>
      </c>
      <c r="G347" t="inlineStr">
        <is>
          <t>NORDANSTIG</t>
        </is>
      </c>
      <c r="I347" t="n">
        <v>1.1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s="2" t="inlineStr"/>
    </row>
    <row r="348" ht="15" customHeight="1">
      <c r="A348" t="inlineStr">
        <is>
          <t>A 31571-2024</t>
        </is>
      </c>
      <c r="B348" t="inlineStr">
        <is>
          <t>avverkningsanmälan</t>
        </is>
      </c>
      <c r="C348" t="inlineStr">
        <is>
          <t>Föryngringsavverkning</t>
        </is>
      </c>
      <c r="D348" s="1" t="n">
        <v>45506</v>
      </c>
      <c r="E348" s="1" t="n">
        <v>46309</v>
      </c>
      <c r="F348" t="inlineStr">
        <is>
          <t>GÄVLEBORGS LÄN</t>
        </is>
      </c>
      <c r="G348" t="inlineStr">
        <is>
          <t>NORDANSTIG</t>
        </is>
      </c>
      <c r="H348" t="inlineStr">
        <is>
          <t>Holmen skog AB</t>
        </is>
      </c>
      <c r="I348" t="n">
        <v>5.7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s="2" t="inlineStr"/>
    </row>
    <row r="349" ht="15" customHeight="1">
      <c r="A349" t="inlineStr">
        <is>
          <t>A 5968-2025</t>
        </is>
      </c>
      <c r="B349" t="inlineStr">
        <is>
          <t>avverkningsanmälan</t>
        </is>
      </c>
      <c r="C349" t="inlineStr">
        <is>
          <t>Föryngringsavverkning</t>
        </is>
      </c>
      <c r="D349" s="1" t="n">
        <v>45695</v>
      </c>
      <c r="E349" s="1" t="n">
        <v>46309</v>
      </c>
      <c r="F349" t="inlineStr">
        <is>
          <t>GÄVLEBORGS LÄN</t>
        </is>
      </c>
      <c r="G349" t="inlineStr">
        <is>
          <t>NORDANSTIG</t>
        </is>
      </c>
      <c r="I349" t="n">
        <v>1.3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s="2" t="inlineStr"/>
    </row>
    <row r="350" ht="15" customHeight="1">
      <c r="A350" t="inlineStr">
        <is>
          <t>A 59128-2024</t>
        </is>
      </c>
      <c r="B350" t="inlineStr">
        <is>
          <t>avverkningsanmälan</t>
        </is>
      </c>
      <c r="C350" t="inlineStr">
        <is>
          <t>Föryngringsavverkning</t>
        </is>
      </c>
      <c r="D350" s="1" t="n">
        <v>45637</v>
      </c>
      <c r="E350" s="1" t="n">
        <v>46309</v>
      </c>
      <c r="F350" t="inlineStr">
        <is>
          <t>GÄVLEBORGS LÄN</t>
        </is>
      </c>
      <c r="G350" t="inlineStr">
        <is>
          <t>NORDANSTIG</t>
        </is>
      </c>
      <c r="I350" t="n">
        <v>2.4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s="2" t="inlineStr"/>
    </row>
    <row r="351" ht="15" customHeight="1">
      <c r="A351" t="inlineStr">
        <is>
          <t>A 35707-2025</t>
        </is>
      </c>
      <c r="B351" t="inlineStr">
        <is>
          <t>avverkningsanmälan</t>
        </is>
      </c>
      <c r="C351" t="inlineStr">
        <is>
          <t>Föryngringsavverkning</t>
        </is>
      </c>
      <c r="D351" s="1" t="n">
        <v>45860</v>
      </c>
      <c r="E351" s="1" t="n">
        <v>46309</v>
      </c>
      <c r="F351" t="inlineStr">
        <is>
          <t>GÄVLEBORGS LÄN</t>
        </is>
      </c>
      <c r="G351" t="inlineStr">
        <is>
          <t>NORDANSTIG</t>
        </is>
      </c>
      <c r="H351" t="inlineStr">
        <is>
          <t>Holmen skog AB</t>
        </is>
      </c>
      <c r="I351" t="n">
        <v>4.2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s="2" t="inlineStr"/>
    </row>
    <row r="352" ht="15" customHeight="1">
      <c r="A352" t="inlineStr">
        <is>
          <t>A 35652-2025</t>
        </is>
      </c>
      <c r="B352" t="inlineStr">
        <is>
          <t>avverkningsanmälan</t>
        </is>
      </c>
      <c r="C352" t="inlineStr">
        <is>
          <t>Föryngringsavverkning</t>
        </is>
      </c>
      <c r="D352" s="1" t="n">
        <v>45859</v>
      </c>
      <c r="E352" s="1" t="n">
        <v>46309</v>
      </c>
      <c r="F352" t="inlineStr">
        <is>
          <t>GÄVLEBORGS LÄN</t>
        </is>
      </c>
      <c r="G352" t="inlineStr">
        <is>
          <t>NORDANSTIG</t>
        </is>
      </c>
      <c r="I352" t="n">
        <v>1.4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s="2" t="inlineStr"/>
    </row>
    <row r="353" ht="15" customHeight="1">
      <c r="A353" t="inlineStr">
        <is>
          <t>A 35733-2025</t>
        </is>
      </c>
      <c r="B353" t="inlineStr">
        <is>
          <t>avverkningsanmälan</t>
        </is>
      </c>
      <c r="C353" t="inlineStr">
        <is>
          <t>Föryngringsavverkning</t>
        </is>
      </c>
      <c r="D353" s="1" t="n">
        <v>45860</v>
      </c>
      <c r="E353" s="1" t="n">
        <v>46309</v>
      </c>
      <c r="F353" t="inlineStr">
        <is>
          <t>GÄVLEBORGS LÄN</t>
        </is>
      </c>
      <c r="G353" t="inlineStr">
        <is>
          <t>NORDANSTIG</t>
        </is>
      </c>
      <c r="I353" t="n">
        <v>1.9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s="2" t="inlineStr"/>
    </row>
    <row r="354" ht="15" customHeight="1">
      <c r="A354" t="inlineStr">
        <is>
          <t>A 19364-2022</t>
        </is>
      </c>
      <c r="B354" t="inlineStr">
        <is>
          <t>avverkningsanmälan</t>
        </is>
      </c>
      <c r="C354" t="inlineStr">
        <is>
          <t>Föryngringsavverkning</t>
        </is>
      </c>
      <c r="D354" s="1" t="n">
        <v>44692</v>
      </c>
      <c r="E354" s="1" t="n">
        <v>46309</v>
      </c>
      <c r="F354" t="inlineStr">
        <is>
          <t>GÄVLEBORGS LÄN</t>
        </is>
      </c>
      <c r="G354" t="inlineStr">
        <is>
          <t>NORDANSTIG</t>
        </is>
      </c>
      <c r="H354" t="inlineStr">
        <is>
          <t>Holmen skog AB</t>
        </is>
      </c>
      <c r="I354" t="n">
        <v>2.9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s="2" t="inlineStr"/>
    </row>
    <row r="355" ht="15" customHeight="1">
      <c r="A355" t="inlineStr">
        <is>
          <t>A 3548-2026</t>
        </is>
      </c>
      <c r="B355" t="inlineStr">
        <is>
          <t>avverkningsanmälan</t>
        </is>
      </c>
      <c r="C355" t="inlineStr">
        <is>
          <t>Föryngringsavverkning</t>
        </is>
      </c>
      <c r="D355" s="1" t="n">
        <v>46042</v>
      </c>
      <c r="E355" s="1" t="n">
        <v>46309</v>
      </c>
      <c r="F355" t="inlineStr">
        <is>
          <t>GÄVLEBORGS LÄN</t>
        </is>
      </c>
      <c r="G355" t="inlineStr">
        <is>
          <t>NORDANSTIG</t>
        </is>
      </c>
      <c r="I355" t="n">
        <v>1.3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s="2" t="inlineStr"/>
    </row>
    <row r="356" ht="15" customHeight="1">
      <c r="A356" t="inlineStr">
        <is>
          <t>A 50824-2025</t>
        </is>
      </c>
      <c r="B356" t="inlineStr">
        <is>
          <t>avverkningsanmälan</t>
        </is>
      </c>
      <c r="C356" t="inlineStr">
        <is>
          <t>Föryngringsavverkning</t>
        </is>
      </c>
      <c r="D356" s="1" t="n">
        <v>45946</v>
      </c>
      <c r="E356" s="1" t="n">
        <v>46309</v>
      </c>
      <c r="F356" t="inlineStr">
        <is>
          <t>GÄVLEBORGS LÄN</t>
        </is>
      </c>
      <c r="G356" t="inlineStr">
        <is>
          <t>NORDANSTIG</t>
        </is>
      </c>
      <c r="I356" t="n">
        <v>0.5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s="2" t="inlineStr"/>
    </row>
    <row r="357" ht="15" customHeight="1">
      <c r="A357" t="inlineStr">
        <is>
          <t>A 3053-2026</t>
        </is>
      </c>
      <c r="B357" t="inlineStr">
        <is>
          <t>avverkningsanmälan</t>
        </is>
      </c>
      <c r="C357" t="inlineStr">
        <is>
          <t>Föryngringsavverkning</t>
        </is>
      </c>
      <c r="D357" s="1" t="n">
        <v>46039</v>
      </c>
      <c r="E357" s="1" t="n">
        <v>46309</v>
      </c>
      <c r="F357" t="inlineStr">
        <is>
          <t>GÄVLEBORGS LÄN</t>
        </is>
      </c>
      <c r="G357" t="inlineStr">
        <is>
          <t>NORDANSTIG</t>
        </is>
      </c>
      <c r="I357" t="n">
        <v>1.2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s="2" t="inlineStr"/>
    </row>
    <row r="358" ht="15" customHeight="1">
      <c r="A358" t="inlineStr">
        <is>
          <t>A 3403-2026</t>
        </is>
      </c>
      <c r="B358" t="inlineStr">
        <is>
          <t>avverkningsanmälan</t>
        </is>
      </c>
      <c r="C358" t="inlineStr">
        <is>
          <t>Föryngringsavverkning</t>
        </is>
      </c>
      <c r="D358" s="1" t="n">
        <v>46042</v>
      </c>
      <c r="E358" s="1" t="n">
        <v>46309</v>
      </c>
      <c r="F358" t="inlineStr">
        <is>
          <t>GÄVLEBORGS LÄN</t>
        </is>
      </c>
      <c r="G358" t="inlineStr">
        <is>
          <t>NORDANSTIG</t>
        </is>
      </c>
      <c r="I358" t="n">
        <v>4.9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s="2" t="inlineStr"/>
    </row>
    <row r="359" ht="15" customHeight="1">
      <c r="A359" t="inlineStr">
        <is>
          <t>A 3232-2026</t>
        </is>
      </c>
      <c r="B359" t="inlineStr">
        <is>
          <t>avverkningsanmälan</t>
        </is>
      </c>
      <c r="C359" t="inlineStr">
        <is>
          <t>Föryngringsavverkning</t>
        </is>
      </c>
      <c r="D359" s="1" t="n">
        <v>46041</v>
      </c>
      <c r="E359" s="1" t="n">
        <v>46309</v>
      </c>
      <c r="F359" t="inlineStr">
        <is>
          <t>GÄVLEBORGS LÄN</t>
        </is>
      </c>
      <c r="G359" t="inlineStr">
        <is>
          <t>NORDANSTIG</t>
        </is>
      </c>
      <c r="I359" t="n">
        <v>6.1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s="2" t="inlineStr"/>
    </row>
    <row r="360" ht="15" customHeight="1">
      <c r="A360" t="inlineStr">
        <is>
          <t>A 3766-2026</t>
        </is>
      </c>
      <c r="B360" t="inlineStr">
        <is>
          <t>avverkningsanmälan</t>
        </is>
      </c>
      <c r="C360" t="inlineStr">
        <is>
          <t>Föryngringsavverkning</t>
        </is>
      </c>
      <c r="D360" s="1" t="n">
        <v>46043</v>
      </c>
      <c r="E360" s="1" t="n">
        <v>46309</v>
      </c>
      <c r="F360" t="inlineStr">
        <is>
          <t>GÄVLEBORGS LÄN</t>
        </is>
      </c>
      <c r="G360" t="inlineStr">
        <is>
          <t>NORDANSTIG</t>
        </is>
      </c>
      <c r="I360" t="n">
        <v>1.5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s="2" t="inlineStr"/>
    </row>
    <row r="361" ht="15" customHeight="1">
      <c r="A361" t="inlineStr">
        <is>
          <t>A 3762-2026</t>
        </is>
      </c>
      <c r="B361" t="inlineStr">
        <is>
          <t>avverkningsanmälan</t>
        </is>
      </c>
      <c r="C361" t="inlineStr">
        <is>
          <t>Föryngringsavverkning</t>
        </is>
      </c>
      <c r="D361" s="1" t="n">
        <v>46043</v>
      </c>
      <c r="E361" s="1" t="n">
        <v>46309</v>
      </c>
      <c r="F361" t="inlineStr">
        <is>
          <t>GÄVLEBORGS LÄN</t>
        </is>
      </c>
      <c r="G361" t="inlineStr">
        <is>
          <t>NORDANSTIG</t>
        </is>
      </c>
      <c r="I361" t="n">
        <v>1.5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s="2" t="inlineStr"/>
    </row>
    <row r="362" ht="15" customHeight="1">
      <c r="A362" t="inlineStr">
        <is>
          <t>A 3747-2026</t>
        </is>
      </c>
      <c r="B362" t="inlineStr">
        <is>
          <t>avverkningsanmälan</t>
        </is>
      </c>
      <c r="C362" t="inlineStr">
        <is>
          <t>Föryngringsavverkning</t>
        </is>
      </c>
      <c r="D362" s="1" t="n">
        <v>46043</v>
      </c>
      <c r="E362" s="1" t="n">
        <v>46309</v>
      </c>
      <c r="F362" t="inlineStr">
        <is>
          <t>GÄVLEBORGS LÄN</t>
        </is>
      </c>
      <c r="G362" t="inlineStr">
        <is>
          <t>NORDANSTIG</t>
        </is>
      </c>
      <c r="I362" t="n">
        <v>24.7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s="2" t="inlineStr"/>
    </row>
    <row r="363" ht="15" customHeight="1">
      <c r="A363" t="inlineStr">
        <is>
          <t>A 4016-2026</t>
        </is>
      </c>
      <c r="B363" t="inlineStr">
        <is>
          <t>avverkningsanmälan</t>
        </is>
      </c>
      <c r="C363" t="inlineStr">
        <is>
          <t>Föryngringsavverkning</t>
        </is>
      </c>
      <c r="D363" s="1" t="n">
        <v>46044</v>
      </c>
      <c r="E363" s="1" t="n">
        <v>46309</v>
      </c>
      <c r="F363" t="inlineStr">
        <is>
          <t>GÄVLEBORGS LÄN</t>
        </is>
      </c>
      <c r="G363" t="inlineStr">
        <is>
          <t>NORDANSTIG</t>
        </is>
      </c>
      <c r="I363" t="n">
        <v>1.3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s="2" t="inlineStr"/>
    </row>
    <row r="364" ht="15" customHeight="1">
      <c r="A364" t="inlineStr">
        <is>
          <t>A 3828-2026</t>
        </is>
      </c>
      <c r="B364" t="inlineStr">
        <is>
          <t>avverkningsanmälan</t>
        </is>
      </c>
      <c r="C364" t="inlineStr">
        <is>
          <t>Föryngringsavverkning</t>
        </is>
      </c>
      <c r="D364" s="1" t="n">
        <v>46043</v>
      </c>
      <c r="E364" s="1" t="n">
        <v>46309</v>
      </c>
      <c r="F364" t="inlineStr">
        <is>
          <t>GÄVLEBORGS LÄN</t>
        </is>
      </c>
      <c r="G364" t="inlineStr">
        <is>
          <t>NORDANSTIG</t>
        </is>
      </c>
      <c r="I364" t="n">
        <v>11.3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s="2" t="inlineStr"/>
    </row>
    <row r="365" ht="15" customHeight="1">
      <c r="A365" t="inlineStr">
        <is>
          <t>A 4111-2026</t>
        </is>
      </c>
      <c r="B365" t="inlineStr">
        <is>
          <t>avverkningsanmälan</t>
        </is>
      </c>
      <c r="C365" t="inlineStr">
        <is>
          <t>Föryngringsavverkning</t>
        </is>
      </c>
      <c r="D365" s="1" t="n">
        <v>46044</v>
      </c>
      <c r="E365" s="1" t="n">
        <v>46309</v>
      </c>
      <c r="F365" t="inlineStr">
        <is>
          <t>GÄVLEBORGS LÄN</t>
        </is>
      </c>
      <c r="G365" t="inlineStr">
        <is>
          <t>NORDANSTIG</t>
        </is>
      </c>
      <c r="I365" t="n">
        <v>15.3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s="2" t="inlineStr"/>
    </row>
    <row r="366" ht="15" customHeight="1">
      <c r="A366" t="inlineStr">
        <is>
          <t>A 3820-2026</t>
        </is>
      </c>
      <c r="B366" t="inlineStr">
        <is>
          <t>avverkningsanmälan</t>
        </is>
      </c>
      <c r="C366" t="inlineStr">
        <is>
          <t>Föryngringsavverkning</t>
        </is>
      </c>
      <c r="D366" s="1" t="n">
        <v>46043</v>
      </c>
      <c r="E366" s="1" t="n">
        <v>46309</v>
      </c>
      <c r="F366" t="inlineStr">
        <is>
          <t>GÄVLEBORGS LÄN</t>
        </is>
      </c>
      <c r="G366" t="inlineStr">
        <is>
          <t>NORDANSTIG</t>
        </is>
      </c>
      <c r="I366" t="n">
        <v>8.4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s="2" t="inlineStr"/>
    </row>
    <row r="367" ht="15" customHeight="1">
      <c r="A367" t="inlineStr">
        <is>
          <t>A 50818-2025</t>
        </is>
      </c>
      <c r="B367" t="inlineStr">
        <is>
          <t>avverkningsanmälan</t>
        </is>
      </c>
      <c r="C367" t="inlineStr">
        <is>
          <t>Föryngringsavverkning</t>
        </is>
      </c>
      <c r="D367" s="1" t="n">
        <v>45946</v>
      </c>
      <c r="E367" s="1" t="n">
        <v>46309</v>
      </c>
      <c r="F367" t="inlineStr">
        <is>
          <t>GÄVLEBORGS LÄN</t>
        </is>
      </c>
      <c r="G367" t="inlineStr">
        <is>
          <t>NORDANSTIG</t>
        </is>
      </c>
      <c r="I367" t="n">
        <v>4.8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s="2" t="inlineStr"/>
    </row>
    <row r="368" ht="15" customHeight="1">
      <c r="A368" t="inlineStr">
        <is>
          <t>A 50842-2025</t>
        </is>
      </c>
      <c r="B368" t="inlineStr">
        <is>
          <t>avverkningsanmälan</t>
        </is>
      </c>
      <c r="C368" t="inlineStr">
        <is>
          <t>Föryngringsavverkning</t>
        </is>
      </c>
      <c r="D368" s="1" t="n">
        <v>45946</v>
      </c>
      <c r="E368" s="1" t="n">
        <v>46309</v>
      </c>
      <c r="F368" t="inlineStr">
        <is>
          <t>GÄVLEBORGS LÄN</t>
        </is>
      </c>
      <c r="G368" t="inlineStr">
        <is>
          <t>NORDANSTIG</t>
        </is>
      </c>
      <c r="I368" t="n">
        <v>1.1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s="2" t="inlineStr"/>
    </row>
    <row r="369" ht="15" customHeight="1">
      <c r="A369" t="inlineStr">
        <is>
          <t>A 3843-2026</t>
        </is>
      </c>
      <c r="B369" t="inlineStr">
        <is>
          <t>avverkningsanmälan</t>
        </is>
      </c>
      <c r="C369" t="inlineStr">
        <is>
          <t>Föryngringsavverkning</t>
        </is>
      </c>
      <c r="D369" s="1" t="n">
        <v>46043</v>
      </c>
      <c r="E369" s="1" t="n">
        <v>46309</v>
      </c>
      <c r="F369" t="inlineStr">
        <is>
          <t>GÄVLEBORGS LÄN</t>
        </is>
      </c>
      <c r="G369" t="inlineStr">
        <is>
          <t>NORDANSTIG</t>
        </is>
      </c>
      <c r="I369" t="n">
        <v>3.7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s="2" t="inlineStr"/>
    </row>
    <row r="370" ht="15" customHeight="1">
      <c r="A370" t="inlineStr">
        <is>
          <t>A 3790-2026</t>
        </is>
      </c>
      <c r="B370" t="inlineStr">
        <is>
          <t>avverkningsanmälan</t>
        </is>
      </c>
      <c r="C370" t="inlineStr">
        <is>
          <t>Föryngringsavverkning</t>
        </is>
      </c>
      <c r="D370" s="1" t="n">
        <v>46043</v>
      </c>
      <c r="E370" s="1" t="n">
        <v>46309</v>
      </c>
      <c r="F370" t="inlineStr">
        <is>
          <t>GÄVLEBORGS LÄN</t>
        </is>
      </c>
      <c r="G370" t="inlineStr">
        <is>
          <t>NORDANSTIG</t>
        </is>
      </c>
      <c r="I370" t="n">
        <v>10.1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s="2" t="inlineStr"/>
    </row>
    <row r="371" ht="15" customHeight="1">
      <c r="A371" t="inlineStr">
        <is>
          <t>A 4033-2026</t>
        </is>
      </c>
      <c r="B371" t="inlineStr">
        <is>
          <t>avverkningsanmälan</t>
        </is>
      </c>
      <c r="C371" t="inlineStr">
        <is>
          <t>Föryngringsavverkning</t>
        </is>
      </c>
      <c r="D371" s="1" t="n">
        <v>46044</v>
      </c>
      <c r="E371" s="1" t="n">
        <v>46309</v>
      </c>
      <c r="F371" t="inlineStr">
        <is>
          <t>GÄVLEBORGS LÄN</t>
        </is>
      </c>
      <c r="G371" t="inlineStr">
        <is>
          <t>NORDANSTIG</t>
        </is>
      </c>
      <c r="I371" t="n">
        <v>1.5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s="2" t="inlineStr"/>
    </row>
    <row r="372" ht="15" customHeight="1">
      <c r="A372" t="inlineStr">
        <is>
          <t>A 4106-2026</t>
        </is>
      </c>
      <c r="B372" t="inlineStr">
        <is>
          <t>avverkningsanmälan</t>
        </is>
      </c>
      <c r="C372" t="inlineStr">
        <is>
          <t>Föryngringsavverkning</t>
        </is>
      </c>
      <c r="D372" s="1" t="n">
        <v>46044</v>
      </c>
      <c r="E372" s="1" t="n">
        <v>46309</v>
      </c>
      <c r="F372" t="inlineStr">
        <is>
          <t>GÄVLEBORGS LÄN</t>
        </is>
      </c>
      <c r="G372" t="inlineStr">
        <is>
          <t>NORDANSTIG</t>
        </is>
      </c>
      <c r="I372" t="n">
        <v>2.4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s="2" t="inlineStr"/>
    </row>
    <row r="373" ht="15" customHeight="1">
      <c r="A373" t="inlineStr">
        <is>
          <t>A 3745-2026</t>
        </is>
      </c>
      <c r="B373" t="inlineStr">
        <is>
          <t>avverkningsanmälan</t>
        </is>
      </c>
      <c r="C373" t="inlineStr">
        <is>
          <t>Föryngringsavverkning</t>
        </is>
      </c>
      <c r="D373" s="1" t="n">
        <v>46043</v>
      </c>
      <c r="E373" s="1" t="n">
        <v>46309</v>
      </c>
      <c r="F373" t="inlineStr">
        <is>
          <t>GÄVLEBORGS LÄN</t>
        </is>
      </c>
      <c r="G373" t="inlineStr">
        <is>
          <t>NORDANSTIG</t>
        </is>
      </c>
      <c r="I373" t="n">
        <v>1.9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s="2" t="inlineStr"/>
    </row>
    <row r="374" ht="15" customHeight="1">
      <c r="A374" t="inlineStr">
        <is>
          <t>A 3848-2026</t>
        </is>
      </c>
      <c r="B374" t="inlineStr">
        <is>
          <t>avverkningsanmälan</t>
        </is>
      </c>
      <c r="C374" t="inlineStr">
        <is>
          <t>Föryngringsavverkning</t>
        </is>
      </c>
      <c r="D374" s="1" t="n">
        <v>46043</v>
      </c>
      <c r="E374" s="1" t="n">
        <v>46309</v>
      </c>
      <c r="F374" t="inlineStr">
        <is>
          <t>GÄVLEBORGS LÄN</t>
        </is>
      </c>
      <c r="G374" t="inlineStr">
        <is>
          <t>NORDANSTIG</t>
        </is>
      </c>
      <c r="I374" t="n">
        <v>4.1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s="2" t="inlineStr"/>
    </row>
    <row r="375" ht="15" customHeight="1">
      <c r="A375" t="inlineStr">
        <is>
          <t>A 4128-2026</t>
        </is>
      </c>
      <c r="B375" t="inlineStr">
        <is>
          <t>avverkningsanmälan</t>
        </is>
      </c>
      <c r="C375" t="inlineStr">
        <is>
          <t>Föryngringsavverkning</t>
        </is>
      </c>
      <c r="D375" s="1" t="n">
        <v>46044</v>
      </c>
      <c r="E375" s="1" t="n">
        <v>46309</v>
      </c>
      <c r="F375" t="inlineStr">
        <is>
          <t>GÄVLEBORGS LÄN</t>
        </is>
      </c>
      <c r="G375" t="inlineStr">
        <is>
          <t>NORDANSTIG</t>
        </is>
      </c>
      <c r="I375" t="n">
        <v>8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s="2" t="inlineStr"/>
    </row>
    <row r="376" ht="15" customHeight="1">
      <c r="A376" t="inlineStr">
        <is>
          <t>A 4777-2026</t>
        </is>
      </c>
      <c r="B376" t="inlineStr">
        <is>
          <t>avverkningsanmälan</t>
        </is>
      </c>
      <c r="C376" t="inlineStr">
        <is>
          <t>Föryngringsavverkning</t>
        </is>
      </c>
      <c r="D376" s="1" t="n">
        <v>46048</v>
      </c>
      <c r="E376" s="1" t="n">
        <v>46309</v>
      </c>
      <c r="F376" t="inlineStr">
        <is>
          <t>GÄVLEBORGS LÄN</t>
        </is>
      </c>
      <c r="G376" t="inlineStr">
        <is>
          <t>NORDANSTIG</t>
        </is>
      </c>
      <c r="I376" t="n">
        <v>3.1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s="2" t="inlineStr"/>
    </row>
    <row r="377" ht="15" customHeight="1">
      <c r="A377" t="inlineStr">
        <is>
          <t>A 4794-2026</t>
        </is>
      </c>
      <c r="B377" t="inlineStr">
        <is>
          <t>avverkningsanmälan</t>
        </is>
      </c>
      <c r="C377" t="inlineStr">
        <is>
          <t>Föryngringsavverkning</t>
        </is>
      </c>
      <c r="D377" s="1" t="n">
        <v>46048</v>
      </c>
      <c r="E377" s="1" t="n">
        <v>46309</v>
      </c>
      <c r="F377" t="inlineStr">
        <is>
          <t>GÄVLEBORGS LÄN</t>
        </is>
      </c>
      <c r="G377" t="inlineStr">
        <is>
          <t>NORDANSTIG</t>
        </is>
      </c>
      <c r="I377" t="n">
        <v>15.3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s="2" t="inlineStr"/>
    </row>
    <row r="378" ht="15" customHeight="1">
      <c r="A378" t="inlineStr">
        <is>
          <t>A 4779-2026</t>
        </is>
      </c>
      <c r="B378" t="inlineStr">
        <is>
          <t>avverkningsanmälan</t>
        </is>
      </c>
      <c r="C378" t="inlineStr">
        <is>
          <t>Föryngringsavverkning</t>
        </is>
      </c>
      <c r="D378" s="1" t="n">
        <v>46048</v>
      </c>
      <c r="E378" s="1" t="n">
        <v>46309</v>
      </c>
      <c r="F378" t="inlineStr">
        <is>
          <t>GÄVLEBORGS LÄN</t>
        </is>
      </c>
      <c r="G378" t="inlineStr">
        <is>
          <t>NORDANSTIG</t>
        </is>
      </c>
      <c r="I378" t="n">
        <v>8.199999999999999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s="2" t="inlineStr"/>
    </row>
    <row r="379" ht="15" customHeight="1">
      <c r="A379" t="inlineStr">
        <is>
          <t>A 4370-2026</t>
        </is>
      </c>
      <c r="B379" t="inlineStr">
        <is>
          <t>avverkningsanmälan</t>
        </is>
      </c>
      <c r="C379" t="inlineStr">
        <is>
          <t>Föryngringsavverkning</t>
        </is>
      </c>
      <c r="D379" s="1" t="n">
        <v>46045</v>
      </c>
      <c r="E379" s="1" t="n">
        <v>46309</v>
      </c>
      <c r="F379" t="inlineStr">
        <is>
          <t>GÄVLEBORGS LÄN</t>
        </is>
      </c>
      <c r="G379" t="inlineStr">
        <is>
          <t>NORDANSTIG</t>
        </is>
      </c>
      <c r="I379" t="n">
        <v>4.1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s="2" t="inlineStr"/>
    </row>
    <row r="380" ht="15" customHeight="1">
      <c r="A380" t="inlineStr">
        <is>
          <t>A 4399-2026</t>
        </is>
      </c>
      <c r="B380" t="inlineStr">
        <is>
          <t>avverkningsanmälan</t>
        </is>
      </c>
      <c r="C380" t="inlineStr">
        <is>
          <t>Föryngringsavverkning</t>
        </is>
      </c>
      <c r="D380" s="1" t="n">
        <v>46045</v>
      </c>
      <c r="E380" s="1" t="n">
        <v>46309</v>
      </c>
      <c r="F380" t="inlineStr">
        <is>
          <t>GÄVLEBORGS LÄN</t>
        </is>
      </c>
      <c r="G380" t="inlineStr">
        <is>
          <t>NORDANSTIG</t>
        </is>
      </c>
      <c r="I380" t="n">
        <v>2.4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s="2" t="inlineStr"/>
    </row>
    <row r="381" ht="15" customHeight="1">
      <c r="A381" t="inlineStr">
        <is>
          <t>A 51115-2025</t>
        </is>
      </c>
      <c r="B381" t="inlineStr">
        <is>
          <t>avverkningsanmälan</t>
        </is>
      </c>
      <c r="C381" t="inlineStr">
        <is>
          <t>Föryngringsavverkning</t>
        </is>
      </c>
      <c r="D381" s="1" t="n">
        <v>45947</v>
      </c>
      <c r="E381" s="1" t="n">
        <v>46309</v>
      </c>
      <c r="F381" t="inlineStr">
        <is>
          <t>GÄVLEBORGS LÄN</t>
        </is>
      </c>
      <c r="G381" t="inlineStr">
        <is>
          <t>NORDANSTIG</t>
        </is>
      </c>
      <c r="H381" t="inlineStr">
        <is>
          <t>Holmen skog AB</t>
        </is>
      </c>
      <c r="I381" t="n">
        <v>3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s="2" t="inlineStr"/>
    </row>
    <row r="382" ht="15" customHeight="1">
      <c r="A382" t="inlineStr">
        <is>
          <t>A 4695-2026</t>
        </is>
      </c>
      <c r="B382" t="inlineStr">
        <is>
          <t>avverkningsanmälan</t>
        </is>
      </c>
      <c r="C382" t="inlineStr">
        <is>
          <t>Föryngringsavverkning</t>
        </is>
      </c>
      <c r="D382" s="1" t="n">
        <v>46048</v>
      </c>
      <c r="E382" s="1" t="n">
        <v>46309</v>
      </c>
      <c r="F382" t="inlineStr">
        <is>
          <t>GÄVLEBORGS LÄN</t>
        </is>
      </c>
      <c r="G382" t="inlineStr">
        <is>
          <t>NORDANSTIG</t>
        </is>
      </c>
      <c r="I382" t="n">
        <v>1.9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s="2" t="inlineStr"/>
    </row>
    <row r="383" ht="15" customHeight="1">
      <c r="A383" t="inlineStr">
        <is>
          <t>A 51503-2025</t>
        </is>
      </c>
      <c r="B383" t="inlineStr">
        <is>
          <t>avverkningsanmälan</t>
        </is>
      </c>
      <c r="C383" t="inlineStr">
        <is>
          <t>Föryngringsavverkning</t>
        </is>
      </c>
      <c r="D383" s="1" t="n">
        <v>45950</v>
      </c>
      <c r="E383" s="1" t="n">
        <v>46309</v>
      </c>
      <c r="F383" t="inlineStr">
        <is>
          <t>GÄVLEBORGS LÄN</t>
        </is>
      </c>
      <c r="G383" t="inlineStr">
        <is>
          <t>NORDANSTIG</t>
        </is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s="2" t="inlineStr"/>
    </row>
    <row r="384" ht="15" customHeight="1">
      <c r="A384" t="inlineStr">
        <is>
          <t>A 51101-2025</t>
        </is>
      </c>
      <c r="B384" t="inlineStr">
        <is>
          <t>avverkningsanmälan</t>
        </is>
      </c>
      <c r="C384" t="inlineStr">
        <is>
          <t>Föryngringsavverkning</t>
        </is>
      </c>
      <c r="D384" s="1" t="n">
        <v>45947</v>
      </c>
      <c r="E384" s="1" t="n">
        <v>46309</v>
      </c>
      <c r="F384" t="inlineStr">
        <is>
          <t>GÄVLEBORGS LÄN</t>
        </is>
      </c>
      <c r="G384" t="inlineStr">
        <is>
          <t>NORDANSTIG</t>
        </is>
      </c>
      <c r="H384" t="inlineStr">
        <is>
          <t>Holmen skog AB</t>
        </is>
      </c>
      <c r="I384" t="n">
        <v>6.1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s="2" t="inlineStr"/>
    </row>
    <row r="385" ht="15" customHeight="1">
      <c r="A385" t="inlineStr">
        <is>
          <t>A 51014-2025</t>
        </is>
      </c>
      <c r="B385" t="inlineStr">
        <is>
          <t>avverkningsanmälan</t>
        </is>
      </c>
      <c r="C385" t="inlineStr">
        <is>
          <t>Föryngringsavverkning</t>
        </is>
      </c>
      <c r="D385" s="1" t="n">
        <v>45947</v>
      </c>
      <c r="E385" s="1" t="n">
        <v>46309</v>
      </c>
      <c r="F385" t="inlineStr">
        <is>
          <t>GÄVLEBORGS LÄN</t>
        </is>
      </c>
      <c r="G385" t="inlineStr">
        <is>
          <t>NORDANSTIG</t>
        </is>
      </c>
      <c r="I385" t="n">
        <v>3.5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s="2" t="inlineStr"/>
    </row>
    <row r="386" ht="15" customHeight="1">
      <c r="A386" t="inlineStr">
        <is>
          <t>A 51466-2025</t>
        </is>
      </c>
      <c r="B386" t="inlineStr">
        <is>
          <t>avverkningsanmälan</t>
        </is>
      </c>
      <c r="C386" t="inlineStr">
        <is>
          <t>Föryngringsavverkning</t>
        </is>
      </c>
      <c r="D386" s="1" t="n">
        <v>45950</v>
      </c>
      <c r="E386" s="1" t="n">
        <v>46309</v>
      </c>
      <c r="F386" t="inlineStr">
        <is>
          <t>GÄVLEBORGS LÄN</t>
        </is>
      </c>
      <c r="G386" t="inlineStr">
        <is>
          <t>NORDANSTIG</t>
        </is>
      </c>
      <c r="I386" t="n">
        <v>30.9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s="2" t="inlineStr"/>
    </row>
    <row r="387" ht="15" customHeight="1">
      <c r="A387" t="inlineStr">
        <is>
          <t>A 51464-2025</t>
        </is>
      </c>
      <c r="B387" t="inlineStr">
        <is>
          <t>avverkningsanmälan</t>
        </is>
      </c>
      <c r="C387" t="inlineStr">
        <is>
          <t>Avverkning för annat ändamål</t>
        </is>
      </c>
      <c r="D387" s="1" t="n">
        <v>45950</v>
      </c>
      <c r="E387" s="1" t="n">
        <v>46309</v>
      </c>
      <c r="F387" t="inlineStr">
        <is>
          <t>GÄVLEBORGS LÄN</t>
        </is>
      </c>
      <c r="G387" t="inlineStr">
        <is>
          <t>NORDANSTIG</t>
        </is>
      </c>
      <c r="I387" t="n">
        <v>0.5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s="2" t="inlineStr"/>
    </row>
    <row r="388" ht="15" customHeight="1">
      <c r="A388" t="inlineStr">
        <is>
          <t>A 51680-2025</t>
        </is>
      </c>
      <c r="B388" t="inlineStr">
        <is>
          <t>avverkningsanmälan</t>
        </is>
      </c>
      <c r="C388" t="inlineStr">
        <is>
          <t>Föryngringsavverkning</t>
        </is>
      </c>
      <c r="D388" s="1" t="n">
        <v>45951</v>
      </c>
      <c r="E388" s="1" t="n">
        <v>46309</v>
      </c>
      <c r="F388" t="inlineStr">
        <is>
          <t>GÄVLEBORGS LÄN</t>
        </is>
      </c>
      <c r="G388" t="inlineStr">
        <is>
          <t>NORDANSTIG</t>
        </is>
      </c>
      <c r="I388" t="n">
        <v>1.1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s="2" t="inlineStr"/>
    </row>
    <row r="389" ht="15" customHeight="1">
      <c r="A389" t="inlineStr">
        <is>
          <t>A 49284-2025</t>
        </is>
      </c>
      <c r="B389" t="inlineStr">
        <is>
          <t>avverkningsanmälan</t>
        </is>
      </c>
      <c r="C389" t="inlineStr">
        <is>
          <t>Föryngringsavverkning</t>
        </is>
      </c>
      <c r="D389" s="1" t="n">
        <v>45938</v>
      </c>
      <c r="E389" s="1" t="n">
        <v>46309</v>
      </c>
      <c r="F389" t="inlineStr">
        <is>
          <t>GÄVLEBORGS LÄN</t>
        </is>
      </c>
      <c r="G389" t="inlineStr">
        <is>
          <t>NORDANSTIG</t>
        </is>
      </c>
      <c r="I389" t="n">
        <v>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s="2" t="inlineStr"/>
    </row>
    <row r="390" ht="15" customHeight="1">
      <c r="A390" t="inlineStr">
        <is>
          <t>A 7013-2023</t>
        </is>
      </c>
      <c r="B390" t="inlineStr">
        <is>
          <t>avverkningsanmälan</t>
        </is>
      </c>
      <c r="C390" t="inlineStr">
        <is>
          <t>Föryngringsavverkning</t>
        </is>
      </c>
      <c r="D390" s="1" t="n">
        <v>44967</v>
      </c>
      <c r="E390" s="1" t="n">
        <v>46309</v>
      </c>
      <c r="F390" t="inlineStr">
        <is>
          <t>GÄVLEBORGS LÄN</t>
        </is>
      </c>
      <c r="G390" t="inlineStr">
        <is>
          <t>NORDANSTIG</t>
        </is>
      </c>
      <c r="I390" t="n">
        <v>1.6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s="2" t="inlineStr"/>
    </row>
    <row r="391" ht="15" customHeight="1">
      <c r="A391" t="inlineStr">
        <is>
          <t>A 7014-2023</t>
        </is>
      </c>
      <c r="B391" t="inlineStr">
        <is>
          <t>avverkningsanmälan</t>
        </is>
      </c>
      <c r="C391" t="inlineStr">
        <is>
          <t>Föryngringsavverkning</t>
        </is>
      </c>
      <c r="D391" s="1" t="n">
        <v>44967</v>
      </c>
      <c r="E391" s="1" t="n">
        <v>46309</v>
      </c>
      <c r="F391" t="inlineStr">
        <is>
          <t>GÄVLEBORGS LÄN</t>
        </is>
      </c>
      <c r="G391" t="inlineStr">
        <is>
          <t>NORDANSTIG</t>
        </is>
      </c>
      <c r="I391" t="n">
        <v>0.5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s="2" t="inlineStr"/>
    </row>
    <row r="392" ht="15" customHeight="1">
      <c r="A392" t="inlineStr">
        <is>
          <t>A 2592-2023</t>
        </is>
      </c>
      <c r="B392" t="inlineStr">
        <is>
          <t>avverkningsanmälan</t>
        </is>
      </c>
      <c r="C392" t="inlineStr">
        <is>
          <t>Föryngringsavverkning</t>
        </is>
      </c>
      <c r="D392" s="1" t="n">
        <v>44943</v>
      </c>
      <c r="E392" s="1" t="n">
        <v>46309</v>
      </c>
      <c r="F392" t="inlineStr">
        <is>
          <t>GÄVLEBORGS LÄN</t>
        </is>
      </c>
      <c r="G392" t="inlineStr">
        <is>
          <t>NORDANSTIG</t>
        </is>
      </c>
      <c r="I392" t="n">
        <v>4.1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s="2" t="inlineStr"/>
    </row>
    <row r="393" ht="15" customHeight="1">
      <c r="A393" t="inlineStr">
        <is>
          <t>A 61141-2022</t>
        </is>
      </c>
      <c r="B393" t="inlineStr">
        <is>
          <t>avverkningsanmälan</t>
        </is>
      </c>
      <c r="C393" t="inlineStr">
        <is>
          <t>Föryngringsavverkning</t>
        </is>
      </c>
      <c r="D393" s="1" t="n">
        <v>44915</v>
      </c>
      <c r="E393" s="1" t="n">
        <v>46309</v>
      </c>
      <c r="F393" t="inlineStr">
        <is>
          <t>GÄVLEBORGS LÄN</t>
        </is>
      </c>
      <c r="G393" t="inlineStr">
        <is>
          <t>NORDANSTIG</t>
        </is>
      </c>
      <c r="I393" t="n">
        <v>0.4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s="2" t="inlineStr"/>
    </row>
    <row r="394" ht="15" customHeight="1">
      <c r="A394" t="inlineStr">
        <is>
          <t>A 8968-2026</t>
        </is>
      </c>
      <c r="B394" t="inlineStr">
        <is>
          <t>avverkningsanmälan</t>
        </is>
      </c>
      <c r="C394" t="inlineStr">
        <is>
          <t>Föryngringsavverkning</t>
        </is>
      </c>
      <c r="D394" s="1" t="n">
        <v>46069</v>
      </c>
      <c r="E394" s="1" t="n">
        <v>46309</v>
      </c>
      <c r="F394" t="inlineStr">
        <is>
          <t>GÄVLEBORGS LÄN</t>
        </is>
      </c>
      <c r="G394" t="inlineStr">
        <is>
          <t>NORDANSTIG</t>
        </is>
      </c>
      <c r="I394" t="n">
        <v>3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s="2" t="inlineStr"/>
    </row>
    <row r="395" ht="15" customHeight="1">
      <c r="A395" t="inlineStr">
        <is>
          <t>A 4384-2026</t>
        </is>
      </c>
      <c r="B395" t="inlineStr">
        <is>
          <t>avverkningsanmälan</t>
        </is>
      </c>
      <c r="C395" t="inlineStr">
        <is>
          <t>Föryngringsavverkning</t>
        </is>
      </c>
      <c r="D395" s="1" t="n">
        <v>46045</v>
      </c>
      <c r="E395" s="1" t="n">
        <v>46309</v>
      </c>
      <c r="F395" t="inlineStr">
        <is>
          <t>GÄVLEBORGS LÄN</t>
        </is>
      </c>
      <c r="G395" t="inlineStr">
        <is>
          <t>NORDANSTIG</t>
        </is>
      </c>
      <c r="I395" t="n">
        <v>3.8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s="2" t="inlineStr"/>
    </row>
    <row r="396" ht="15" customHeight="1">
      <c r="A396" t="inlineStr">
        <is>
          <t>A 53028-2025</t>
        </is>
      </c>
      <c r="B396" t="inlineStr">
        <is>
          <t>avverkningsanmälan</t>
        </is>
      </c>
      <c r="C396" t="inlineStr">
        <is>
          <t>Föryngringsavverkning</t>
        </is>
      </c>
      <c r="D396" s="1" t="n">
        <v>45958</v>
      </c>
      <c r="E396" s="1" t="n">
        <v>46309</v>
      </c>
      <c r="F396" t="inlineStr">
        <is>
          <t>GÄVLEBORGS LÄN</t>
        </is>
      </c>
      <c r="G396" t="inlineStr">
        <is>
          <t>NORDANSTIG</t>
        </is>
      </c>
      <c r="H396" t="inlineStr">
        <is>
          <t>Holmen skog AB</t>
        </is>
      </c>
      <c r="I396" t="n">
        <v>17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s="2" t="inlineStr"/>
    </row>
    <row r="397" ht="15" customHeight="1">
      <c r="A397" t="inlineStr">
        <is>
          <t>A 11434-2024</t>
        </is>
      </c>
      <c r="B397" t="inlineStr">
        <is>
          <t>avverkningsanmälan</t>
        </is>
      </c>
      <c r="C397" t="inlineStr">
        <is>
          <t>Föryngringsavverkning</t>
        </is>
      </c>
      <c r="D397" s="1" t="n">
        <v>45372</v>
      </c>
      <c r="E397" s="1" t="n">
        <v>46309</v>
      </c>
      <c r="F397" t="inlineStr">
        <is>
          <t>GÄVLEBORGS LÄN</t>
        </is>
      </c>
      <c r="G397" t="inlineStr">
        <is>
          <t>NORDANSTIG</t>
        </is>
      </c>
      <c r="H397" t="inlineStr">
        <is>
          <t>Holmen skog AB</t>
        </is>
      </c>
      <c r="I397" t="n">
        <v>1.1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s="2" t="inlineStr"/>
    </row>
    <row r="398" ht="15" customHeight="1">
      <c r="A398" t="inlineStr">
        <is>
          <t>A 59409-2023</t>
        </is>
      </c>
      <c r="B398" t="inlineStr">
        <is>
          <t>avverkningsanmälan</t>
        </is>
      </c>
      <c r="C398" t="inlineStr">
        <is>
          <t>Föryngringsavverkning</t>
        </is>
      </c>
      <c r="D398" s="1" t="n">
        <v>45253</v>
      </c>
      <c r="E398" s="1" t="n">
        <v>46309</v>
      </c>
      <c r="F398" t="inlineStr">
        <is>
          <t>GÄVLEBORGS LÄN</t>
        </is>
      </c>
      <c r="G398" t="inlineStr">
        <is>
          <t>NORDANSTIG</t>
        </is>
      </c>
      <c r="I398" t="n">
        <v>12.5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s="2" t="inlineStr"/>
    </row>
    <row r="399" ht="15" customHeight="1">
      <c r="A399" t="inlineStr">
        <is>
          <t>A 50827-2025</t>
        </is>
      </c>
      <c r="B399" t="inlineStr">
        <is>
          <t>avverkningsanmälan</t>
        </is>
      </c>
      <c r="C399" t="inlineStr">
        <is>
          <t>Föryngringsavverkning</t>
        </is>
      </c>
      <c r="D399" s="1" t="n">
        <v>45946</v>
      </c>
      <c r="E399" s="1" t="n">
        <v>46309</v>
      </c>
      <c r="F399" t="inlineStr">
        <is>
          <t>GÄVLEBORGS LÄN</t>
        </is>
      </c>
      <c r="G399" t="inlineStr">
        <is>
          <t>NORDANSTIG</t>
        </is>
      </c>
      <c r="I399" t="n">
        <v>6.5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s="2" t="inlineStr"/>
    </row>
    <row r="400" ht="15" customHeight="1">
      <c r="A400" t="inlineStr">
        <is>
          <t>A 4414-2022</t>
        </is>
      </c>
      <c r="B400" t="inlineStr">
        <is>
          <t>avverkningsanmälan</t>
        </is>
      </c>
      <c r="C400" t="inlineStr">
        <is>
          <t>Avverkning för annat ändamål</t>
        </is>
      </c>
      <c r="D400" s="1" t="n">
        <v>44589</v>
      </c>
      <c r="E400" s="1" t="n">
        <v>46309</v>
      </c>
      <c r="F400" t="inlineStr">
        <is>
          <t>GÄVLEBORGS LÄN</t>
        </is>
      </c>
      <c r="G400" t="inlineStr">
        <is>
          <t>NORDANSTIG</t>
        </is>
      </c>
      <c r="I400" t="n">
        <v>12.6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s="2" t="inlineStr"/>
    </row>
    <row r="401" ht="15" customHeight="1">
      <c r="A401" t="inlineStr">
        <is>
          <t>A 53646-2025</t>
        </is>
      </c>
      <c r="B401" t="inlineStr">
        <is>
          <t>avverkningsanmälan</t>
        </is>
      </c>
      <c r="C401" t="inlineStr">
        <is>
          <t>Föryngringsavverkning</t>
        </is>
      </c>
      <c r="D401" s="1" t="n">
        <v>45960</v>
      </c>
      <c r="E401" s="1" t="n">
        <v>46309</v>
      </c>
      <c r="F401" t="inlineStr">
        <is>
          <t>GÄVLEBORGS LÄN</t>
        </is>
      </c>
      <c r="G401" t="inlineStr">
        <is>
          <t>NORDANSTIG</t>
        </is>
      </c>
      <c r="H401" t="inlineStr">
        <is>
          <t>Holmen skog AB</t>
        </is>
      </c>
      <c r="I401" t="n">
        <v>1.6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s="2" t="inlineStr"/>
    </row>
    <row r="402" ht="15" customHeight="1">
      <c r="A402" t="inlineStr">
        <is>
          <t>A 5422-2026</t>
        </is>
      </c>
      <c r="B402" t="inlineStr">
        <is>
          <t>avverkningsanmälan</t>
        </is>
      </c>
      <c r="C402" t="inlineStr">
        <is>
          <t>Föryngringsavverkning</t>
        </is>
      </c>
      <c r="D402" s="1" t="n">
        <v>46050</v>
      </c>
      <c r="E402" s="1" t="n">
        <v>46309</v>
      </c>
      <c r="F402" t="inlineStr">
        <is>
          <t>GÄVLEBORGS LÄN</t>
        </is>
      </c>
      <c r="G402" t="inlineStr">
        <is>
          <t>NORDANSTIG</t>
        </is>
      </c>
      <c r="H402" t="inlineStr">
        <is>
          <t>Holmen skog AB</t>
        </is>
      </c>
      <c r="I402" t="n">
        <v>23.8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s="2" t="inlineStr"/>
    </row>
    <row r="403" ht="15" customHeight="1">
      <c r="A403" t="inlineStr">
        <is>
          <t>A 59425-2022</t>
        </is>
      </c>
      <c r="B403" t="inlineStr">
        <is>
          <t>avverkningsanmälan</t>
        </is>
      </c>
      <c r="C403" t="inlineStr">
        <is>
          <t>Föryngringsavverkning</t>
        </is>
      </c>
      <c r="D403" s="1" t="n">
        <v>44907</v>
      </c>
      <c r="E403" s="1" t="n">
        <v>46309</v>
      </c>
      <c r="F403" t="inlineStr">
        <is>
          <t>GÄVLEBORGS LÄN</t>
        </is>
      </c>
      <c r="G403" t="inlineStr">
        <is>
          <t>NORDANSTIG</t>
        </is>
      </c>
      <c r="H403" t="inlineStr">
        <is>
          <t>Holmen skog AB</t>
        </is>
      </c>
      <c r="I403" t="n">
        <v>3.5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s="2" t="inlineStr"/>
    </row>
    <row r="404" ht="15" customHeight="1">
      <c r="A404" t="inlineStr">
        <is>
          <t>A 17505-2025</t>
        </is>
      </c>
      <c r="B404" t="inlineStr">
        <is>
          <t>avverkningsanmälan</t>
        </is>
      </c>
      <c r="C404" t="inlineStr">
        <is>
          <t>Föryngringsavverkning</t>
        </is>
      </c>
      <c r="D404" s="1" t="n">
        <v>45757</v>
      </c>
      <c r="E404" s="1" t="n">
        <v>46309</v>
      </c>
      <c r="F404" t="inlineStr">
        <is>
          <t>GÄVLEBORGS LÄN</t>
        </is>
      </c>
      <c r="G404" t="inlineStr">
        <is>
          <t>NORDANSTIG</t>
        </is>
      </c>
      <c r="H404" t="inlineStr">
        <is>
          <t>Holmen skog AB</t>
        </is>
      </c>
      <c r="I404" t="n">
        <v>8.300000000000001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s="2" t="inlineStr"/>
    </row>
    <row r="405" ht="15" customHeight="1">
      <c r="A405" t="inlineStr">
        <is>
          <t>A 53360-2025</t>
        </is>
      </c>
      <c r="B405" t="inlineStr">
        <is>
          <t>avverkningsanmälan</t>
        </is>
      </c>
      <c r="C405" t="inlineStr">
        <is>
          <t>Föryngringsavverkning</t>
        </is>
      </c>
      <c r="D405" s="1" t="n">
        <v>45959</v>
      </c>
      <c r="E405" s="1" t="n">
        <v>46309</v>
      </c>
      <c r="F405" t="inlineStr">
        <is>
          <t>GÄVLEBORGS LÄN</t>
        </is>
      </c>
      <c r="G405" t="inlineStr">
        <is>
          <t>NORDANSTIG</t>
        </is>
      </c>
      <c r="H405" t="inlineStr">
        <is>
          <t>Holmen skog AB</t>
        </is>
      </c>
      <c r="I405" t="n">
        <v>6.4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s="2" t="inlineStr"/>
    </row>
    <row r="406" ht="15" customHeight="1">
      <c r="A406" t="inlineStr">
        <is>
          <t>A 37728-2025</t>
        </is>
      </c>
      <c r="B406" t="inlineStr">
        <is>
          <t>avverkningsanmälan</t>
        </is>
      </c>
      <c r="C406" t="inlineStr">
        <is>
          <t>Föryngringsavverkning</t>
        </is>
      </c>
      <c r="D406" s="1" t="n">
        <v>45880</v>
      </c>
      <c r="E406" s="1" t="n">
        <v>46309</v>
      </c>
      <c r="F406" t="inlineStr">
        <is>
          <t>GÄVLEBORGS LÄN</t>
        </is>
      </c>
      <c r="G406" t="inlineStr">
        <is>
          <t>NORDANSTIG</t>
        </is>
      </c>
      <c r="H406" t="inlineStr">
        <is>
          <t>Holmen skog AB</t>
        </is>
      </c>
      <c r="I406" t="n">
        <v>0.5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s="2" t="inlineStr"/>
    </row>
    <row r="407" ht="15" customHeight="1">
      <c r="A407" t="inlineStr">
        <is>
          <t>A 41729-2023</t>
        </is>
      </c>
      <c r="B407" t="inlineStr">
        <is>
          <t>avverkningsanmälan</t>
        </is>
      </c>
      <c r="C407" t="inlineStr">
        <is>
          <t>Föryngringsavverkning</t>
        </is>
      </c>
      <c r="D407" s="1" t="n">
        <v>45176</v>
      </c>
      <c r="E407" s="1" t="n">
        <v>46309</v>
      </c>
      <c r="F407" t="inlineStr">
        <is>
          <t>GÄVLEBORGS LÄN</t>
        </is>
      </c>
      <c r="G407" t="inlineStr">
        <is>
          <t>NORDANSTIG</t>
        </is>
      </c>
      <c r="H407" t="inlineStr">
        <is>
          <t>Holmen skog AB</t>
        </is>
      </c>
      <c r="I407" t="n">
        <v>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s="2" t="inlineStr"/>
    </row>
    <row r="408" ht="15" customHeight="1">
      <c r="A408" t="inlineStr">
        <is>
          <t>A 37848-2025</t>
        </is>
      </c>
      <c r="B408" t="inlineStr">
        <is>
          <t>avverkningsanmälan</t>
        </is>
      </c>
      <c r="C408" t="inlineStr">
        <is>
          <t>Avverkning för annat ändamål</t>
        </is>
      </c>
      <c r="D408" s="1" t="n">
        <v>45881</v>
      </c>
      <c r="E408" s="1" t="n">
        <v>46309</v>
      </c>
      <c r="F408" t="inlineStr">
        <is>
          <t>GÄVLEBORGS LÄN</t>
        </is>
      </c>
      <c r="G408" t="inlineStr">
        <is>
          <t>NORDANSTIG</t>
        </is>
      </c>
      <c r="I408" t="n">
        <v>0.3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s="2" t="inlineStr"/>
    </row>
    <row r="409" ht="15" customHeight="1">
      <c r="A409" t="inlineStr">
        <is>
          <t>A 38091-2025</t>
        </is>
      </c>
      <c r="B409" t="inlineStr">
        <is>
          <t>avverkningsanmälan</t>
        </is>
      </c>
      <c r="C409" t="inlineStr">
        <is>
          <t>Föryngringsavverkning</t>
        </is>
      </c>
      <c r="D409" s="1" t="n">
        <v>45882</v>
      </c>
      <c r="E409" s="1" t="n">
        <v>46309</v>
      </c>
      <c r="F409" t="inlineStr">
        <is>
          <t>GÄVLEBORGS LÄN</t>
        </is>
      </c>
      <c r="G409" t="inlineStr">
        <is>
          <t>NORDANSTIG</t>
        </is>
      </c>
      <c r="H409" t="inlineStr">
        <is>
          <t>Holmen skog AB</t>
        </is>
      </c>
      <c r="I409" t="n">
        <v>20.2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s="2" t="inlineStr"/>
    </row>
    <row r="410" ht="15" customHeight="1">
      <c r="A410" t="inlineStr">
        <is>
          <t>A 54373-2025</t>
        </is>
      </c>
      <c r="B410" t="inlineStr">
        <is>
          <t>avverkningsanmälan</t>
        </is>
      </c>
      <c r="C410" t="inlineStr">
        <is>
          <t>Föryngringsavverkning</t>
        </is>
      </c>
      <c r="D410" s="1" t="n">
        <v>45965</v>
      </c>
      <c r="E410" s="1" t="n">
        <v>46309</v>
      </c>
      <c r="F410" t="inlineStr">
        <is>
          <t>GÄVLEBORGS LÄN</t>
        </is>
      </c>
      <c r="G410" t="inlineStr">
        <is>
          <t>NORDANSTIG</t>
        </is>
      </c>
      <c r="H410" t="inlineStr">
        <is>
          <t>Holmen skog AB</t>
        </is>
      </c>
      <c r="I410" t="n">
        <v>2.5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s="2" t="inlineStr"/>
    </row>
    <row r="411" ht="15" customHeight="1">
      <c r="A411" t="inlineStr">
        <is>
          <t>A 5459-2026</t>
        </is>
      </c>
      <c r="B411" t="inlineStr">
        <is>
          <t>avverkningsanmälan</t>
        </is>
      </c>
      <c r="C411" t="inlineStr">
        <is>
          <t>Föryngringsavverkning</t>
        </is>
      </c>
      <c r="D411" s="1" t="n">
        <v>46050</v>
      </c>
      <c r="E411" s="1" t="n">
        <v>46309</v>
      </c>
      <c r="F411" t="inlineStr">
        <is>
          <t>GÄVLEBORGS LÄN</t>
        </is>
      </c>
      <c r="G411" t="inlineStr">
        <is>
          <t>NORDANSTIG</t>
        </is>
      </c>
      <c r="I411" t="n">
        <v>6.3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s="2" t="inlineStr"/>
    </row>
    <row r="412" ht="15" customHeight="1">
      <c r="A412" t="inlineStr">
        <is>
          <t>A 5315-2026</t>
        </is>
      </c>
      <c r="B412" t="inlineStr">
        <is>
          <t>avverkningsanmälan</t>
        </is>
      </c>
      <c r="C412" t="inlineStr">
        <is>
          <t>Föryngringsavverkning</t>
        </is>
      </c>
      <c r="D412" s="1" t="n">
        <v>46050</v>
      </c>
      <c r="E412" s="1" t="n">
        <v>46309</v>
      </c>
      <c r="F412" t="inlineStr">
        <is>
          <t>GÄVLEBORGS LÄN</t>
        </is>
      </c>
      <c r="G412" t="inlineStr">
        <is>
          <t>NORDANSTIG</t>
        </is>
      </c>
      <c r="H412" t="inlineStr">
        <is>
          <t>Holmen skog AB</t>
        </is>
      </c>
      <c r="I412" t="n">
        <v>0.5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s="2" t="inlineStr"/>
    </row>
    <row r="413" ht="15" customHeight="1">
      <c r="A413" t="inlineStr">
        <is>
          <t>A 51998-2023</t>
        </is>
      </c>
      <c r="B413" t="inlineStr">
        <is>
          <t>avverkningsanmälan</t>
        </is>
      </c>
      <c r="C413" t="inlineStr">
        <is>
          <t>Föryngringsavverkning</t>
        </is>
      </c>
      <c r="D413" s="1" t="n">
        <v>45223</v>
      </c>
      <c r="E413" s="1" t="n">
        <v>46309</v>
      </c>
      <c r="F413" t="inlineStr">
        <is>
          <t>GÄVLEBORGS LÄN</t>
        </is>
      </c>
      <c r="G413" t="inlineStr">
        <is>
          <t>NORDANSTIG</t>
        </is>
      </c>
      <c r="I413" t="n">
        <v>1.2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s="2" t="inlineStr"/>
    </row>
    <row r="414" ht="15" customHeight="1">
      <c r="A414" t="inlineStr">
        <is>
          <t>A 55186-2025</t>
        </is>
      </c>
      <c r="B414" t="inlineStr">
        <is>
          <t>avverkningsanmälan</t>
        </is>
      </c>
      <c r="C414" t="inlineStr">
        <is>
          <t>Föryngringsavverkning</t>
        </is>
      </c>
      <c r="D414" s="1" t="n">
        <v>45968</v>
      </c>
      <c r="E414" s="1" t="n">
        <v>46309</v>
      </c>
      <c r="F414" t="inlineStr">
        <is>
          <t>GÄVLEBORGS LÄN</t>
        </is>
      </c>
      <c r="G414" t="inlineStr">
        <is>
          <t>NORDANSTIG</t>
        </is>
      </c>
      <c r="I414" t="n">
        <v>3.8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s="2" t="inlineStr"/>
    </row>
    <row r="415" ht="15" customHeight="1">
      <c r="A415" t="inlineStr">
        <is>
          <t>A 5456-2026</t>
        </is>
      </c>
      <c r="B415" t="inlineStr">
        <is>
          <t>avverkningsanmälan</t>
        </is>
      </c>
      <c r="C415" t="inlineStr">
        <is>
          <t>Föryngringsavverkning</t>
        </is>
      </c>
      <c r="D415" s="1" t="n">
        <v>46050</v>
      </c>
      <c r="E415" s="1" t="n">
        <v>46309</v>
      </c>
      <c r="F415" t="inlineStr">
        <is>
          <t>GÄVLEBORGS LÄN</t>
        </is>
      </c>
      <c r="G415" t="inlineStr">
        <is>
          <t>NORDANSTIG</t>
        </is>
      </c>
      <c r="H415" t="inlineStr">
        <is>
          <t>Holmen skog AB</t>
        </is>
      </c>
      <c r="I415" t="n">
        <v>7.5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s="2" t="inlineStr"/>
    </row>
    <row r="416" ht="15" customHeight="1">
      <c r="A416" t="inlineStr">
        <is>
          <t>A 38589-2025</t>
        </is>
      </c>
      <c r="B416" t="inlineStr">
        <is>
          <t>avverkningsanmälan</t>
        </is>
      </c>
      <c r="C416" t="inlineStr">
        <is>
          <t>Föryngringsavverkning</t>
        </is>
      </c>
      <c r="D416" s="1" t="n">
        <v>45884</v>
      </c>
      <c r="E416" s="1" t="n">
        <v>46309</v>
      </c>
      <c r="F416" t="inlineStr">
        <is>
          <t>GÄVLEBORGS LÄN</t>
        </is>
      </c>
      <c r="G416" t="inlineStr">
        <is>
          <t>NORDANSTIG</t>
        </is>
      </c>
      <c r="I416" t="n">
        <v>10.8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s="2" t="inlineStr"/>
    </row>
    <row r="417" ht="15" customHeight="1">
      <c r="A417" t="inlineStr">
        <is>
          <t>A 51806-2024</t>
        </is>
      </c>
      <c r="B417" t="inlineStr">
        <is>
          <t>avverkningsanmälan</t>
        </is>
      </c>
      <c r="C417" t="inlineStr">
        <is>
          <t>Föryngringsavverkning</t>
        </is>
      </c>
      <c r="D417" s="1" t="n">
        <v>45607</v>
      </c>
      <c r="E417" s="1" t="n">
        <v>46309</v>
      </c>
      <c r="F417" t="inlineStr">
        <is>
          <t>GÄVLEBORGS LÄN</t>
        </is>
      </c>
      <c r="G417" t="inlineStr">
        <is>
          <t>NORDANSTIG</t>
        </is>
      </c>
      <c r="H417" t="inlineStr">
        <is>
          <t>Holmen skog AB</t>
        </is>
      </c>
      <c r="I417" t="n">
        <v>10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s="2" t="inlineStr"/>
    </row>
    <row r="418" ht="15" customHeight="1">
      <c r="A418" t="inlineStr">
        <is>
          <t>A 51821-2024</t>
        </is>
      </c>
      <c r="B418" t="inlineStr">
        <is>
          <t>avverkningsanmälan</t>
        </is>
      </c>
      <c r="C418" t="inlineStr">
        <is>
          <t>Föryngringsavverkning</t>
        </is>
      </c>
      <c r="D418" s="1" t="n">
        <v>45607</v>
      </c>
      <c r="E418" s="1" t="n">
        <v>46309</v>
      </c>
      <c r="F418" t="inlineStr">
        <is>
          <t>GÄVLEBORGS LÄN</t>
        </is>
      </c>
      <c r="G418" t="inlineStr">
        <is>
          <t>NORDANSTIG</t>
        </is>
      </c>
      <c r="H418" t="inlineStr">
        <is>
          <t>Holmen skog AB</t>
        </is>
      </c>
      <c r="I418" t="n">
        <v>5.7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s="2" t="inlineStr"/>
    </row>
    <row r="419" ht="15" customHeight="1">
      <c r="A419" t="inlineStr">
        <is>
          <t>A 5947-2026</t>
        </is>
      </c>
      <c r="B419" t="inlineStr">
        <is>
          <t>avverkningsanmälan</t>
        </is>
      </c>
      <c r="C419" t="inlineStr">
        <is>
          <t>Föryngringsavverkning</t>
        </is>
      </c>
      <c r="D419" s="1" t="n">
        <v>46052</v>
      </c>
      <c r="E419" s="1" t="n">
        <v>46309</v>
      </c>
      <c r="F419" t="inlineStr">
        <is>
          <t>GÄVLEBORGS LÄN</t>
        </is>
      </c>
      <c r="G419" t="inlineStr">
        <is>
          <t>NORDANSTIG</t>
        </is>
      </c>
      <c r="I419" t="n">
        <v>10.2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s="2" t="inlineStr"/>
    </row>
    <row r="420" ht="15" customHeight="1">
      <c r="A420" t="inlineStr">
        <is>
          <t>A 5606-2026</t>
        </is>
      </c>
      <c r="B420" t="inlineStr">
        <is>
          <t>avverkningsanmälan</t>
        </is>
      </c>
      <c r="C420" t="inlineStr">
        <is>
          <t>Föryngringsavverkning</t>
        </is>
      </c>
      <c r="D420" s="1" t="n">
        <v>46051</v>
      </c>
      <c r="E420" s="1" t="n">
        <v>46309</v>
      </c>
      <c r="F420" t="inlineStr">
        <is>
          <t>GÄVLEBORGS LÄN</t>
        </is>
      </c>
      <c r="G420" t="inlineStr">
        <is>
          <t>NORDANSTIG</t>
        </is>
      </c>
      <c r="I420" t="n">
        <v>1.9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s="2" t="inlineStr"/>
    </row>
    <row r="421" ht="15" customHeight="1">
      <c r="A421" t="inlineStr">
        <is>
          <t>A 48212-2024</t>
        </is>
      </c>
      <c r="B421" t="inlineStr">
        <is>
          <t>avverkningsanmälan</t>
        </is>
      </c>
      <c r="C421" t="inlineStr">
        <is>
          <t>Föryngringsavverkning</t>
        </is>
      </c>
      <c r="D421" s="1" t="n">
        <v>45590</v>
      </c>
      <c r="E421" s="1" t="n">
        <v>46309</v>
      </c>
      <c r="F421" t="inlineStr">
        <is>
          <t>GÄVLEBORGS LÄN</t>
        </is>
      </c>
      <c r="G421" t="inlineStr">
        <is>
          <t>NORDANSTIG</t>
        </is>
      </c>
      <c r="I421" t="n">
        <v>0.8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s="2" t="inlineStr"/>
    </row>
    <row r="422" ht="15" customHeight="1">
      <c r="A422" t="inlineStr">
        <is>
          <t>A 5598-2026</t>
        </is>
      </c>
      <c r="B422" t="inlineStr">
        <is>
          <t>avverkningsanmälan</t>
        </is>
      </c>
      <c r="C422" t="inlineStr">
        <is>
          <t>Föryngringsavverkning</t>
        </is>
      </c>
      <c r="D422" s="1" t="n">
        <v>46051</v>
      </c>
      <c r="E422" s="1" t="n">
        <v>46309</v>
      </c>
      <c r="F422" t="inlineStr">
        <is>
          <t>GÄVLEBORGS LÄN</t>
        </is>
      </c>
      <c r="G422" t="inlineStr">
        <is>
          <t>NORDANSTIG</t>
        </is>
      </c>
      <c r="I422" t="n">
        <v>1.6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s="2" t="inlineStr"/>
    </row>
    <row r="423" ht="15" customHeight="1">
      <c r="A423" t="inlineStr">
        <is>
          <t>A 5603-2026</t>
        </is>
      </c>
      <c r="B423" t="inlineStr">
        <is>
          <t>avverkningsanmälan</t>
        </is>
      </c>
      <c r="C423" t="inlineStr">
        <is>
          <t>Föryngringsavverkning</t>
        </is>
      </c>
      <c r="D423" s="1" t="n">
        <v>46051</v>
      </c>
      <c r="E423" s="1" t="n">
        <v>46309</v>
      </c>
      <c r="F423" t="inlineStr">
        <is>
          <t>GÄVLEBORGS LÄN</t>
        </is>
      </c>
      <c r="G423" t="inlineStr">
        <is>
          <t>NORDANSTIG</t>
        </is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s="2" t="inlineStr"/>
    </row>
    <row r="424" ht="15" customHeight="1">
      <c r="A424" t="inlineStr">
        <is>
          <t>A 55513-2025</t>
        </is>
      </c>
      <c r="B424" t="inlineStr">
        <is>
          <t>avverkningsanmälan</t>
        </is>
      </c>
      <c r="C424" t="inlineStr">
        <is>
          <t>Föryngringsavverkning</t>
        </is>
      </c>
      <c r="D424" s="1" t="n">
        <v>45971</v>
      </c>
      <c r="E424" s="1" t="n">
        <v>46309</v>
      </c>
      <c r="F424" t="inlineStr">
        <is>
          <t>GÄVLEBORGS LÄN</t>
        </is>
      </c>
      <c r="G424" t="inlineStr">
        <is>
          <t>NORDANSTIG</t>
        </is>
      </c>
      <c r="H424" t="inlineStr">
        <is>
          <t>Holmen skog AB</t>
        </is>
      </c>
      <c r="I424" t="n">
        <v>6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s="2" t="inlineStr"/>
    </row>
    <row r="425" ht="15" customHeight="1">
      <c r="A425" t="inlineStr">
        <is>
          <t>A 5594-2026</t>
        </is>
      </c>
      <c r="B425" t="inlineStr">
        <is>
          <t>avverkningsanmälan</t>
        </is>
      </c>
      <c r="C425" t="inlineStr">
        <is>
          <t>Föryngringsavverkning</t>
        </is>
      </c>
      <c r="D425" s="1" t="n">
        <v>46051</v>
      </c>
      <c r="E425" s="1" t="n">
        <v>46309</v>
      </c>
      <c r="F425" t="inlineStr">
        <is>
          <t>GÄVLEBORGS LÄN</t>
        </is>
      </c>
      <c r="G425" t="inlineStr">
        <is>
          <t>NORDANSTIG</t>
        </is>
      </c>
      <c r="I425" t="n">
        <v>0.8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s="2" t="inlineStr"/>
    </row>
    <row r="426" ht="15" customHeight="1">
      <c r="A426" t="inlineStr">
        <is>
          <t>A 55460-2025</t>
        </is>
      </c>
      <c r="B426" t="inlineStr">
        <is>
          <t>avverkningsanmälan</t>
        </is>
      </c>
      <c r="C426" t="inlineStr">
        <is>
          <t>Föryngringsavverkning</t>
        </is>
      </c>
      <c r="D426" s="1" t="n">
        <v>45971</v>
      </c>
      <c r="E426" s="1" t="n">
        <v>46309</v>
      </c>
      <c r="F426" t="inlineStr">
        <is>
          <t>GÄVLEBORGS LÄN</t>
        </is>
      </c>
      <c r="G426" t="inlineStr">
        <is>
          <t>NORDANSTIG</t>
        </is>
      </c>
      <c r="H426" t="inlineStr">
        <is>
          <t>Holmen skog AB</t>
        </is>
      </c>
      <c r="I426" t="n">
        <v>3.3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s="2" t="inlineStr"/>
    </row>
    <row r="427" ht="15" customHeight="1">
      <c r="A427" t="inlineStr">
        <is>
          <t>A 22459-2023</t>
        </is>
      </c>
      <c r="B427" t="inlineStr">
        <is>
          <t>avverkningsanmälan</t>
        </is>
      </c>
      <c r="C427" t="inlineStr">
        <is>
          <t>Föryngringsavverkning</t>
        </is>
      </c>
      <c r="D427" s="1" t="n">
        <v>45070</v>
      </c>
      <c r="E427" s="1" t="n">
        <v>46309</v>
      </c>
      <c r="F427" t="inlineStr">
        <is>
          <t>GÄVLEBORGS LÄN</t>
        </is>
      </c>
      <c r="G427" t="inlineStr">
        <is>
          <t>NORDANSTIG</t>
        </is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s="2" t="inlineStr"/>
    </row>
    <row r="428" ht="15" customHeight="1">
      <c r="A428" t="inlineStr">
        <is>
          <t>A 55590-2025</t>
        </is>
      </c>
      <c r="B428" t="inlineStr">
        <is>
          <t>avverkningsanmälan</t>
        </is>
      </c>
      <c r="C428" t="inlineStr">
        <is>
          <t>Föryngringsavverkning</t>
        </is>
      </c>
      <c r="D428" s="1" t="n">
        <v>45971</v>
      </c>
      <c r="E428" s="1" t="n">
        <v>46309</v>
      </c>
      <c r="F428" t="inlineStr">
        <is>
          <t>GÄVLEBORGS LÄN</t>
        </is>
      </c>
      <c r="G428" t="inlineStr">
        <is>
          <t>NORDANSTIG</t>
        </is>
      </c>
      <c r="H428" t="inlineStr">
        <is>
          <t>Holmen skog AB</t>
        </is>
      </c>
      <c r="I428" t="n">
        <v>3.6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s="2" t="inlineStr"/>
    </row>
    <row r="429" ht="15" customHeight="1">
      <c r="A429" t="inlineStr">
        <is>
          <t>A 57013-2022</t>
        </is>
      </c>
      <c r="B429" t="inlineStr">
        <is>
          <t>avverkningsanmälan</t>
        </is>
      </c>
      <c r="C429" t="inlineStr">
        <is>
          <t>Föryngringsavverkning</t>
        </is>
      </c>
      <c r="D429" s="1" t="n">
        <v>44894</v>
      </c>
      <c r="E429" s="1" t="n">
        <v>46309</v>
      </c>
      <c r="F429" t="inlineStr">
        <is>
          <t>GÄVLEBORGS LÄN</t>
        </is>
      </c>
      <c r="G429" t="inlineStr">
        <is>
          <t>NORDANSTIG</t>
        </is>
      </c>
      <c r="H429" t="inlineStr">
        <is>
          <t>SCA</t>
        </is>
      </c>
      <c r="I429" t="n">
        <v>11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s="2" t="inlineStr"/>
    </row>
    <row r="430" ht="15" customHeight="1">
      <c r="A430" t="inlineStr">
        <is>
          <t>A 55453-2025</t>
        </is>
      </c>
      <c r="B430" t="inlineStr">
        <is>
          <t>avverkningsanmälan</t>
        </is>
      </c>
      <c r="C430" t="inlineStr">
        <is>
          <t>Föryngringsavverkning</t>
        </is>
      </c>
      <c r="D430" s="1" t="n">
        <v>45971</v>
      </c>
      <c r="E430" s="1" t="n">
        <v>46309</v>
      </c>
      <c r="F430" t="inlineStr">
        <is>
          <t>GÄVLEBORGS LÄN</t>
        </is>
      </c>
      <c r="G430" t="inlineStr">
        <is>
          <t>NORDANSTIG</t>
        </is>
      </c>
      <c r="H430" t="inlineStr">
        <is>
          <t>Holmen skog AB</t>
        </is>
      </c>
      <c r="I430" t="n">
        <v>5.6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s="2" t="inlineStr"/>
    </row>
    <row r="431" ht="15" customHeight="1">
      <c r="A431" t="inlineStr">
        <is>
          <t>A 56039-2025</t>
        </is>
      </c>
      <c r="B431" t="inlineStr">
        <is>
          <t>avverkningsanmälan</t>
        </is>
      </c>
      <c r="C431" t="inlineStr">
        <is>
          <t>Föryngringsavverkning</t>
        </is>
      </c>
      <c r="D431" s="1" t="n">
        <v>45973</v>
      </c>
      <c r="E431" s="1" t="n">
        <v>46309</v>
      </c>
      <c r="F431" t="inlineStr">
        <is>
          <t>GÄVLEBORGS LÄN</t>
        </is>
      </c>
      <c r="G431" t="inlineStr">
        <is>
          <t>NORDANSTIG</t>
        </is>
      </c>
      <c r="I431" t="n">
        <v>2.2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s="2" t="inlineStr"/>
    </row>
    <row r="432" ht="15" customHeight="1">
      <c r="A432" t="inlineStr">
        <is>
          <t>A 55964-2025</t>
        </is>
      </c>
      <c r="B432" t="inlineStr">
        <is>
          <t>avverkningsanmälan</t>
        </is>
      </c>
      <c r="C432" t="inlineStr">
        <is>
          <t>Föryngringsavverkning</t>
        </is>
      </c>
      <c r="D432" s="1" t="n">
        <v>45973</v>
      </c>
      <c r="E432" s="1" t="n">
        <v>46309</v>
      </c>
      <c r="F432" t="inlineStr">
        <is>
          <t>GÄVLEBORGS LÄN</t>
        </is>
      </c>
      <c r="G432" t="inlineStr">
        <is>
          <t>NORDANSTIG</t>
        </is>
      </c>
      <c r="I432" t="n">
        <v>2.8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s="2" t="inlineStr"/>
    </row>
    <row r="433" ht="15" customHeight="1">
      <c r="A433" t="inlineStr">
        <is>
          <t>A 56056-2025</t>
        </is>
      </c>
      <c r="B433" t="inlineStr">
        <is>
          <t>avverkningsanmälan</t>
        </is>
      </c>
      <c r="C433" t="inlineStr">
        <is>
          <t>Föryngringsavverkning</t>
        </is>
      </c>
      <c r="D433" s="1" t="n">
        <v>45973</v>
      </c>
      <c r="E433" s="1" t="n">
        <v>46309</v>
      </c>
      <c r="F433" t="inlineStr">
        <is>
          <t>GÄVLEBORGS LÄN</t>
        </is>
      </c>
      <c r="G433" t="inlineStr">
        <is>
          <t>NORDANSTIG</t>
        </is>
      </c>
      <c r="I433" t="n">
        <v>5.9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s="2" t="inlineStr"/>
    </row>
    <row r="434" ht="15" customHeight="1">
      <c r="A434" t="inlineStr">
        <is>
          <t>A 56357-2025</t>
        </is>
      </c>
      <c r="B434" t="inlineStr">
        <is>
          <t>avverkningsanmälan</t>
        </is>
      </c>
      <c r="C434" t="inlineStr">
        <is>
          <t>Föryngringsavverkning</t>
        </is>
      </c>
      <c r="D434" s="1" t="n">
        <v>45974</v>
      </c>
      <c r="E434" s="1" t="n">
        <v>46309</v>
      </c>
      <c r="F434" t="inlineStr">
        <is>
          <t>GÄVLEBORGS LÄN</t>
        </is>
      </c>
      <c r="G434" t="inlineStr">
        <is>
          <t>NORDANSTIG</t>
        </is>
      </c>
      <c r="H434" t="inlineStr">
        <is>
          <t>Holmen skog AB</t>
        </is>
      </c>
      <c r="I434" t="n">
        <v>4.9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s="2" t="inlineStr"/>
    </row>
    <row r="435" ht="15" customHeight="1">
      <c r="A435" t="inlineStr">
        <is>
          <t>A 56031-2025</t>
        </is>
      </c>
      <c r="B435" t="inlineStr">
        <is>
          <t>avverkningsanmälan</t>
        </is>
      </c>
      <c r="C435" t="inlineStr">
        <is>
          <t>Föryngringsavverkning</t>
        </is>
      </c>
      <c r="D435" s="1" t="n">
        <v>45973</v>
      </c>
      <c r="E435" s="1" t="n">
        <v>46309</v>
      </c>
      <c r="F435" t="inlineStr">
        <is>
          <t>GÄVLEBORGS LÄN</t>
        </is>
      </c>
      <c r="G435" t="inlineStr">
        <is>
          <t>NORDANSTIG</t>
        </is>
      </c>
      <c r="I435" t="n">
        <v>1.2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s="2" t="inlineStr"/>
    </row>
    <row r="436" ht="15" customHeight="1">
      <c r="A436" t="inlineStr">
        <is>
          <t>A 55955-2025</t>
        </is>
      </c>
      <c r="B436" t="inlineStr">
        <is>
          <t>avverkningsanmälan</t>
        </is>
      </c>
      <c r="C436" t="inlineStr">
        <is>
          <t>Föryngringsavverkning</t>
        </is>
      </c>
      <c r="D436" s="1" t="n">
        <v>45973</v>
      </c>
      <c r="E436" s="1" t="n">
        <v>46309</v>
      </c>
      <c r="F436" t="inlineStr">
        <is>
          <t>GÄVLEBORGS LÄN</t>
        </is>
      </c>
      <c r="G436" t="inlineStr">
        <is>
          <t>NORDANSTIG</t>
        </is>
      </c>
      <c r="I436" t="n">
        <v>1.7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s="2" t="inlineStr"/>
    </row>
    <row r="437" ht="15" customHeight="1">
      <c r="A437" t="inlineStr">
        <is>
          <t>A 56191-2025</t>
        </is>
      </c>
      <c r="B437" t="inlineStr">
        <is>
          <t>avverkningsanmälan</t>
        </is>
      </c>
      <c r="C437" t="inlineStr">
        <is>
          <t>Föryngringsavverkning</t>
        </is>
      </c>
      <c r="D437" s="1" t="n">
        <v>45974</v>
      </c>
      <c r="E437" s="1" t="n">
        <v>46309</v>
      </c>
      <c r="F437" t="inlineStr">
        <is>
          <t>GÄVLEBORGS LÄN</t>
        </is>
      </c>
      <c r="G437" t="inlineStr">
        <is>
          <t>NORDANSTIG</t>
        </is>
      </c>
      <c r="I437" t="n">
        <v>4.8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s="2" t="inlineStr"/>
    </row>
    <row r="438" ht="15" customHeight="1">
      <c r="A438" t="inlineStr">
        <is>
          <t>A 55538-2024</t>
        </is>
      </c>
      <c r="B438" t="inlineStr">
        <is>
          <t>avverkningsanmälan</t>
        </is>
      </c>
      <c r="C438" t="inlineStr">
        <is>
          <t>Föryngringsavverkning</t>
        </is>
      </c>
      <c r="D438" s="1" t="n">
        <v>45622</v>
      </c>
      <c r="E438" s="1" t="n">
        <v>46309</v>
      </c>
      <c r="F438" t="inlineStr">
        <is>
          <t>GÄVLEBORGS LÄN</t>
        </is>
      </c>
      <c r="G438" t="inlineStr">
        <is>
          <t>NORDANSTIG</t>
        </is>
      </c>
      <c r="I438" t="n">
        <v>2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s="2" t="inlineStr"/>
    </row>
    <row r="439" ht="15" customHeight="1">
      <c r="A439" t="inlineStr">
        <is>
          <t>A 56351-2024</t>
        </is>
      </c>
      <c r="B439" t="inlineStr">
        <is>
          <t>avverkningsanmälan</t>
        </is>
      </c>
      <c r="C439" t="inlineStr">
        <is>
          <t>Föryngringsavverkning</t>
        </is>
      </c>
      <c r="D439" s="1" t="n">
        <v>45624</v>
      </c>
      <c r="E439" s="1" t="n">
        <v>46309</v>
      </c>
      <c r="F439" t="inlineStr">
        <is>
          <t>GÄVLEBORGS LÄN</t>
        </is>
      </c>
      <c r="G439" t="inlineStr">
        <is>
          <t>NORDANSTIG</t>
        </is>
      </c>
      <c r="I439" t="n">
        <v>4.2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s="2" t="inlineStr"/>
    </row>
    <row r="440" ht="15" customHeight="1">
      <c r="A440" t="inlineStr">
        <is>
          <t>A 6641-2026</t>
        </is>
      </c>
      <c r="B440" t="inlineStr">
        <is>
          <t>avverkningsanmälan</t>
        </is>
      </c>
      <c r="C440" t="inlineStr">
        <is>
          <t>Föryngringsavverkning</t>
        </is>
      </c>
      <c r="D440" s="1" t="n">
        <v>46056</v>
      </c>
      <c r="E440" s="1" t="n">
        <v>46309</v>
      </c>
      <c r="F440" t="inlineStr">
        <is>
          <t>GÄVLEBORGS LÄN</t>
        </is>
      </c>
      <c r="G440" t="inlineStr">
        <is>
          <t>NORDANSTIG</t>
        </is>
      </c>
      <c r="I440" t="n">
        <v>6.3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s="2" t="inlineStr"/>
    </row>
    <row r="441" ht="15" customHeight="1">
      <c r="A441" t="inlineStr">
        <is>
          <t>A 6117-2026</t>
        </is>
      </c>
      <c r="B441" t="inlineStr">
        <is>
          <t>avverkningsanmälan</t>
        </is>
      </c>
      <c r="C441" t="inlineStr">
        <is>
          <t>Föryngringsavverkning</t>
        </is>
      </c>
      <c r="D441" s="1" t="n">
        <v>46053</v>
      </c>
      <c r="E441" s="1" t="n">
        <v>46309</v>
      </c>
      <c r="F441" t="inlineStr">
        <is>
          <t>GÄVLEBORGS LÄN</t>
        </is>
      </c>
      <c r="G441" t="inlineStr">
        <is>
          <t>NORDANSTIG</t>
        </is>
      </c>
      <c r="I441" t="n">
        <v>9.1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s="2" t="inlineStr"/>
    </row>
    <row r="442" ht="15" customHeight="1">
      <c r="A442" t="inlineStr">
        <is>
          <t>A 6116-2026</t>
        </is>
      </c>
      <c r="B442" t="inlineStr">
        <is>
          <t>avverkningsanmälan</t>
        </is>
      </c>
      <c r="C442" t="inlineStr">
        <is>
          <t>Föryngringsavverkning</t>
        </is>
      </c>
      <c r="D442" s="1" t="n">
        <v>46053</v>
      </c>
      <c r="E442" s="1" t="n">
        <v>46309</v>
      </c>
      <c r="F442" t="inlineStr">
        <is>
          <t>GÄVLEBORGS LÄN</t>
        </is>
      </c>
      <c r="G442" t="inlineStr">
        <is>
          <t>NORDANSTIG</t>
        </is>
      </c>
      <c r="I442" t="n">
        <v>45.3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s="2" t="inlineStr"/>
    </row>
    <row r="443" ht="15" customHeight="1">
      <c r="A443" t="inlineStr">
        <is>
          <t>A 6647-2026</t>
        </is>
      </c>
      <c r="B443" t="inlineStr">
        <is>
          <t>avverkningsanmälan</t>
        </is>
      </c>
      <c r="C443" t="inlineStr">
        <is>
          <t>Föryngringsavverkning</t>
        </is>
      </c>
      <c r="D443" s="1" t="n">
        <v>46056</v>
      </c>
      <c r="E443" s="1" t="n">
        <v>46309</v>
      </c>
      <c r="F443" t="inlineStr">
        <is>
          <t>GÄVLEBORGS LÄN</t>
        </is>
      </c>
      <c r="G443" t="inlineStr">
        <is>
          <t>NORDANSTIG</t>
        </is>
      </c>
      <c r="I443" t="n">
        <v>7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s="2" t="inlineStr"/>
    </row>
    <row r="444" ht="15" customHeight="1">
      <c r="A444" t="inlineStr">
        <is>
          <t>A 6344-2026</t>
        </is>
      </c>
      <c r="B444" t="inlineStr">
        <is>
          <t>avverkningsanmälan</t>
        </is>
      </c>
      <c r="C444" t="inlineStr">
        <is>
          <t>Föryngringsavverkning</t>
        </is>
      </c>
      <c r="D444" s="1" t="n">
        <v>46055</v>
      </c>
      <c r="E444" s="1" t="n">
        <v>46309</v>
      </c>
      <c r="F444" t="inlineStr">
        <is>
          <t>GÄVLEBORGS LÄN</t>
        </is>
      </c>
      <c r="G444" t="inlineStr">
        <is>
          <t>NORDANSTIG</t>
        </is>
      </c>
      <c r="I444" t="n">
        <v>4.9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s="2" t="inlineStr"/>
    </row>
    <row r="445" ht="15" customHeight="1">
      <c r="A445" t="inlineStr">
        <is>
          <t>A 57559-2025</t>
        </is>
      </c>
      <c r="B445" t="inlineStr">
        <is>
          <t>avverkningsanmälan</t>
        </is>
      </c>
      <c r="C445" t="inlineStr">
        <is>
          <t>Avverkning för att bevara och utveckla /försöksver</t>
        </is>
      </c>
      <c r="D445" s="1" t="n">
        <v>45980</v>
      </c>
      <c r="E445" s="1" t="n">
        <v>46309</v>
      </c>
      <c r="F445" t="inlineStr">
        <is>
          <t>GÄVLEBORGS LÄN</t>
        </is>
      </c>
      <c r="G445" t="inlineStr">
        <is>
          <t>NORDANSTIG</t>
        </is>
      </c>
      <c r="H445" t="inlineStr">
        <is>
          <t>SCA</t>
        </is>
      </c>
      <c r="I445" t="n">
        <v>0.7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s="2" t="inlineStr"/>
    </row>
    <row r="446" ht="15" customHeight="1">
      <c r="A446" t="inlineStr">
        <is>
          <t>A 57558-2025</t>
        </is>
      </c>
      <c r="B446" t="inlineStr">
        <is>
          <t>avverkningsanmälan</t>
        </is>
      </c>
      <c r="C446" t="inlineStr">
        <is>
          <t>Avverkning för att bevara och utveckla /försöksver</t>
        </is>
      </c>
      <c r="D446" s="1" t="n">
        <v>45980</v>
      </c>
      <c r="E446" s="1" t="n">
        <v>46309</v>
      </c>
      <c r="F446" t="inlineStr">
        <is>
          <t>GÄVLEBORGS LÄN</t>
        </is>
      </c>
      <c r="G446" t="inlineStr">
        <is>
          <t>NORDANSTIG</t>
        </is>
      </c>
      <c r="H446" t="inlineStr">
        <is>
          <t>SCA</t>
        </is>
      </c>
      <c r="I446" t="n">
        <v>1.9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s="2" t="inlineStr"/>
    </row>
    <row r="447" ht="15" customHeight="1">
      <c r="A447" t="inlineStr">
        <is>
          <t>A 57284-2025</t>
        </is>
      </c>
      <c r="B447" t="inlineStr">
        <is>
          <t>avverkningsanmälan</t>
        </is>
      </c>
      <c r="C447" t="inlineStr">
        <is>
          <t>Föryngringsavverkning</t>
        </is>
      </c>
      <c r="D447" s="1" t="n">
        <v>45979</v>
      </c>
      <c r="E447" s="1" t="n">
        <v>46309</v>
      </c>
      <c r="F447" t="inlineStr">
        <is>
          <t>GÄVLEBORGS LÄN</t>
        </is>
      </c>
      <c r="G447" t="inlineStr">
        <is>
          <t>NORDANSTIG</t>
        </is>
      </c>
      <c r="H447" t="inlineStr">
        <is>
          <t>SCA</t>
        </is>
      </c>
      <c r="I447" t="n">
        <v>0.5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s="2" t="inlineStr"/>
    </row>
    <row r="448" ht="15" customHeight="1">
      <c r="A448" t="inlineStr">
        <is>
          <t>A 38246-2025</t>
        </is>
      </c>
      <c r="B448" t="inlineStr">
        <is>
          <t>avverkningsanmälan</t>
        </is>
      </c>
      <c r="C448" t="inlineStr">
        <is>
          <t>Föryngringsavverkning</t>
        </is>
      </c>
      <c r="D448" s="1" t="n">
        <v>45883</v>
      </c>
      <c r="E448" s="1" t="n">
        <v>46309</v>
      </c>
      <c r="F448" t="inlineStr">
        <is>
          <t>GÄVLEBORGS LÄN</t>
        </is>
      </c>
      <c r="G448" t="inlineStr">
        <is>
          <t>NORDANSTIG</t>
        </is>
      </c>
      <c r="I448" t="n">
        <v>0.8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s="2" t="inlineStr"/>
    </row>
    <row r="449" ht="15" customHeight="1">
      <c r="A449" t="inlineStr">
        <is>
          <t>A 6279-2026</t>
        </is>
      </c>
      <c r="B449" t="inlineStr">
        <is>
          <t>avverkningsanmälan</t>
        </is>
      </c>
      <c r="C449" t="inlineStr">
        <is>
          <t>Föryngringsavverkning</t>
        </is>
      </c>
      <c r="D449" s="1" t="n">
        <v>46055</v>
      </c>
      <c r="E449" s="1" t="n">
        <v>46309</v>
      </c>
      <c r="F449" t="inlineStr">
        <is>
          <t>GÄVLEBORGS LÄN</t>
        </is>
      </c>
      <c r="G449" t="inlineStr">
        <is>
          <t>NORDANSTIG</t>
        </is>
      </c>
      <c r="H449" t="inlineStr">
        <is>
          <t>Holmen skog AB</t>
        </is>
      </c>
      <c r="I449" t="n">
        <v>3.7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s="2" t="inlineStr"/>
    </row>
    <row r="450" ht="15" customHeight="1">
      <c r="A450" t="inlineStr">
        <is>
          <t>A 6287-2026</t>
        </is>
      </c>
      <c r="B450" t="inlineStr">
        <is>
          <t>avverkningsanmälan</t>
        </is>
      </c>
      <c r="C450" t="inlineStr">
        <is>
          <t>Föryngringsavverkning</t>
        </is>
      </c>
      <c r="D450" s="1" t="n">
        <v>46055</v>
      </c>
      <c r="E450" s="1" t="n">
        <v>46309</v>
      </c>
      <c r="F450" t="inlineStr">
        <is>
          <t>GÄVLEBORGS LÄN</t>
        </is>
      </c>
      <c r="G450" t="inlineStr">
        <is>
          <t>NORDANSTIG</t>
        </is>
      </c>
      <c r="H450" t="inlineStr">
        <is>
          <t>Holmen skog AB</t>
        </is>
      </c>
      <c r="I450" t="n">
        <v>3.5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s="2" t="inlineStr"/>
    </row>
    <row r="451" ht="15" customHeight="1">
      <c r="A451" t="inlineStr">
        <is>
          <t>A 6854-2026</t>
        </is>
      </c>
      <c r="B451" t="inlineStr">
        <is>
          <t>avverkningsanmälan</t>
        </is>
      </c>
      <c r="C451" t="inlineStr">
        <is>
          <t>Föryngringsavverkning</t>
        </is>
      </c>
      <c r="D451" s="1" t="n">
        <v>46057</v>
      </c>
      <c r="E451" s="1" t="n">
        <v>46309</v>
      </c>
      <c r="F451" t="inlineStr">
        <is>
          <t>GÄVLEBORGS LÄN</t>
        </is>
      </c>
      <c r="G451" t="inlineStr">
        <is>
          <t>NORDANSTIG</t>
        </is>
      </c>
      <c r="I451" t="n">
        <v>5.2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s="2" t="inlineStr"/>
    </row>
    <row r="452" ht="15" customHeight="1">
      <c r="A452" t="inlineStr">
        <is>
          <t>A 6859-2026</t>
        </is>
      </c>
      <c r="B452" t="inlineStr">
        <is>
          <t>avverkningsanmälan</t>
        </is>
      </c>
      <c r="C452" t="inlineStr">
        <is>
          <t>Föryngringsavverkning</t>
        </is>
      </c>
      <c r="D452" s="1" t="n">
        <v>46057</v>
      </c>
      <c r="E452" s="1" t="n">
        <v>46309</v>
      </c>
      <c r="F452" t="inlineStr">
        <is>
          <t>GÄVLEBORGS LÄN</t>
        </is>
      </c>
      <c r="G452" t="inlineStr">
        <is>
          <t>NORDANSTIG</t>
        </is>
      </c>
      <c r="I452" t="n">
        <v>0.8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s="2" t="inlineStr"/>
    </row>
    <row r="453" ht="15" customHeight="1">
      <c r="A453" t="inlineStr">
        <is>
          <t>A 51930-2023</t>
        </is>
      </c>
      <c r="B453" t="inlineStr">
        <is>
          <t>avverkningsanmälan</t>
        </is>
      </c>
      <c r="C453" t="inlineStr">
        <is>
          <t>Föryngringsavverkning</t>
        </is>
      </c>
      <c r="D453" s="1" t="n">
        <v>45223</v>
      </c>
      <c r="E453" s="1" t="n">
        <v>46309</v>
      </c>
      <c r="F453" t="inlineStr">
        <is>
          <t>GÄVLEBORGS LÄN</t>
        </is>
      </c>
      <c r="G453" t="inlineStr">
        <is>
          <t>NORDANSTIG</t>
        </is>
      </c>
      <c r="H453" t="inlineStr">
        <is>
          <t>Holmen skog AB</t>
        </is>
      </c>
      <c r="I453" t="n">
        <v>1.2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s="2" t="inlineStr"/>
    </row>
    <row r="454" ht="15" customHeight="1">
      <c r="A454" t="inlineStr">
        <is>
          <t>A 57875-2025</t>
        </is>
      </c>
      <c r="B454" t="inlineStr">
        <is>
          <t>avverkningsanmälan</t>
        </is>
      </c>
      <c r="C454" t="inlineStr">
        <is>
          <t>Föryngringsavverkning</t>
        </is>
      </c>
      <c r="D454" s="1" t="n">
        <v>45981</v>
      </c>
      <c r="E454" s="1" t="n">
        <v>46309</v>
      </c>
      <c r="F454" t="inlineStr">
        <is>
          <t>GÄVLEBORGS LÄN</t>
        </is>
      </c>
      <c r="G454" t="inlineStr">
        <is>
          <t>NORDANSTIG</t>
        </is>
      </c>
      <c r="I454" t="n">
        <v>0.7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s="2" t="inlineStr"/>
    </row>
    <row r="455" ht="15" customHeight="1">
      <c r="A455" t="inlineStr">
        <is>
          <t>A 6840-2026</t>
        </is>
      </c>
      <c r="B455" t="inlineStr">
        <is>
          <t>avverkningsanmälan</t>
        </is>
      </c>
      <c r="C455" t="inlineStr">
        <is>
          <t>Föryngringsavverkning</t>
        </is>
      </c>
      <c r="D455" s="1" t="n">
        <v>46057</v>
      </c>
      <c r="E455" s="1" t="n">
        <v>46309</v>
      </c>
      <c r="F455" t="inlineStr">
        <is>
          <t>GÄVLEBORGS LÄN</t>
        </is>
      </c>
      <c r="G455" t="inlineStr">
        <is>
          <t>NORDANSTIG</t>
        </is>
      </c>
      <c r="I455" t="n">
        <v>0.5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s="2" t="inlineStr"/>
    </row>
    <row r="456" ht="15" customHeight="1">
      <c r="A456" t="inlineStr">
        <is>
          <t>A 58531-2025</t>
        </is>
      </c>
      <c r="B456" t="inlineStr">
        <is>
          <t>avverkningsanmälan</t>
        </is>
      </c>
      <c r="C456" t="inlineStr">
        <is>
          <t>Föryngringsavverkning</t>
        </is>
      </c>
      <c r="D456" s="1" t="n">
        <v>45985</v>
      </c>
      <c r="E456" s="1" t="n">
        <v>46309</v>
      </c>
      <c r="F456" t="inlineStr">
        <is>
          <t>GÄVLEBORGS LÄN</t>
        </is>
      </c>
      <c r="G456" t="inlineStr">
        <is>
          <t>NORDANSTIG</t>
        </is>
      </c>
      <c r="I456" t="n">
        <v>0.9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s="2" t="inlineStr"/>
    </row>
    <row r="457" ht="15" customHeight="1">
      <c r="A457" t="inlineStr">
        <is>
          <t>A 58522-2025</t>
        </is>
      </c>
      <c r="B457" t="inlineStr">
        <is>
          <t>avverkningsanmälan</t>
        </is>
      </c>
      <c r="C457" t="inlineStr">
        <is>
          <t>Föryngringsavverkning</t>
        </is>
      </c>
      <c r="D457" s="1" t="n">
        <v>45985</v>
      </c>
      <c r="E457" s="1" t="n">
        <v>46309</v>
      </c>
      <c r="F457" t="inlineStr">
        <is>
          <t>GÄVLEBORGS LÄN</t>
        </is>
      </c>
      <c r="G457" t="inlineStr">
        <is>
          <t>NORDANSTIG</t>
        </is>
      </c>
      <c r="I457" t="n">
        <v>3.6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s="2" t="inlineStr"/>
    </row>
    <row r="458" ht="15" customHeight="1">
      <c r="A458" t="inlineStr">
        <is>
          <t>A 32652-2023</t>
        </is>
      </c>
      <c r="B458" t="inlineStr">
        <is>
          <t>avverkningsanmälan</t>
        </is>
      </c>
      <c r="C458" t="inlineStr">
        <is>
          <t>Föryngringsavverkning</t>
        </is>
      </c>
      <c r="D458" s="1" t="n">
        <v>45121</v>
      </c>
      <c r="E458" s="1" t="n">
        <v>46309</v>
      </c>
      <c r="F458" t="inlineStr">
        <is>
          <t>GÄVLEBORGS LÄN</t>
        </is>
      </c>
      <c r="G458" t="inlineStr">
        <is>
          <t>NORDANSTIG</t>
        </is>
      </c>
      <c r="I458" t="n">
        <v>3.3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s="2" t="inlineStr"/>
    </row>
    <row r="459" ht="15" customHeight="1">
      <c r="A459" t="inlineStr">
        <is>
          <t>A 7831-2026</t>
        </is>
      </c>
      <c r="B459" t="inlineStr">
        <is>
          <t>avverkningsanmälan</t>
        </is>
      </c>
      <c r="C459" t="inlineStr">
        <is>
          <t>Föryngringsavverkning</t>
        </is>
      </c>
      <c r="D459" s="1" t="n">
        <v>46062</v>
      </c>
      <c r="E459" s="1" t="n">
        <v>46309</v>
      </c>
      <c r="F459" t="inlineStr">
        <is>
          <t>GÄVLEBORGS LÄN</t>
        </is>
      </c>
      <c r="G459" t="inlineStr">
        <is>
          <t>NORDANSTIG</t>
        </is>
      </c>
      <c r="I459" t="n">
        <v>1.6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s="2" t="inlineStr"/>
    </row>
    <row r="460" ht="15" customHeight="1">
      <c r="A460" t="inlineStr">
        <is>
          <t>A 58533-2025</t>
        </is>
      </c>
      <c r="B460" t="inlineStr">
        <is>
          <t>avverkningsanmälan</t>
        </is>
      </c>
      <c r="C460" t="inlineStr">
        <is>
          <t>Föryngringsavverkning</t>
        </is>
      </c>
      <c r="D460" s="1" t="n">
        <v>45985</v>
      </c>
      <c r="E460" s="1" t="n">
        <v>46309</v>
      </c>
      <c r="F460" t="inlineStr">
        <is>
          <t>GÄVLEBORGS LÄN</t>
        </is>
      </c>
      <c r="G460" t="inlineStr">
        <is>
          <t>NORDANSTIG</t>
        </is>
      </c>
      <c r="I460" t="n">
        <v>0.6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s="2" t="inlineStr"/>
    </row>
    <row r="461" ht="15" customHeight="1">
      <c r="A461" t="inlineStr">
        <is>
          <t>A 58595-2025</t>
        </is>
      </c>
      <c r="B461" t="inlineStr">
        <is>
          <t>avverkningsanmälan</t>
        </is>
      </c>
      <c r="C461" t="inlineStr">
        <is>
          <t>Föryngringsavverkning</t>
        </is>
      </c>
      <c r="D461" s="1" t="n">
        <v>45986</v>
      </c>
      <c r="E461" s="1" t="n">
        <v>46309</v>
      </c>
      <c r="F461" t="inlineStr">
        <is>
          <t>GÄVLEBORGS LÄN</t>
        </is>
      </c>
      <c r="G461" t="inlineStr">
        <is>
          <t>NORDANSTIG</t>
        </is>
      </c>
      <c r="I461" t="n">
        <v>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s="2" t="inlineStr"/>
    </row>
    <row r="462" ht="15" customHeight="1">
      <c r="A462" t="inlineStr">
        <is>
          <t>A 62619-2023</t>
        </is>
      </c>
      <c r="B462" t="inlineStr">
        <is>
          <t>avverkningsanmälan</t>
        </is>
      </c>
      <c r="C462" t="inlineStr">
        <is>
          <t>Föryngringsavverkning</t>
        </is>
      </c>
      <c r="D462" s="1" t="n">
        <v>45271</v>
      </c>
      <c r="E462" s="1" t="n">
        <v>46309</v>
      </c>
      <c r="F462" t="inlineStr">
        <is>
          <t>GÄVLEBORGS LÄN</t>
        </is>
      </c>
      <c r="G462" t="inlineStr">
        <is>
          <t>NORDANSTIG</t>
        </is>
      </c>
      <c r="H462" t="inlineStr">
        <is>
          <t>Holmen skog AB</t>
        </is>
      </c>
      <c r="I462" t="n">
        <v>2.7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s="2" t="inlineStr"/>
    </row>
    <row r="463" ht="15" customHeight="1">
      <c r="A463" t="inlineStr">
        <is>
          <t>A 58532-2025</t>
        </is>
      </c>
      <c r="B463" t="inlineStr">
        <is>
          <t>avverkningsanmälan</t>
        </is>
      </c>
      <c r="C463" t="inlineStr">
        <is>
          <t>Föryngringsavverkning</t>
        </is>
      </c>
      <c r="D463" s="1" t="n">
        <v>45985</v>
      </c>
      <c r="E463" s="1" t="n">
        <v>46309</v>
      </c>
      <c r="F463" t="inlineStr">
        <is>
          <t>GÄVLEBORGS LÄN</t>
        </is>
      </c>
      <c r="G463" t="inlineStr">
        <is>
          <t>NORDANSTIG</t>
        </is>
      </c>
      <c r="I463" t="n">
        <v>0.7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s="2" t="inlineStr"/>
    </row>
    <row r="464" ht="15" customHeight="1">
      <c r="A464" t="inlineStr">
        <is>
          <t>A 58535-2025</t>
        </is>
      </c>
      <c r="B464" t="inlineStr">
        <is>
          <t>avverkningsanmälan</t>
        </is>
      </c>
      <c r="C464" t="inlineStr">
        <is>
          <t>Föryngringsavverkning</t>
        </is>
      </c>
      <c r="D464" s="1" t="n">
        <v>45985</v>
      </c>
      <c r="E464" s="1" t="n">
        <v>46309</v>
      </c>
      <c r="F464" t="inlineStr">
        <is>
          <t>GÄVLEBORGS LÄN</t>
        </is>
      </c>
      <c r="G464" t="inlineStr">
        <is>
          <t>NORDANSTIG</t>
        </is>
      </c>
      <c r="I464" t="n">
        <v>0.8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s="2" t="inlineStr"/>
    </row>
    <row r="465" ht="15" customHeight="1">
      <c r="A465" t="inlineStr">
        <is>
          <t>A 7783-2026</t>
        </is>
      </c>
      <c r="B465" t="inlineStr">
        <is>
          <t>avverkningsanmälan</t>
        </is>
      </c>
      <c r="C465" t="inlineStr">
        <is>
          <t>Föryngringsavverkning</t>
        </is>
      </c>
      <c r="D465" s="1" t="n">
        <v>46062</v>
      </c>
      <c r="E465" s="1" t="n">
        <v>46309</v>
      </c>
      <c r="F465" t="inlineStr">
        <is>
          <t>GÄVLEBORGS LÄN</t>
        </is>
      </c>
      <c r="G465" t="inlineStr">
        <is>
          <t>NORDANSTIG</t>
        </is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s="2" t="inlineStr"/>
    </row>
    <row r="466" ht="15" customHeight="1">
      <c r="A466" t="inlineStr">
        <is>
          <t>A 472-2024</t>
        </is>
      </c>
      <c r="B466" t="inlineStr">
        <is>
          <t>avverkningsanmälan</t>
        </is>
      </c>
      <c r="C466" t="inlineStr">
        <is>
          <t>Föryngringsavverkning</t>
        </is>
      </c>
      <c r="D466" s="1" t="n">
        <v>45297</v>
      </c>
      <c r="E466" s="1" t="n">
        <v>46309</v>
      </c>
      <c r="F466" t="inlineStr">
        <is>
          <t>GÄVLEBORGS LÄN</t>
        </is>
      </c>
      <c r="G466" t="inlineStr">
        <is>
          <t>NORDANSTIG</t>
        </is>
      </c>
      <c r="H466" t="inlineStr">
        <is>
          <t>Holmen skog AB</t>
        </is>
      </c>
      <c r="I466" t="n">
        <v>1.4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s="2" t="inlineStr"/>
    </row>
    <row r="467" ht="15" customHeight="1">
      <c r="A467" t="inlineStr">
        <is>
          <t>A 7685-2026</t>
        </is>
      </c>
      <c r="B467" t="inlineStr">
        <is>
          <t>avverkningsanmälan</t>
        </is>
      </c>
      <c r="C467" t="inlineStr">
        <is>
          <t>Föryngringsavverkning</t>
        </is>
      </c>
      <c r="D467" s="1" t="n">
        <v>46062</v>
      </c>
      <c r="E467" s="1" t="n">
        <v>46309</v>
      </c>
      <c r="F467" t="inlineStr">
        <is>
          <t>GÄVLEBORGS LÄN</t>
        </is>
      </c>
      <c r="G467" t="inlineStr">
        <is>
          <t>NORDANSTIG</t>
        </is>
      </c>
      <c r="I467" t="n">
        <v>7.3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s="2" t="inlineStr"/>
    </row>
    <row r="468" ht="15" customHeight="1">
      <c r="A468" t="inlineStr">
        <is>
          <t>A 7640-2026</t>
        </is>
      </c>
      <c r="B468" t="inlineStr">
        <is>
          <t>avverkningsanmälan</t>
        </is>
      </c>
      <c r="C468" t="inlineStr">
        <is>
          <t>Föryngringsavverkning</t>
        </is>
      </c>
      <c r="D468" s="1" t="n">
        <v>46062</v>
      </c>
      <c r="E468" s="1" t="n">
        <v>46309</v>
      </c>
      <c r="F468" t="inlineStr">
        <is>
          <t>GÄVLEBORGS LÄN</t>
        </is>
      </c>
      <c r="G468" t="inlineStr">
        <is>
          <t>NORDANSTIG</t>
        </is>
      </c>
      <c r="H468" t="inlineStr">
        <is>
          <t>Holmen skog AB</t>
        </is>
      </c>
      <c r="I468" t="n">
        <v>35.4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s="2" t="inlineStr"/>
    </row>
    <row r="469" ht="15" customHeight="1">
      <c r="A469" t="inlineStr">
        <is>
          <t>A 7863-2026</t>
        </is>
      </c>
      <c r="B469" t="inlineStr">
        <is>
          <t>avverkningsanmälan</t>
        </is>
      </c>
      <c r="C469" t="inlineStr">
        <is>
          <t>Föryngringsavverkning</t>
        </is>
      </c>
      <c r="D469" s="1" t="n">
        <v>46062</v>
      </c>
      <c r="E469" s="1" t="n">
        <v>46309</v>
      </c>
      <c r="F469" t="inlineStr">
        <is>
          <t>GÄVLEBORGS LÄN</t>
        </is>
      </c>
      <c r="G469" t="inlineStr">
        <is>
          <t>NORDANSTIG</t>
        </is>
      </c>
      <c r="I469" t="n">
        <v>2.3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s="2" t="inlineStr"/>
    </row>
    <row r="470" ht="15" customHeight="1">
      <c r="A470" t="inlineStr">
        <is>
          <t>A 46376-2024</t>
        </is>
      </c>
      <c r="B470" t="inlineStr">
        <is>
          <t>avverkningsanmälan</t>
        </is>
      </c>
      <c r="C470" t="inlineStr">
        <is>
          <t>Föryngringsavverkning</t>
        </is>
      </c>
      <c r="D470" s="1" t="n">
        <v>45582</v>
      </c>
      <c r="E470" s="1" t="n">
        <v>46309</v>
      </c>
      <c r="F470" t="inlineStr">
        <is>
          <t>GÄVLEBORGS LÄN</t>
        </is>
      </c>
      <c r="G470" t="inlineStr">
        <is>
          <t>NORDANSTIG</t>
        </is>
      </c>
      <c r="H470" t="inlineStr">
        <is>
          <t>Holmen skog AB</t>
        </is>
      </c>
      <c r="I470" t="n">
        <v>5.3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s="2" t="inlineStr"/>
    </row>
    <row r="471" ht="15" customHeight="1">
      <c r="A471" t="inlineStr">
        <is>
          <t>A 45549-2024</t>
        </is>
      </c>
      <c r="B471" t="inlineStr">
        <is>
          <t>avverkningsanmälan</t>
        </is>
      </c>
      <c r="C471" t="inlineStr">
        <is>
          <t>Föryngringsavverkning</t>
        </is>
      </c>
      <c r="D471" s="1" t="n">
        <v>45579</v>
      </c>
      <c r="E471" s="1" t="n">
        <v>46309</v>
      </c>
      <c r="F471" t="inlineStr">
        <is>
          <t>GÄVLEBORGS LÄN</t>
        </is>
      </c>
      <c r="G471" t="inlineStr">
        <is>
          <t>NORDANSTIG</t>
        </is>
      </c>
      <c r="I471" t="n">
        <v>0.7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s="2" t="inlineStr"/>
    </row>
    <row r="472" ht="15" customHeight="1">
      <c r="A472" t="inlineStr">
        <is>
          <t>A 7691-2026</t>
        </is>
      </c>
      <c r="B472" t="inlineStr">
        <is>
          <t>avverkningsanmälan</t>
        </is>
      </c>
      <c r="C472" t="inlineStr">
        <is>
          <t>Föryngringsavverkning</t>
        </is>
      </c>
      <c r="D472" s="1" t="n">
        <v>46062</v>
      </c>
      <c r="E472" s="1" t="n">
        <v>46309</v>
      </c>
      <c r="F472" t="inlineStr">
        <is>
          <t>GÄVLEBORGS LÄN</t>
        </is>
      </c>
      <c r="G472" t="inlineStr">
        <is>
          <t>NORDANSTIG</t>
        </is>
      </c>
      <c r="I472" t="n">
        <v>5.7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s="2" t="inlineStr"/>
    </row>
    <row r="473" ht="15" customHeight="1">
      <c r="A473" t="inlineStr">
        <is>
          <t>A 59008-2025</t>
        </is>
      </c>
      <c r="B473" t="inlineStr">
        <is>
          <t>avverkningsanmälan</t>
        </is>
      </c>
      <c r="C473" t="inlineStr">
        <is>
          <t>Avverkning för annat ändamål</t>
        </is>
      </c>
      <c r="D473" s="1" t="n">
        <v>45987</v>
      </c>
      <c r="E473" s="1" t="n">
        <v>46309</v>
      </c>
      <c r="F473" t="inlineStr">
        <is>
          <t>GÄVLEBORGS LÄN</t>
        </is>
      </c>
      <c r="G473" t="inlineStr">
        <is>
          <t>NORDANSTIG</t>
        </is>
      </c>
      <c r="I473" t="n">
        <v>1.6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s="2" t="inlineStr"/>
    </row>
    <row r="474" ht="15" customHeight="1">
      <c r="A474" t="inlineStr">
        <is>
          <t>A 7772-2026</t>
        </is>
      </c>
      <c r="B474" t="inlineStr">
        <is>
          <t>avverkningsanmälan</t>
        </is>
      </c>
      <c r="C474" t="inlineStr">
        <is>
          <t>Föryngringsavverkning</t>
        </is>
      </c>
      <c r="D474" s="1" t="n">
        <v>46062</v>
      </c>
      <c r="E474" s="1" t="n">
        <v>46309</v>
      </c>
      <c r="F474" t="inlineStr">
        <is>
          <t>GÄVLEBORGS LÄN</t>
        </is>
      </c>
      <c r="G474" t="inlineStr">
        <is>
          <t>NORDANSTIG</t>
        </is>
      </c>
      <c r="I474" t="n">
        <v>2.3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s="2" t="inlineStr"/>
    </row>
    <row r="475" ht="15" customHeight="1">
      <c r="A475" t="inlineStr">
        <is>
          <t>A 8201-2026</t>
        </is>
      </c>
      <c r="B475" t="inlineStr">
        <is>
          <t>avverkningsanmälan</t>
        </is>
      </c>
      <c r="C475" t="inlineStr">
        <is>
          <t>Föryngringsavverkning</t>
        </is>
      </c>
      <c r="D475" s="1" t="n">
        <v>46064</v>
      </c>
      <c r="E475" s="1" t="n">
        <v>46309</v>
      </c>
      <c r="F475" t="inlineStr">
        <is>
          <t>GÄVLEBORGS LÄN</t>
        </is>
      </c>
      <c r="G475" t="inlineStr">
        <is>
          <t>NORDANSTIG</t>
        </is>
      </c>
      <c r="I475" t="n">
        <v>3.5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s="2" t="inlineStr"/>
    </row>
    <row r="476" ht="15" customHeight="1">
      <c r="A476" t="inlineStr">
        <is>
          <t>A 7944-2026</t>
        </is>
      </c>
      <c r="B476" t="inlineStr">
        <is>
          <t>avverkningsanmälan</t>
        </is>
      </c>
      <c r="C476" t="inlineStr">
        <is>
          <t>Avverkning för annat ändamål</t>
        </is>
      </c>
      <c r="D476" s="1" t="n">
        <v>46063</v>
      </c>
      <c r="E476" s="1" t="n">
        <v>46309</v>
      </c>
      <c r="F476" t="inlineStr">
        <is>
          <t>GÄVLEBORGS LÄN</t>
        </is>
      </c>
      <c r="G476" t="inlineStr">
        <is>
          <t>NORDANSTIG</t>
        </is>
      </c>
      <c r="I476" t="n">
        <v>0.5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s="2" t="inlineStr"/>
    </row>
    <row r="477" ht="15" customHeight="1">
      <c r="A477" t="inlineStr">
        <is>
          <t>A 8288-2026</t>
        </is>
      </c>
      <c r="B477" t="inlineStr">
        <is>
          <t>avverkningsanmälan</t>
        </is>
      </c>
      <c r="C477" t="inlineStr">
        <is>
          <t>Föryngringsavverkning</t>
        </is>
      </c>
      <c r="D477" s="1" t="n">
        <v>46064</v>
      </c>
      <c r="E477" s="1" t="n">
        <v>46309</v>
      </c>
      <c r="F477" t="inlineStr">
        <is>
          <t>GÄVLEBORGS LÄN</t>
        </is>
      </c>
      <c r="G477" t="inlineStr">
        <is>
          <t>NORDANSTIG</t>
        </is>
      </c>
      <c r="I477" t="n">
        <v>2.9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s="2" t="inlineStr"/>
    </row>
    <row r="478" ht="15" customHeight="1">
      <c r="A478" t="inlineStr">
        <is>
          <t>A 8318-2026</t>
        </is>
      </c>
      <c r="B478" t="inlineStr">
        <is>
          <t>avverkningsanmälan</t>
        </is>
      </c>
      <c r="C478" t="inlineStr">
        <is>
          <t>Föryngringsavverkning</t>
        </is>
      </c>
      <c r="D478" s="1" t="n">
        <v>46064</v>
      </c>
      <c r="E478" s="1" t="n">
        <v>46309</v>
      </c>
      <c r="F478" t="inlineStr">
        <is>
          <t>GÄVLEBORGS LÄN</t>
        </is>
      </c>
      <c r="G478" t="inlineStr">
        <is>
          <t>NORDANSTIG</t>
        </is>
      </c>
      <c r="I478" t="n">
        <v>10.5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s="2" t="inlineStr"/>
    </row>
    <row r="479" ht="15" customHeight="1">
      <c r="A479" t="inlineStr">
        <is>
          <t>A 8281-2026</t>
        </is>
      </c>
      <c r="B479" t="inlineStr">
        <is>
          <t>avverkningsanmälan</t>
        </is>
      </c>
      <c r="C479" t="inlineStr">
        <is>
          <t>Föryngringsavverkning</t>
        </is>
      </c>
      <c r="D479" s="1" t="n">
        <v>46064</v>
      </c>
      <c r="E479" s="1" t="n">
        <v>46309</v>
      </c>
      <c r="F479" t="inlineStr">
        <is>
          <t>GÄVLEBORGS LÄN</t>
        </is>
      </c>
      <c r="G479" t="inlineStr">
        <is>
          <t>NORDANSTIG</t>
        </is>
      </c>
      <c r="I479" t="n">
        <v>38.1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s="2" t="inlineStr"/>
    </row>
    <row r="480" ht="15" customHeight="1">
      <c r="A480" t="inlineStr">
        <is>
          <t>A 18680-2025</t>
        </is>
      </c>
      <c r="B480" t="inlineStr">
        <is>
          <t>avverkningsanmälan</t>
        </is>
      </c>
      <c r="C480" t="inlineStr">
        <is>
          <t>Föryngringsavverkning</t>
        </is>
      </c>
      <c r="D480" s="1" t="n">
        <v>45763</v>
      </c>
      <c r="E480" s="1" t="n">
        <v>46309</v>
      </c>
      <c r="F480" t="inlineStr">
        <is>
          <t>GÄVLEBORGS LÄN</t>
        </is>
      </c>
      <c r="G480" t="inlineStr">
        <is>
          <t>NORDANSTIG</t>
        </is>
      </c>
      <c r="I480" t="n">
        <v>9.4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s="2" t="inlineStr"/>
    </row>
    <row r="481" ht="15" customHeight="1">
      <c r="A481" t="inlineStr">
        <is>
          <t>A 8182-2026</t>
        </is>
      </c>
      <c r="B481" t="inlineStr">
        <is>
          <t>avverkningsanmälan</t>
        </is>
      </c>
      <c r="C481" t="inlineStr">
        <is>
          <t>Föryngringsavverkning</t>
        </is>
      </c>
      <c r="D481" s="1" t="n">
        <v>46064</v>
      </c>
      <c r="E481" s="1" t="n">
        <v>46309</v>
      </c>
      <c r="F481" t="inlineStr">
        <is>
          <t>GÄVLEBORGS LÄN</t>
        </is>
      </c>
      <c r="G481" t="inlineStr">
        <is>
          <t>NORDANSTIG</t>
        </is>
      </c>
      <c r="I481" t="n">
        <v>19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s="2" t="inlineStr"/>
    </row>
    <row r="482" ht="15" customHeight="1">
      <c r="A482" t="inlineStr">
        <is>
          <t>A 7928-2026</t>
        </is>
      </c>
      <c r="B482" t="inlineStr">
        <is>
          <t>avverkningsanmälan</t>
        </is>
      </c>
      <c r="C482" t="inlineStr">
        <is>
          <t>Föryngringsavverkning</t>
        </is>
      </c>
      <c r="D482" s="1" t="n">
        <v>46063</v>
      </c>
      <c r="E482" s="1" t="n">
        <v>46309</v>
      </c>
      <c r="F482" t="inlineStr">
        <is>
          <t>GÄVLEBORGS LÄN</t>
        </is>
      </c>
      <c r="G482" t="inlineStr">
        <is>
          <t>NORDANSTIG</t>
        </is>
      </c>
      <c r="I482" t="n">
        <v>13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s="2" t="inlineStr"/>
    </row>
    <row r="483" ht="15" customHeight="1">
      <c r="A483" t="inlineStr">
        <is>
          <t>A 8837-2026</t>
        </is>
      </c>
      <c r="B483" t="inlineStr">
        <is>
          <t>avverkningsanmälan</t>
        </is>
      </c>
      <c r="C483" t="inlineStr">
        <is>
          <t>Föryngringsavverkning</t>
        </is>
      </c>
      <c r="D483" s="1" t="n">
        <v>46066</v>
      </c>
      <c r="E483" s="1" t="n">
        <v>46309</v>
      </c>
      <c r="F483" t="inlineStr">
        <is>
          <t>GÄVLEBORGS LÄN</t>
        </is>
      </c>
      <c r="G483" t="inlineStr">
        <is>
          <t>NORDANSTIG</t>
        </is>
      </c>
      <c r="H483" t="inlineStr">
        <is>
          <t>Naturvårdsverket</t>
        </is>
      </c>
      <c r="I483" t="n">
        <v>3.5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s="2" t="inlineStr"/>
    </row>
    <row r="484" ht="15" customHeight="1">
      <c r="A484" t="inlineStr">
        <is>
          <t>A 5479-2023</t>
        </is>
      </c>
      <c r="B484" t="inlineStr">
        <is>
          <t>avverkningsanmälan</t>
        </is>
      </c>
      <c r="C484" t="inlineStr">
        <is>
          <t>Föryngringsavverkning</t>
        </is>
      </c>
      <c r="D484" s="1" t="n">
        <v>44960</v>
      </c>
      <c r="E484" s="1" t="n">
        <v>46309</v>
      </c>
      <c r="F484" t="inlineStr">
        <is>
          <t>GÄVLEBORGS LÄN</t>
        </is>
      </c>
      <c r="G484" t="inlineStr">
        <is>
          <t>NORDANSTIG</t>
        </is>
      </c>
      <c r="I484" t="n">
        <v>17.6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s="2" t="inlineStr"/>
    </row>
    <row r="485" ht="15" customHeight="1">
      <c r="A485" t="inlineStr">
        <is>
          <t>A 59297-2024</t>
        </is>
      </c>
      <c r="B485" t="inlineStr">
        <is>
          <t>avverkningsanmälan</t>
        </is>
      </c>
      <c r="C485" t="inlineStr">
        <is>
          <t>Föryngringsavverkning</t>
        </is>
      </c>
      <c r="D485" s="1" t="n">
        <v>45637</v>
      </c>
      <c r="E485" s="1" t="n">
        <v>46309</v>
      </c>
      <c r="F485" t="inlineStr">
        <is>
          <t>GÄVLEBORGS LÄN</t>
        </is>
      </c>
      <c r="G485" t="inlineStr">
        <is>
          <t>NORDANSTIG</t>
        </is>
      </c>
      <c r="I485" t="n">
        <v>3.8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s="2" t="inlineStr"/>
    </row>
    <row r="486" ht="15" customHeight="1">
      <c r="A486" t="inlineStr">
        <is>
          <t>A 8711-2026</t>
        </is>
      </c>
      <c r="B486" t="inlineStr">
        <is>
          <t>avverkningsanmälan</t>
        </is>
      </c>
      <c r="C486" t="inlineStr">
        <is>
          <t>Föryngringsavverkning</t>
        </is>
      </c>
      <c r="D486" s="1" t="n">
        <v>46066</v>
      </c>
      <c r="E486" s="1" t="n">
        <v>46309</v>
      </c>
      <c r="F486" t="inlineStr">
        <is>
          <t>GÄVLEBORGS LÄN</t>
        </is>
      </c>
      <c r="G486" t="inlineStr">
        <is>
          <t>NORDANSTIG</t>
        </is>
      </c>
      <c r="I486" t="n">
        <v>1.3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s="2" t="inlineStr"/>
    </row>
    <row r="487" ht="15" customHeight="1">
      <c r="A487" t="inlineStr">
        <is>
          <t>A 8407-2026</t>
        </is>
      </c>
      <c r="B487" t="inlineStr">
        <is>
          <t>avverkningsanmälan</t>
        </is>
      </c>
      <c r="C487" t="inlineStr">
        <is>
          <t>Föryngringsavverkning</t>
        </is>
      </c>
      <c r="D487" s="1" t="n">
        <v>46065</v>
      </c>
      <c r="E487" s="1" t="n">
        <v>46309</v>
      </c>
      <c r="F487" t="inlineStr">
        <is>
          <t>GÄVLEBORGS LÄN</t>
        </is>
      </c>
      <c r="G487" t="inlineStr">
        <is>
          <t>NORDANSTIG</t>
        </is>
      </c>
      <c r="I487" t="n">
        <v>1.8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s="2" t="inlineStr"/>
    </row>
    <row r="488" ht="15" customHeight="1">
      <c r="A488" t="inlineStr">
        <is>
          <t>A 15494-2023</t>
        </is>
      </c>
      <c r="B488" t="inlineStr">
        <is>
          <t>avverkningsanmälan</t>
        </is>
      </c>
      <c r="C488" t="inlineStr">
        <is>
          <t>Föryngringsavverkning</t>
        </is>
      </c>
      <c r="D488" s="1" t="n">
        <v>45020</v>
      </c>
      <c r="E488" s="1" t="n">
        <v>46309</v>
      </c>
      <c r="F488" t="inlineStr">
        <is>
          <t>GÄVLEBORGS LÄN</t>
        </is>
      </c>
      <c r="G488" t="inlineStr">
        <is>
          <t>NORDANSTIG</t>
        </is>
      </c>
      <c r="H488" t="inlineStr">
        <is>
          <t>Holmen skog AB</t>
        </is>
      </c>
      <c r="I488" t="n">
        <v>1.9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s="2" t="inlineStr"/>
    </row>
    <row r="489" ht="15" customHeight="1">
      <c r="A489" t="inlineStr">
        <is>
          <t>A 15496-2023</t>
        </is>
      </c>
      <c r="B489" t="inlineStr">
        <is>
          <t>avverkningsanmälan</t>
        </is>
      </c>
      <c r="C489" t="inlineStr">
        <is>
          <t>Föryngringsavverkning</t>
        </is>
      </c>
      <c r="D489" s="1" t="n">
        <v>45020</v>
      </c>
      <c r="E489" s="1" t="n">
        <v>46309</v>
      </c>
      <c r="F489" t="inlineStr">
        <is>
          <t>GÄVLEBORGS LÄN</t>
        </is>
      </c>
      <c r="G489" t="inlineStr">
        <is>
          <t>NORDANSTIG</t>
        </is>
      </c>
      <c r="H489" t="inlineStr">
        <is>
          <t>Holmen skog AB</t>
        </is>
      </c>
      <c r="I489" t="n">
        <v>1.2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s="2" t="inlineStr"/>
    </row>
    <row r="490" ht="15" customHeight="1">
      <c r="A490" t="inlineStr">
        <is>
          <t>A 43075-2024</t>
        </is>
      </c>
      <c r="B490" t="inlineStr">
        <is>
          <t>avverkningsanmälan</t>
        </is>
      </c>
      <c r="C490" t="inlineStr">
        <is>
          <t>Föryngringsavverkning</t>
        </is>
      </c>
      <c r="D490" s="1" t="n">
        <v>45567</v>
      </c>
      <c r="E490" s="1" t="n">
        <v>46309</v>
      </c>
      <c r="F490" t="inlineStr">
        <is>
          <t>GÄVLEBORGS LÄN</t>
        </is>
      </c>
      <c r="G490" t="inlineStr">
        <is>
          <t>NORDANSTIG</t>
        </is>
      </c>
      <c r="I490" t="n">
        <v>0.8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s="2" t="inlineStr"/>
    </row>
    <row r="491" ht="15" customHeight="1">
      <c r="A491" t="inlineStr">
        <is>
          <t>A 4001-2023</t>
        </is>
      </c>
      <c r="B491" t="inlineStr">
        <is>
          <t>avverkningsanmälan</t>
        </is>
      </c>
      <c r="C491" t="inlineStr">
        <is>
          <t>Föryngringsavverkning</t>
        </is>
      </c>
      <c r="D491" s="1" t="n">
        <v>44952</v>
      </c>
      <c r="E491" s="1" t="n">
        <v>46309</v>
      </c>
      <c r="F491" t="inlineStr">
        <is>
          <t>GÄVLEBORGS LÄN</t>
        </is>
      </c>
      <c r="G491" t="inlineStr">
        <is>
          <t>NORDANSTIG</t>
        </is>
      </c>
      <c r="H491" t="inlineStr">
        <is>
          <t>Holmen skog AB</t>
        </is>
      </c>
      <c r="I491" t="n">
        <v>1.6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s="2" t="inlineStr"/>
    </row>
    <row r="492" ht="15" customHeight="1">
      <c r="A492" t="inlineStr">
        <is>
          <t>A 4024-2023</t>
        </is>
      </c>
      <c r="B492" t="inlineStr">
        <is>
          <t>avverkningsanmälan</t>
        </is>
      </c>
      <c r="C492" t="inlineStr">
        <is>
          <t>Föryngringsavverkning</t>
        </is>
      </c>
      <c r="D492" s="1" t="n">
        <v>44952</v>
      </c>
      <c r="E492" s="1" t="n">
        <v>46309</v>
      </c>
      <c r="F492" t="inlineStr">
        <is>
          <t>GÄVLEBORGS LÄN</t>
        </is>
      </c>
      <c r="G492" t="inlineStr">
        <is>
          <t>NORDANSTIG</t>
        </is>
      </c>
      <c r="H492" t="inlineStr">
        <is>
          <t>Holmen skog AB</t>
        </is>
      </c>
      <c r="I492" t="n">
        <v>2.1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s="2" t="inlineStr"/>
    </row>
    <row r="493" ht="15" customHeight="1">
      <c r="A493" t="inlineStr">
        <is>
          <t>A 8541-2026</t>
        </is>
      </c>
      <c r="B493" t="inlineStr">
        <is>
          <t>avverkningsanmälan</t>
        </is>
      </c>
      <c r="C493" t="inlineStr">
        <is>
          <t>Föryngringsavverkning</t>
        </is>
      </c>
      <c r="D493" s="1" t="n">
        <v>46065</v>
      </c>
      <c r="E493" s="1" t="n">
        <v>46309</v>
      </c>
      <c r="F493" t="inlineStr">
        <is>
          <t>GÄVLEBORGS LÄN</t>
        </is>
      </c>
      <c r="G493" t="inlineStr">
        <is>
          <t>NORDANSTIG</t>
        </is>
      </c>
      <c r="H493" t="inlineStr">
        <is>
          <t>Holmen skog AB</t>
        </is>
      </c>
      <c r="I493" t="n">
        <v>0.7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s="2" t="inlineStr"/>
    </row>
    <row r="494" ht="15" customHeight="1">
      <c r="A494" t="inlineStr">
        <is>
          <t>A 9032-2026</t>
        </is>
      </c>
      <c r="B494" t="inlineStr">
        <is>
          <t>avverkningsanmälan</t>
        </is>
      </c>
      <c r="C494" t="inlineStr">
        <is>
          <t>Föryngringsavverkning</t>
        </is>
      </c>
      <c r="D494" s="1" t="n">
        <v>46069</v>
      </c>
      <c r="E494" s="1" t="n">
        <v>46309</v>
      </c>
      <c r="F494" t="inlineStr">
        <is>
          <t>GÄVLEBORGS LÄN</t>
        </is>
      </c>
      <c r="G494" t="inlineStr">
        <is>
          <t>NORDANSTIG</t>
        </is>
      </c>
      <c r="I494" t="n">
        <v>2.8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s="2" t="inlineStr"/>
    </row>
    <row r="495" ht="15" customHeight="1">
      <c r="A495" t="inlineStr">
        <is>
          <t>A 25946-2023</t>
        </is>
      </c>
      <c r="B495" t="inlineStr">
        <is>
          <t>avverkningsanmälan</t>
        </is>
      </c>
      <c r="C495" t="inlineStr">
        <is>
          <t>Föryngringsavverkning</t>
        </is>
      </c>
      <c r="D495" s="1" t="n">
        <v>45090</v>
      </c>
      <c r="E495" s="1" t="n">
        <v>46309</v>
      </c>
      <c r="F495" t="inlineStr">
        <is>
          <t>GÄVLEBORGS LÄN</t>
        </is>
      </c>
      <c r="G495" t="inlineStr">
        <is>
          <t>NORDANSTIG</t>
        </is>
      </c>
      <c r="I495" t="n">
        <v>2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s="2" t="inlineStr"/>
    </row>
    <row r="496" ht="15" customHeight="1">
      <c r="A496" t="inlineStr">
        <is>
          <t>A 9122-2026</t>
        </is>
      </c>
      <c r="B496" t="inlineStr">
        <is>
          <t>avverkningsanmälan</t>
        </is>
      </c>
      <c r="C496" t="inlineStr">
        <is>
          <t>Föryngringsavverkning</t>
        </is>
      </c>
      <c r="D496" s="1" t="n">
        <v>46069</v>
      </c>
      <c r="E496" s="1" t="n">
        <v>46309</v>
      </c>
      <c r="F496" t="inlineStr">
        <is>
          <t>GÄVLEBORGS LÄN</t>
        </is>
      </c>
      <c r="G496" t="inlineStr">
        <is>
          <t>NORDANSTIG</t>
        </is>
      </c>
      <c r="I496" t="n">
        <v>1.6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s="2" t="inlineStr"/>
    </row>
    <row r="497" ht="15" customHeight="1">
      <c r="A497" t="inlineStr">
        <is>
          <t>A 9340-2026</t>
        </is>
      </c>
      <c r="B497" t="inlineStr">
        <is>
          <t>avverkningsanmälan</t>
        </is>
      </c>
      <c r="C497" t="inlineStr">
        <is>
          <t>Föryngringsavverkning</t>
        </is>
      </c>
      <c r="D497" s="1" t="n">
        <v>46070</v>
      </c>
      <c r="E497" s="1" t="n">
        <v>46309</v>
      </c>
      <c r="F497" t="inlineStr">
        <is>
          <t>GÄVLEBORGS LÄN</t>
        </is>
      </c>
      <c r="G497" t="inlineStr">
        <is>
          <t>NORDANSTIG</t>
        </is>
      </c>
      <c r="I497" t="n">
        <v>3.7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s="2" t="inlineStr"/>
    </row>
    <row r="498" ht="15" customHeight="1">
      <c r="A498" t="inlineStr">
        <is>
          <t>A 48607-2023</t>
        </is>
      </c>
      <c r="B498" t="inlineStr">
        <is>
          <t>avverkningsanmälan</t>
        </is>
      </c>
      <c r="C498" t="inlineStr">
        <is>
          <t>Föryngringsavverkning</t>
        </is>
      </c>
      <c r="D498" s="1" t="n">
        <v>45208</v>
      </c>
      <c r="E498" s="1" t="n">
        <v>46309</v>
      </c>
      <c r="F498" t="inlineStr">
        <is>
          <t>GÄVLEBORGS LÄN</t>
        </is>
      </c>
      <c r="G498" t="inlineStr">
        <is>
          <t>NORDANSTIG</t>
        </is>
      </c>
      <c r="I498" t="n">
        <v>1.7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s="2" t="inlineStr"/>
    </row>
    <row r="499" ht="15" customHeight="1">
      <c r="A499" t="inlineStr">
        <is>
          <t>A 9204-2026</t>
        </is>
      </c>
      <c r="B499" t="inlineStr">
        <is>
          <t>avverkningsanmälan</t>
        </is>
      </c>
      <c r="C499" t="inlineStr">
        <is>
          <t>Föryngringsavverkning</t>
        </is>
      </c>
      <c r="D499" s="1" t="n">
        <v>46070</v>
      </c>
      <c r="E499" s="1" t="n">
        <v>46309</v>
      </c>
      <c r="F499" t="inlineStr">
        <is>
          <t>GÄVLEBORGS LÄN</t>
        </is>
      </c>
      <c r="G499" t="inlineStr">
        <is>
          <t>NORDANSTIG</t>
        </is>
      </c>
      <c r="I499" t="n">
        <v>15.6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s="2" t="inlineStr"/>
    </row>
    <row r="500" ht="15" customHeight="1">
      <c r="A500" t="inlineStr">
        <is>
          <t>A 59997-2025</t>
        </is>
      </c>
      <c r="B500" t="inlineStr">
        <is>
          <t>avverkningsanmälan</t>
        </is>
      </c>
      <c r="C500" t="inlineStr">
        <is>
          <t>Föryngringsavverkning</t>
        </is>
      </c>
      <c r="D500" s="1" t="n">
        <v>45993</v>
      </c>
      <c r="E500" s="1" t="n">
        <v>46309</v>
      </c>
      <c r="F500" t="inlineStr">
        <is>
          <t>GÄVLEBORGS LÄN</t>
        </is>
      </c>
      <c r="G500" t="inlineStr">
        <is>
          <t>NORDANSTIG</t>
        </is>
      </c>
      <c r="H500" t="inlineStr">
        <is>
          <t>Holmen skog AB</t>
        </is>
      </c>
      <c r="I500" t="n">
        <v>3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s="2" t="inlineStr"/>
    </row>
    <row r="501" ht="15" customHeight="1">
      <c r="A501" t="inlineStr">
        <is>
          <t>A 21157-2022</t>
        </is>
      </c>
      <c r="B501" t="inlineStr">
        <is>
          <t>avverkningsanmälan</t>
        </is>
      </c>
      <c r="C501" t="inlineStr">
        <is>
          <t>Föryngringsavverkning</t>
        </is>
      </c>
      <c r="D501" s="1" t="n">
        <v>44704</v>
      </c>
      <c r="E501" s="1" t="n">
        <v>46309</v>
      </c>
      <c r="F501" t="inlineStr">
        <is>
          <t>GÄVLEBORGS LÄN</t>
        </is>
      </c>
      <c r="G501" t="inlineStr">
        <is>
          <t>NORDANSTIG</t>
        </is>
      </c>
      <c r="H501" t="inlineStr">
        <is>
          <t>Holmen skog AB</t>
        </is>
      </c>
      <c r="I501" t="n">
        <v>1.7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s="2" t="inlineStr"/>
    </row>
    <row r="502" ht="15" customHeight="1">
      <c r="A502" t="inlineStr">
        <is>
          <t>A 60299-2025</t>
        </is>
      </c>
      <c r="B502" t="inlineStr">
        <is>
          <t>avverkningsanmälan</t>
        </is>
      </c>
      <c r="C502" t="inlineStr">
        <is>
          <t>Föryngringsavverkning</t>
        </is>
      </c>
      <c r="D502" s="1" t="n">
        <v>45994</v>
      </c>
      <c r="E502" s="1" t="n">
        <v>46309</v>
      </c>
      <c r="F502" t="inlineStr">
        <is>
          <t>GÄVLEBORGS LÄN</t>
        </is>
      </c>
      <c r="G502" t="inlineStr">
        <is>
          <t>NORDANSTIG</t>
        </is>
      </c>
      <c r="I502" t="n">
        <v>2.6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s="2" t="inlineStr"/>
    </row>
    <row r="503" ht="15" customHeight="1">
      <c r="A503" t="inlineStr">
        <is>
          <t>A 60372-2025</t>
        </is>
      </c>
      <c r="B503" t="inlineStr">
        <is>
          <t>avverkningsanmälan</t>
        </is>
      </c>
      <c r="C503" t="inlineStr">
        <is>
          <t>Föryngringsavverkning</t>
        </is>
      </c>
      <c r="D503" s="1" t="n">
        <v>45995</v>
      </c>
      <c r="E503" s="1" t="n">
        <v>46309</v>
      </c>
      <c r="F503" t="inlineStr">
        <is>
          <t>GÄVLEBORGS LÄN</t>
        </is>
      </c>
      <c r="G503" t="inlineStr">
        <is>
          <t>NORDANSTIG</t>
        </is>
      </c>
      <c r="I503" t="n">
        <v>0.8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s="2" t="inlineStr"/>
    </row>
    <row r="504" ht="15" customHeight="1">
      <c r="A504" t="inlineStr">
        <is>
          <t>A 9361-2026</t>
        </is>
      </c>
      <c r="B504" t="inlineStr">
        <is>
          <t>avverkningsanmälan</t>
        </is>
      </c>
      <c r="C504" t="inlineStr">
        <is>
          <t>Föryngringsavverkning</t>
        </is>
      </c>
      <c r="D504" s="1" t="n">
        <v>46070</v>
      </c>
      <c r="E504" s="1" t="n">
        <v>46309</v>
      </c>
      <c r="F504" t="inlineStr">
        <is>
          <t>GÄVLEBORGS LÄN</t>
        </is>
      </c>
      <c r="G504" t="inlineStr">
        <is>
          <t>NORDANSTIG</t>
        </is>
      </c>
      <c r="I504" t="n">
        <v>0.8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s="2" t="inlineStr"/>
    </row>
    <row r="505" ht="15" customHeight="1">
      <c r="A505" t="inlineStr">
        <is>
          <t>A 34557-2023</t>
        </is>
      </c>
      <c r="B505" t="inlineStr">
        <is>
          <t>avverkningsanmälan</t>
        </is>
      </c>
      <c r="C505" t="inlineStr">
        <is>
          <t>Föryngringsavverkning</t>
        </is>
      </c>
      <c r="D505" s="1" t="n">
        <v>45140</v>
      </c>
      <c r="E505" s="1" t="n">
        <v>46309</v>
      </c>
      <c r="F505" t="inlineStr">
        <is>
          <t>GÄVLEBORGS LÄN</t>
        </is>
      </c>
      <c r="G505" t="inlineStr">
        <is>
          <t>NORDANSTIG</t>
        </is>
      </c>
      <c r="I505" t="n">
        <v>3.2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s="2" t="inlineStr"/>
    </row>
    <row r="506" ht="15" customHeight="1">
      <c r="A506" t="inlineStr">
        <is>
          <t>A 8998-2026</t>
        </is>
      </c>
      <c r="B506" t="inlineStr">
        <is>
          <t>avverkningsanmälan</t>
        </is>
      </c>
      <c r="C506" t="inlineStr">
        <is>
          <t>Föryngringsavverkning</t>
        </is>
      </c>
      <c r="D506" s="1" t="n">
        <v>46069</v>
      </c>
      <c r="E506" s="1" t="n">
        <v>46309</v>
      </c>
      <c r="F506" t="inlineStr">
        <is>
          <t>GÄVLEBORGS LÄN</t>
        </is>
      </c>
      <c r="G506" t="inlineStr">
        <is>
          <t>NORDANSTIG</t>
        </is>
      </c>
      <c r="I506" t="n">
        <v>1.5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s="2" t="inlineStr"/>
    </row>
    <row r="507" ht="15" customHeight="1">
      <c r="A507" t="inlineStr">
        <is>
          <t>A 9516-2026</t>
        </is>
      </c>
      <c r="B507" t="inlineStr">
        <is>
          <t>avverkningsanmälan</t>
        </is>
      </c>
      <c r="C507" t="inlineStr">
        <is>
          <t>Föryngringsavverkning</t>
        </is>
      </c>
      <c r="D507" s="1" t="n">
        <v>46071</v>
      </c>
      <c r="E507" s="1" t="n">
        <v>46309</v>
      </c>
      <c r="F507" t="inlineStr">
        <is>
          <t>GÄVLEBORGS LÄN</t>
        </is>
      </c>
      <c r="G507" t="inlineStr">
        <is>
          <t>NORDANSTIG</t>
        </is>
      </c>
      <c r="I507" t="n">
        <v>12.2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s="2" t="inlineStr"/>
    </row>
    <row r="508" ht="15" customHeight="1">
      <c r="A508" t="inlineStr">
        <is>
          <t>A 9591-2026</t>
        </is>
      </c>
      <c r="B508" t="inlineStr">
        <is>
          <t>avverkningsanmälan</t>
        </is>
      </c>
      <c r="C508" t="inlineStr">
        <is>
          <t>Föryngringsavverkning</t>
        </is>
      </c>
      <c r="D508" s="1" t="n">
        <v>46071</v>
      </c>
      <c r="E508" s="1" t="n">
        <v>46309</v>
      </c>
      <c r="F508" t="inlineStr">
        <is>
          <t>GÄVLEBORGS LÄN</t>
        </is>
      </c>
      <c r="G508" t="inlineStr">
        <is>
          <t>NORDANSTIG</t>
        </is>
      </c>
      <c r="I508" t="n">
        <v>0.8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s="2" t="inlineStr"/>
    </row>
    <row r="509" ht="15" customHeight="1">
      <c r="A509" t="inlineStr">
        <is>
          <t>A 60787-2025</t>
        </is>
      </c>
      <c r="B509" t="inlineStr">
        <is>
          <t>avverkningsanmälan</t>
        </is>
      </c>
      <c r="C509" t="inlineStr">
        <is>
          <t>Föryngringsavverkning</t>
        </is>
      </c>
      <c r="D509" s="1" t="n">
        <v>45999</v>
      </c>
      <c r="E509" s="1" t="n">
        <v>46309</v>
      </c>
      <c r="F509" t="inlineStr">
        <is>
          <t>GÄVLEBORGS LÄN</t>
        </is>
      </c>
      <c r="G509" t="inlineStr">
        <is>
          <t>NORDANSTIG</t>
        </is>
      </c>
      <c r="I509" t="n">
        <v>0.9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s="2" t="inlineStr"/>
    </row>
    <row r="510" ht="15" customHeight="1">
      <c r="A510" t="inlineStr">
        <is>
          <t>A 9496-2026</t>
        </is>
      </c>
      <c r="B510" t="inlineStr">
        <is>
          <t>avverkningsanmälan</t>
        </is>
      </c>
      <c r="C510" t="inlineStr">
        <is>
          <t>Föryngringsavverkning</t>
        </is>
      </c>
      <c r="D510" s="1" t="n">
        <v>46071</v>
      </c>
      <c r="E510" s="1" t="n">
        <v>46309</v>
      </c>
      <c r="F510" t="inlineStr">
        <is>
          <t>GÄVLEBORGS LÄN</t>
        </is>
      </c>
      <c r="G510" t="inlineStr">
        <is>
          <t>NORDANSTIG</t>
        </is>
      </c>
      <c r="I510" t="n">
        <v>4.3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s="2" t="inlineStr"/>
    </row>
    <row r="511" ht="15" customHeight="1">
      <c r="A511" t="inlineStr">
        <is>
          <t>A 9500-2026</t>
        </is>
      </c>
      <c r="B511" t="inlineStr">
        <is>
          <t>avverkningsanmälan</t>
        </is>
      </c>
      <c r="C511" t="inlineStr">
        <is>
          <t>Föryngringsavverkning</t>
        </is>
      </c>
      <c r="D511" s="1" t="n">
        <v>46071</v>
      </c>
      <c r="E511" s="1" t="n">
        <v>46309</v>
      </c>
      <c r="F511" t="inlineStr">
        <is>
          <t>GÄVLEBORGS LÄN</t>
        </is>
      </c>
      <c r="G511" t="inlineStr">
        <is>
          <t>NORDANSTIG</t>
        </is>
      </c>
      <c r="I511" t="n">
        <v>3.5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s="2" t="inlineStr"/>
    </row>
    <row r="512" ht="15" customHeight="1">
      <c r="A512" t="inlineStr">
        <is>
          <t>A 21187-2022</t>
        </is>
      </c>
      <c r="B512" t="inlineStr">
        <is>
          <t>avverkningsanmälan</t>
        </is>
      </c>
      <c r="C512" t="inlineStr">
        <is>
          <t>Föryngringsavverkning</t>
        </is>
      </c>
      <c r="D512" s="1" t="n">
        <v>44704</v>
      </c>
      <c r="E512" s="1" t="n">
        <v>46309</v>
      </c>
      <c r="F512" t="inlineStr">
        <is>
          <t>GÄVLEBORGS LÄN</t>
        </is>
      </c>
      <c r="G512" t="inlineStr">
        <is>
          <t>NORDANSTIG</t>
        </is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s="2" t="inlineStr"/>
    </row>
    <row r="513" ht="15" customHeight="1">
      <c r="A513" t="inlineStr">
        <is>
          <t>A 9590-2026</t>
        </is>
      </c>
      <c r="B513" t="inlineStr">
        <is>
          <t>avverkningsanmälan</t>
        </is>
      </c>
      <c r="C513" t="inlineStr">
        <is>
          <t>Föryngringsavverkning</t>
        </is>
      </c>
      <c r="D513" s="1" t="n">
        <v>46071</v>
      </c>
      <c r="E513" s="1" t="n">
        <v>46309</v>
      </c>
      <c r="F513" t="inlineStr">
        <is>
          <t>GÄVLEBORGS LÄN</t>
        </is>
      </c>
      <c r="G513" t="inlineStr">
        <is>
          <t>NORDANSTIG</t>
        </is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s="2" t="inlineStr"/>
    </row>
    <row r="514" ht="15" customHeight="1">
      <c r="A514" t="inlineStr">
        <is>
          <t>A 61072-2025</t>
        </is>
      </c>
      <c r="B514" t="inlineStr">
        <is>
          <t>avverkningsanmälan</t>
        </is>
      </c>
      <c r="C514" t="inlineStr">
        <is>
          <t>Föryngringsavverkning</t>
        </is>
      </c>
      <c r="D514" s="1" t="n">
        <v>46000</v>
      </c>
      <c r="E514" s="1" t="n">
        <v>46309</v>
      </c>
      <c r="F514" t="inlineStr">
        <is>
          <t>GÄVLEBORGS LÄN</t>
        </is>
      </c>
      <c r="G514" t="inlineStr">
        <is>
          <t>NORDANSTIG</t>
        </is>
      </c>
      <c r="I514" t="n">
        <v>1.7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s="2" t="inlineStr"/>
    </row>
    <row r="515" ht="15" customHeight="1">
      <c r="A515" t="inlineStr">
        <is>
          <t>A 15464-2023</t>
        </is>
      </c>
      <c r="B515" t="inlineStr">
        <is>
          <t>avverkningsanmälan</t>
        </is>
      </c>
      <c r="C515" t="inlineStr">
        <is>
          <t>Föryngringsavverkning</t>
        </is>
      </c>
      <c r="D515" s="1" t="n">
        <v>45020</v>
      </c>
      <c r="E515" s="1" t="n">
        <v>46309</v>
      </c>
      <c r="F515" t="inlineStr">
        <is>
          <t>GÄVLEBORGS LÄN</t>
        </is>
      </c>
      <c r="G515" t="inlineStr">
        <is>
          <t>NORDANSTIG</t>
        </is>
      </c>
      <c r="H515" t="inlineStr">
        <is>
          <t>Holmen skog AB</t>
        </is>
      </c>
      <c r="I515" t="n">
        <v>17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s="2" t="inlineStr"/>
    </row>
    <row r="516" ht="15" customHeight="1">
      <c r="A516" t="inlineStr">
        <is>
          <t>A 9685-2026</t>
        </is>
      </c>
      <c r="B516" t="inlineStr">
        <is>
          <t>avverkningsanmälan</t>
        </is>
      </c>
      <c r="C516" t="inlineStr">
        <is>
          <t>Föryngringsavverkning</t>
        </is>
      </c>
      <c r="D516" s="1" t="n">
        <v>46072</v>
      </c>
      <c r="E516" s="1" t="n">
        <v>46309</v>
      </c>
      <c r="F516" t="inlineStr">
        <is>
          <t>GÄVLEBORGS LÄN</t>
        </is>
      </c>
      <c r="G516" t="inlineStr">
        <is>
          <t>NORDANSTIG</t>
        </is>
      </c>
      <c r="I516" t="n">
        <v>4.5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s="2" t="inlineStr"/>
    </row>
    <row r="517" ht="15" customHeight="1">
      <c r="A517" t="inlineStr">
        <is>
          <t>A 879-2026</t>
        </is>
      </c>
      <c r="B517" t="inlineStr">
        <is>
          <t>avverkningsanmälan</t>
        </is>
      </c>
      <c r="C517" t="inlineStr">
        <is>
          <t>Föryngringsavverkning</t>
        </is>
      </c>
      <c r="D517" s="1" t="n">
        <v>46030</v>
      </c>
      <c r="E517" s="1" t="n">
        <v>46309</v>
      </c>
      <c r="F517" t="inlineStr">
        <is>
          <t>GÄVLEBORGS LÄN</t>
        </is>
      </c>
      <c r="G517" t="inlineStr">
        <is>
          <t>NORDANSTIG</t>
        </is>
      </c>
      <c r="H517" t="inlineStr">
        <is>
          <t>Holmen skog AB</t>
        </is>
      </c>
      <c r="I517" t="n">
        <v>0.6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s="2" t="inlineStr"/>
    </row>
    <row r="518" ht="15" customHeight="1">
      <c r="A518" t="inlineStr">
        <is>
          <t>A 61046-2025</t>
        </is>
      </c>
      <c r="B518" t="inlineStr">
        <is>
          <t>avverkningsanmälan</t>
        </is>
      </c>
      <c r="C518" t="inlineStr">
        <is>
          <t>Föryngringsavverkning</t>
        </is>
      </c>
      <c r="D518" s="1" t="n">
        <v>46000</v>
      </c>
      <c r="E518" s="1" t="n">
        <v>46309</v>
      </c>
      <c r="F518" t="inlineStr">
        <is>
          <t>GÄVLEBORGS LÄN</t>
        </is>
      </c>
      <c r="G518" t="inlineStr">
        <is>
          <t>NORDANSTIG</t>
        </is>
      </c>
      <c r="I518" t="n">
        <v>2.4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s="2" t="inlineStr"/>
    </row>
    <row r="519" ht="15" customHeight="1">
      <c r="A519" t="inlineStr">
        <is>
          <t>A 9650-2026</t>
        </is>
      </c>
      <c r="B519" t="inlineStr">
        <is>
          <t>avverkningsanmälan</t>
        </is>
      </c>
      <c r="C519" t="inlineStr">
        <is>
          <t>Föryngringsavverkning</t>
        </is>
      </c>
      <c r="D519" s="1" t="n">
        <v>46072</v>
      </c>
      <c r="E519" s="1" t="n">
        <v>46309</v>
      </c>
      <c r="F519" t="inlineStr">
        <is>
          <t>GÄVLEBORGS LÄN</t>
        </is>
      </c>
      <c r="G519" t="inlineStr">
        <is>
          <t>NORDANSTIG</t>
        </is>
      </c>
      <c r="H519" t="inlineStr">
        <is>
          <t>Holmen skog AB</t>
        </is>
      </c>
      <c r="I519" t="n">
        <v>6.5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s="2" t="inlineStr"/>
    </row>
    <row r="520" ht="15" customHeight="1">
      <c r="A520" t="inlineStr">
        <is>
          <t>A 9780-2026</t>
        </is>
      </c>
      <c r="B520" t="inlineStr">
        <is>
          <t>avverkningsanmälan</t>
        </is>
      </c>
      <c r="C520" t="inlineStr">
        <is>
          <t>Föryngringsavverkning</t>
        </is>
      </c>
      <c r="D520" s="1" t="n">
        <v>46072</v>
      </c>
      <c r="E520" s="1" t="n">
        <v>46309</v>
      </c>
      <c r="F520" t="inlineStr">
        <is>
          <t>GÄVLEBORGS LÄN</t>
        </is>
      </c>
      <c r="G520" t="inlineStr">
        <is>
          <t>NORDANSTIG</t>
        </is>
      </c>
      <c r="I520" t="n">
        <v>2.4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s="2" t="inlineStr"/>
    </row>
    <row r="521" ht="15" customHeight="1">
      <c r="A521" t="inlineStr">
        <is>
          <t>A 59930-2024</t>
        </is>
      </c>
      <c r="B521" t="inlineStr">
        <is>
          <t>avverkningsanmälan</t>
        </is>
      </c>
      <c r="C521" t="inlineStr">
        <is>
          <t>Avverkning för annat ändamål</t>
        </is>
      </c>
      <c r="D521" s="1" t="n">
        <v>45642</v>
      </c>
      <c r="E521" s="1" t="n">
        <v>46309</v>
      </c>
      <c r="F521" t="inlineStr">
        <is>
          <t>GÄVLEBORGS LÄN</t>
        </is>
      </c>
      <c r="G521" t="inlineStr">
        <is>
          <t>NORDANSTIG</t>
        </is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s="2" t="inlineStr"/>
    </row>
    <row r="522" ht="15" customHeight="1">
      <c r="A522" t="inlineStr">
        <is>
          <t>A 58112-2024</t>
        </is>
      </c>
      <c r="B522" t="inlineStr">
        <is>
          <t>avverkningsanmälan</t>
        </is>
      </c>
      <c r="C522" t="inlineStr">
        <is>
          <t>Föryngringsavverkning</t>
        </is>
      </c>
      <c r="D522" s="1" t="n">
        <v>45632</v>
      </c>
      <c r="E522" s="1" t="n">
        <v>46309</v>
      </c>
      <c r="F522" t="inlineStr">
        <is>
          <t>GÄVLEBORGS LÄN</t>
        </is>
      </c>
      <c r="G522" t="inlineStr">
        <is>
          <t>NORDANSTIG</t>
        </is>
      </c>
      <c r="H522" t="inlineStr">
        <is>
          <t>Holmen skog AB</t>
        </is>
      </c>
      <c r="I522" t="n">
        <v>2.4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s="2" t="inlineStr"/>
    </row>
    <row r="523" ht="15" customHeight="1">
      <c r="A523" t="inlineStr">
        <is>
          <t>A 10193-2026</t>
        </is>
      </c>
      <c r="B523" t="inlineStr">
        <is>
          <t>avverkningsanmälan</t>
        </is>
      </c>
      <c r="C523" t="inlineStr">
        <is>
          <t>Föryngringsavverkning</t>
        </is>
      </c>
      <c r="D523" s="1" t="n">
        <v>46076</v>
      </c>
      <c r="E523" s="1" t="n">
        <v>46309</v>
      </c>
      <c r="F523" t="inlineStr">
        <is>
          <t>GÄVLEBORGS LÄN</t>
        </is>
      </c>
      <c r="G523" t="inlineStr">
        <is>
          <t>NORDANSTIG</t>
        </is>
      </c>
      <c r="I523" t="n">
        <v>3.6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s="2" t="inlineStr"/>
    </row>
    <row r="524" ht="15" customHeight="1">
      <c r="A524" t="inlineStr">
        <is>
          <t>A 21153-2023</t>
        </is>
      </c>
      <c r="B524" t="inlineStr">
        <is>
          <t>avverkningsanmälan</t>
        </is>
      </c>
      <c r="C524" t="inlineStr">
        <is>
          <t>Föryngringsavverkning</t>
        </is>
      </c>
      <c r="D524" s="1" t="n">
        <v>45062</v>
      </c>
      <c r="E524" s="1" t="n">
        <v>46309</v>
      </c>
      <c r="F524" t="inlineStr">
        <is>
          <t>GÄVLEBORGS LÄN</t>
        </is>
      </c>
      <c r="G524" t="inlineStr">
        <is>
          <t>NORDANSTIG</t>
        </is>
      </c>
      <c r="I524" t="n">
        <v>1.1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s="2" t="inlineStr"/>
    </row>
    <row r="525" ht="15" customHeight="1">
      <c r="A525" t="inlineStr">
        <is>
          <t>A 9969-2026</t>
        </is>
      </c>
      <c r="B525" t="inlineStr">
        <is>
          <t>avverkningsanmälan</t>
        </is>
      </c>
      <c r="C525" t="inlineStr">
        <is>
          <t>Föryngringsavverkning</t>
        </is>
      </c>
      <c r="D525" s="1" t="n">
        <v>46073</v>
      </c>
      <c r="E525" s="1" t="n">
        <v>46309</v>
      </c>
      <c r="F525" t="inlineStr">
        <is>
          <t>GÄVLEBORGS LÄN</t>
        </is>
      </c>
      <c r="G525" t="inlineStr">
        <is>
          <t>NORDANSTIG</t>
        </is>
      </c>
      <c r="I525" t="n">
        <v>4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s="2" t="inlineStr"/>
    </row>
    <row r="526" ht="15" customHeight="1">
      <c r="A526" t="inlineStr">
        <is>
          <t>A 6093-2023</t>
        </is>
      </c>
      <c r="B526" t="inlineStr">
        <is>
          <t>avverkningsanmälan</t>
        </is>
      </c>
      <c r="C526" t="inlineStr">
        <is>
          <t>Föryngringsavverkning</t>
        </is>
      </c>
      <c r="D526" s="1" t="n">
        <v>44964</v>
      </c>
      <c r="E526" s="1" t="n">
        <v>46309</v>
      </c>
      <c r="F526" t="inlineStr">
        <is>
          <t>GÄVLEBORGS LÄN</t>
        </is>
      </c>
      <c r="G526" t="inlineStr">
        <is>
          <t>NORDANSTIG</t>
        </is>
      </c>
      <c r="H526" t="inlineStr">
        <is>
          <t>Holmen skog AB</t>
        </is>
      </c>
      <c r="I526" t="n">
        <v>1.5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s="2" t="inlineStr"/>
    </row>
    <row r="527" ht="15" customHeight="1">
      <c r="A527" t="inlineStr">
        <is>
          <t>A 21085-2024</t>
        </is>
      </c>
      <c r="B527" t="inlineStr">
        <is>
          <t>avverkningsanmälan</t>
        </is>
      </c>
      <c r="C527" t="inlineStr">
        <is>
          <t>Föryngringsavverkning</t>
        </is>
      </c>
      <c r="D527" s="1" t="n">
        <v>45439</v>
      </c>
      <c r="E527" s="1" t="n">
        <v>46309</v>
      </c>
      <c r="F527" t="inlineStr">
        <is>
          <t>GÄVLEBORGS LÄN</t>
        </is>
      </c>
      <c r="G527" t="inlineStr">
        <is>
          <t>NORDANSTIG</t>
        </is>
      </c>
      <c r="I527" t="n">
        <v>0.6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s="2" t="inlineStr"/>
    </row>
    <row r="528" ht="15" customHeight="1">
      <c r="A528" t="inlineStr">
        <is>
          <t>A 10310-2026</t>
        </is>
      </c>
      <c r="B528" t="inlineStr">
        <is>
          <t>avverkningsanmälan</t>
        </is>
      </c>
      <c r="C528" t="inlineStr">
        <is>
          <t>Föryngringsavverkning</t>
        </is>
      </c>
      <c r="D528" s="1" t="n">
        <v>46076</v>
      </c>
      <c r="E528" s="1" t="n">
        <v>46309</v>
      </c>
      <c r="F528" t="inlineStr">
        <is>
          <t>GÄVLEBORGS LÄN</t>
        </is>
      </c>
      <c r="G528" t="inlineStr">
        <is>
          <t>NORDANSTIG</t>
        </is>
      </c>
      <c r="I528" t="n">
        <v>7.8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s="2" t="inlineStr"/>
    </row>
    <row r="529" ht="15" customHeight="1">
      <c r="A529" t="inlineStr">
        <is>
          <t>A 9971-2026</t>
        </is>
      </c>
      <c r="B529" t="inlineStr">
        <is>
          <t>avverkningsanmälan</t>
        </is>
      </c>
      <c r="C529" t="inlineStr">
        <is>
          <t>Föryngringsavverkning</t>
        </is>
      </c>
      <c r="D529" s="1" t="n">
        <v>46073</v>
      </c>
      <c r="E529" s="1" t="n">
        <v>46309</v>
      </c>
      <c r="F529" t="inlineStr">
        <is>
          <t>GÄVLEBORGS LÄN</t>
        </is>
      </c>
      <c r="G529" t="inlineStr">
        <is>
          <t>NORDANSTIG</t>
        </is>
      </c>
      <c r="I529" t="n">
        <v>7.5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s="2" t="inlineStr"/>
    </row>
    <row r="530" ht="15" customHeight="1">
      <c r="A530" t="inlineStr">
        <is>
          <t>A 39207-2023</t>
        </is>
      </c>
      <c r="B530" t="inlineStr">
        <is>
          <t>avverkningsanmälan</t>
        </is>
      </c>
      <c r="C530" t="inlineStr">
        <is>
          <t>Föryngringsavverkning</t>
        </is>
      </c>
      <c r="D530" s="1" t="n">
        <v>45166</v>
      </c>
      <c r="E530" s="1" t="n">
        <v>46309</v>
      </c>
      <c r="F530" t="inlineStr">
        <is>
          <t>GÄVLEBORGS LÄN</t>
        </is>
      </c>
      <c r="G530" t="inlineStr">
        <is>
          <t>NORDANSTIG</t>
        </is>
      </c>
      <c r="H530" t="inlineStr">
        <is>
          <t>Holmen skog AB</t>
        </is>
      </c>
      <c r="I530" t="n">
        <v>3.8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s="2" t="inlineStr"/>
    </row>
    <row r="531" ht="15" customHeight="1">
      <c r="A531" t="inlineStr">
        <is>
          <t>A 52788-2024</t>
        </is>
      </c>
      <c r="B531" t="inlineStr">
        <is>
          <t>avverkningsanmälan</t>
        </is>
      </c>
      <c r="C531" t="inlineStr">
        <is>
          <t>Föryngringsavverkning</t>
        </is>
      </c>
      <c r="D531" s="1" t="n">
        <v>45610</v>
      </c>
      <c r="E531" s="1" t="n">
        <v>46309</v>
      </c>
      <c r="F531" t="inlineStr">
        <is>
          <t>GÄVLEBORGS LÄN</t>
        </is>
      </c>
      <c r="G531" t="inlineStr">
        <is>
          <t>NORDANSTIG</t>
        </is>
      </c>
      <c r="H531" t="inlineStr">
        <is>
          <t>Holmen skog AB</t>
        </is>
      </c>
      <c r="I531" t="n">
        <v>4.3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s="2" t="inlineStr"/>
    </row>
    <row r="532" ht="15" customHeight="1">
      <c r="A532" t="inlineStr">
        <is>
          <t>A 19568-2024</t>
        </is>
      </c>
      <c r="B532" t="inlineStr">
        <is>
          <t>avverkningsanmälan</t>
        </is>
      </c>
      <c r="C532" t="inlineStr">
        <is>
          <t>Föryngringsavverkning</t>
        </is>
      </c>
      <c r="D532" s="1" t="n">
        <v>45429</v>
      </c>
      <c r="E532" s="1" t="n">
        <v>46309</v>
      </c>
      <c r="F532" t="inlineStr">
        <is>
          <t>GÄVLEBORGS LÄN</t>
        </is>
      </c>
      <c r="G532" t="inlineStr">
        <is>
          <t>NORDANSTIG</t>
        </is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s="2" t="inlineStr"/>
    </row>
    <row r="533" ht="15" customHeight="1">
      <c r="A533" t="inlineStr">
        <is>
          <t>A 62185-2025</t>
        </is>
      </c>
      <c r="B533" t="inlineStr">
        <is>
          <t>avverkningsanmälan</t>
        </is>
      </c>
      <c r="C533" t="inlineStr">
        <is>
          <t>Föryngringsavverkning</t>
        </is>
      </c>
      <c r="D533" s="1" t="n">
        <v>46006</v>
      </c>
      <c r="E533" s="1" t="n">
        <v>46309</v>
      </c>
      <c r="F533" t="inlineStr">
        <is>
          <t>GÄVLEBORGS LÄN</t>
        </is>
      </c>
      <c r="G533" t="inlineStr">
        <is>
          <t>NORDANSTIG</t>
        </is>
      </c>
      <c r="I533" t="n">
        <v>1.4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s="2" t="inlineStr"/>
    </row>
    <row r="534" ht="15" customHeight="1">
      <c r="A534" t="inlineStr">
        <is>
          <t>A 61871-2025</t>
        </is>
      </c>
      <c r="B534" t="inlineStr">
        <is>
          <t>avverkningsanmälan</t>
        </is>
      </c>
      <c r="C534" t="inlineStr">
        <is>
          <t>Föryngringsavverkning</t>
        </is>
      </c>
      <c r="D534" s="1" t="n">
        <v>46003</v>
      </c>
      <c r="E534" s="1" t="n">
        <v>46309</v>
      </c>
      <c r="F534" t="inlineStr">
        <is>
          <t>GÄVLEBORGS LÄN</t>
        </is>
      </c>
      <c r="G534" t="inlineStr">
        <is>
          <t>NORDANSTIG</t>
        </is>
      </c>
      <c r="I534" t="n">
        <v>5.4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s="2" t="inlineStr"/>
    </row>
    <row r="535" ht="15" customHeight="1">
      <c r="A535" t="inlineStr">
        <is>
          <t>A 62182-2025</t>
        </is>
      </c>
      <c r="B535" t="inlineStr">
        <is>
          <t>avverkningsanmälan</t>
        </is>
      </c>
      <c r="C535" t="inlineStr">
        <is>
          <t>Föryngringsavverkning</t>
        </is>
      </c>
      <c r="D535" s="1" t="n">
        <v>46006</v>
      </c>
      <c r="E535" s="1" t="n">
        <v>46309</v>
      </c>
      <c r="F535" t="inlineStr">
        <is>
          <t>GÄVLEBORGS LÄN</t>
        </is>
      </c>
      <c r="G535" t="inlineStr">
        <is>
          <t>NORDANSTIG</t>
        </is>
      </c>
      <c r="I535" t="n">
        <v>2.3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s="2" t="inlineStr"/>
    </row>
    <row r="536" ht="15" customHeight="1">
      <c r="A536" t="inlineStr">
        <is>
          <t>A 61422-2024</t>
        </is>
      </c>
      <c r="B536" t="inlineStr">
        <is>
          <t>avverkningsanmälan</t>
        </is>
      </c>
      <c r="C536" t="inlineStr">
        <is>
          <t>Föryngringsavverkning</t>
        </is>
      </c>
      <c r="D536" s="1" t="n">
        <v>45646</v>
      </c>
      <c r="E536" s="1" t="n">
        <v>46309</v>
      </c>
      <c r="F536" t="inlineStr">
        <is>
          <t>GÄVLEBORGS LÄN</t>
        </is>
      </c>
      <c r="G536" t="inlineStr">
        <is>
          <t>NORDANSTIG</t>
        </is>
      </c>
      <c r="I536" t="n">
        <v>1.1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s="2" t="inlineStr"/>
    </row>
    <row r="537" ht="15" customHeight="1">
      <c r="A537" t="inlineStr">
        <is>
          <t>A 10655-2026</t>
        </is>
      </c>
      <c r="B537" t="inlineStr">
        <is>
          <t>avverkningsanmälan</t>
        </is>
      </c>
      <c r="C537" t="inlineStr">
        <is>
          <t>Föryngringsavverkning</t>
        </is>
      </c>
      <c r="D537" s="1" t="n">
        <v>46078</v>
      </c>
      <c r="E537" s="1" t="n">
        <v>46309</v>
      </c>
      <c r="F537" t="inlineStr">
        <is>
          <t>GÄVLEBORGS LÄN</t>
        </is>
      </c>
      <c r="G537" t="inlineStr">
        <is>
          <t>NORDANSTIG</t>
        </is>
      </c>
      <c r="I537" t="n">
        <v>2.2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s="2" t="inlineStr"/>
    </row>
    <row r="538" ht="15" customHeight="1">
      <c r="A538" t="inlineStr">
        <is>
          <t>A 11087-2026</t>
        </is>
      </c>
      <c r="B538" t="inlineStr">
        <is>
          <t>avverkningsanmälan</t>
        </is>
      </c>
      <c r="C538" t="inlineStr">
        <is>
          <t>Föryngringsavverkning</t>
        </is>
      </c>
      <c r="D538" s="1" t="n">
        <v>46079</v>
      </c>
      <c r="E538" s="1" t="n">
        <v>46309</v>
      </c>
      <c r="F538" t="inlineStr">
        <is>
          <t>GÄVLEBORGS LÄN</t>
        </is>
      </c>
      <c r="G538" t="inlineStr">
        <is>
          <t>NORDANSTIG</t>
        </is>
      </c>
      <c r="I538" t="n">
        <v>1.5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s="2" t="inlineStr"/>
    </row>
    <row r="539" ht="15" customHeight="1">
      <c r="A539" t="inlineStr">
        <is>
          <t>A 34913-2023</t>
        </is>
      </c>
      <c r="B539" t="inlineStr">
        <is>
          <t>avverkningsanmälan</t>
        </is>
      </c>
      <c r="C539" t="inlineStr">
        <is>
          <t>Föryngringsavverkning</t>
        </is>
      </c>
      <c r="D539" s="1" t="n">
        <v>45142</v>
      </c>
      <c r="E539" s="1" t="n">
        <v>46309</v>
      </c>
      <c r="F539" t="inlineStr">
        <is>
          <t>GÄVLEBORGS LÄN</t>
        </is>
      </c>
      <c r="G539" t="inlineStr">
        <is>
          <t>NORDANSTIG</t>
        </is>
      </c>
      <c r="H539" t="inlineStr">
        <is>
          <t>Holmen skog AB</t>
        </is>
      </c>
      <c r="I539" t="n">
        <v>1.5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s="2" t="inlineStr"/>
    </row>
    <row r="540" ht="15" customHeight="1">
      <c r="A540" t="inlineStr">
        <is>
          <t>A 34918-2023</t>
        </is>
      </c>
      <c r="B540" t="inlineStr">
        <is>
          <t>avverkningsanmälan</t>
        </is>
      </c>
      <c r="C540" t="inlineStr">
        <is>
          <t>Föryngringsavverkning</t>
        </is>
      </c>
      <c r="D540" s="1" t="n">
        <v>45142</v>
      </c>
      <c r="E540" s="1" t="n">
        <v>46309</v>
      </c>
      <c r="F540" t="inlineStr">
        <is>
          <t>GÄVLEBORGS LÄN</t>
        </is>
      </c>
      <c r="G540" t="inlineStr">
        <is>
          <t>NORDANSTIG</t>
        </is>
      </c>
      <c r="H540" t="inlineStr">
        <is>
          <t>Holmen skog AB</t>
        </is>
      </c>
      <c r="I540" t="n">
        <v>1.2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s="2" t="inlineStr"/>
    </row>
    <row r="541" ht="15" customHeight="1">
      <c r="A541" t="inlineStr">
        <is>
          <t>A 10993-2026</t>
        </is>
      </c>
      <c r="B541" t="inlineStr">
        <is>
          <t>avverkningsanmälan</t>
        </is>
      </c>
      <c r="C541" t="inlineStr">
        <is>
          <t>Föryngringsavverkning</t>
        </is>
      </c>
      <c r="D541" s="1" t="n">
        <v>46079</v>
      </c>
      <c r="E541" s="1" t="n">
        <v>46309</v>
      </c>
      <c r="F541" t="inlineStr">
        <is>
          <t>GÄVLEBORGS LÄN</t>
        </is>
      </c>
      <c r="G541" t="inlineStr">
        <is>
          <t>NORDANSTIG</t>
        </is>
      </c>
      <c r="H541" t="inlineStr">
        <is>
          <t>Holmen skog AB</t>
        </is>
      </c>
      <c r="I541" t="n">
        <v>46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s="2" t="inlineStr"/>
    </row>
    <row r="542" ht="15" customHeight="1">
      <c r="A542" t="inlineStr">
        <is>
          <t>A 54156-2024</t>
        </is>
      </c>
      <c r="B542" t="inlineStr">
        <is>
          <t>avverkningsanmälan</t>
        </is>
      </c>
      <c r="C542" t="inlineStr">
        <is>
          <t>Föryngringsavverkning</t>
        </is>
      </c>
      <c r="D542" s="1" t="n">
        <v>45616</v>
      </c>
      <c r="E542" s="1" t="n">
        <v>46309</v>
      </c>
      <c r="F542" t="inlineStr">
        <is>
          <t>GÄVLEBORGS LÄN</t>
        </is>
      </c>
      <c r="G542" t="inlineStr">
        <is>
          <t>NORDANSTIG</t>
        </is>
      </c>
      <c r="I542" t="n">
        <v>0.7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s="2" t="inlineStr"/>
    </row>
    <row r="543" ht="15" customHeight="1">
      <c r="A543" t="inlineStr">
        <is>
          <t>A 9883-2026</t>
        </is>
      </c>
      <c r="B543" t="inlineStr">
        <is>
          <t>avverkningsanmälan</t>
        </is>
      </c>
      <c r="C543" t="inlineStr">
        <is>
          <t>Föryngringsavverkning</t>
        </is>
      </c>
      <c r="D543" s="1" t="n">
        <v>46073</v>
      </c>
      <c r="E543" s="1" t="n">
        <v>46309</v>
      </c>
      <c r="F543" t="inlineStr">
        <is>
          <t>GÄVLEBORGS LÄN</t>
        </is>
      </c>
      <c r="G543" t="inlineStr">
        <is>
          <t>NORDANSTIG</t>
        </is>
      </c>
      <c r="I543" t="n">
        <v>1.7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s="2" t="inlineStr"/>
    </row>
    <row r="544" ht="15" customHeight="1">
      <c r="A544" t="inlineStr">
        <is>
          <t>A 10984-2026</t>
        </is>
      </c>
      <c r="B544" t="inlineStr">
        <is>
          <t>avverkningsanmälan</t>
        </is>
      </c>
      <c r="C544" t="inlineStr">
        <is>
          <t>Föryngringsavverkning</t>
        </is>
      </c>
      <c r="D544" s="1" t="n">
        <v>46079</v>
      </c>
      <c r="E544" s="1" t="n">
        <v>46309</v>
      </c>
      <c r="F544" t="inlineStr">
        <is>
          <t>GÄVLEBORGS LÄN</t>
        </is>
      </c>
      <c r="G544" t="inlineStr">
        <is>
          <t>NORDANSTIG</t>
        </is>
      </c>
      <c r="I544" t="n">
        <v>7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s="2" t="inlineStr"/>
    </row>
    <row r="545" ht="15" customHeight="1">
      <c r="A545" t="inlineStr">
        <is>
          <t>A 62833-2025</t>
        </is>
      </c>
      <c r="B545" t="inlineStr">
        <is>
          <t>avverkningsanmälan</t>
        </is>
      </c>
      <c r="C545" t="inlineStr">
        <is>
          <t>Föryngringsavverkning</t>
        </is>
      </c>
      <c r="D545" s="1" t="n">
        <v>46008</v>
      </c>
      <c r="E545" s="1" t="n">
        <v>46309</v>
      </c>
      <c r="F545" t="inlineStr">
        <is>
          <t>GÄVLEBORGS LÄN</t>
        </is>
      </c>
      <c r="G545" t="inlineStr">
        <is>
          <t>NORDANSTIG</t>
        </is>
      </c>
      <c r="H545" t="inlineStr">
        <is>
          <t>SCA</t>
        </is>
      </c>
      <c r="I545" t="n">
        <v>7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s="2" t="inlineStr"/>
    </row>
    <row r="546" ht="15" customHeight="1">
      <c r="A546" t="inlineStr">
        <is>
          <t>A 54385-2024</t>
        </is>
      </c>
      <c r="B546" t="inlineStr">
        <is>
          <t>avverkningsanmälan</t>
        </is>
      </c>
      <c r="C546" t="inlineStr">
        <is>
          <t>Föryngringsavverkning</t>
        </is>
      </c>
      <c r="D546" s="1" t="n">
        <v>45617</v>
      </c>
      <c r="E546" s="1" t="n">
        <v>46309</v>
      </c>
      <c r="F546" t="inlineStr">
        <is>
          <t>GÄVLEBORGS LÄN</t>
        </is>
      </c>
      <c r="G546" t="inlineStr">
        <is>
          <t>NORDANSTIG</t>
        </is>
      </c>
      <c r="H546" t="inlineStr">
        <is>
          <t>Holmen skog AB</t>
        </is>
      </c>
      <c r="I546" t="n">
        <v>2.9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s="2" t="inlineStr"/>
    </row>
    <row r="547" ht="15" customHeight="1">
      <c r="A547" t="inlineStr">
        <is>
          <t>A 12398-2023</t>
        </is>
      </c>
      <c r="B547" t="inlineStr">
        <is>
          <t>avverkningsanmälan</t>
        </is>
      </c>
      <c r="C547" t="inlineStr">
        <is>
          <t>Föryngringsavverkning</t>
        </is>
      </c>
      <c r="D547" s="1" t="n">
        <v>44999</v>
      </c>
      <c r="E547" s="1" t="n">
        <v>46309</v>
      </c>
      <c r="F547" t="inlineStr">
        <is>
          <t>GÄVLEBORGS LÄN</t>
        </is>
      </c>
      <c r="G547" t="inlineStr">
        <is>
          <t>NORDANSTIG</t>
        </is>
      </c>
      <c r="I547" t="n">
        <v>1.6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s="2" t="inlineStr"/>
    </row>
    <row r="548" ht="15" customHeight="1">
      <c r="A548" t="inlineStr">
        <is>
          <t>A 11307-2026</t>
        </is>
      </c>
      <c r="B548" t="inlineStr">
        <is>
          <t>avverkningsanmälan</t>
        </is>
      </c>
      <c r="C548" t="inlineStr">
        <is>
          <t>Föryngringsavverkning</t>
        </is>
      </c>
      <c r="D548" s="1" t="n">
        <v>46080</v>
      </c>
      <c r="E548" s="1" t="n">
        <v>46309</v>
      </c>
      <c r="F548" t="inlineStr">
        <is>
          <t>GÄVLEBORGS LÄN</t>
        </is>
      </c>
      <c r="G548" t="inlineStr">
        <is>
          <t>NORDANSTIG</t>
        </is>
      </c>
      <c r="H548" t="inlineStr">
        <is>
          <t>Holmen skog AB</t>
        </is>
      </c>
      <c r="I548" t="n">
        <v>2.2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s="2" t="inlineStr"/>
    </row>
    <row r="549" ht="15" customHeight="1">
      <c r="A549" t="inlineStr">
        <is>
          <t>A 26728-2022</t>
        </is>
      </c>
      <c r="B549" t="inlineStr">
        <is>
          <t>avverkningsanmälan</t>
        </is>
      </c>
      <c r="C549" t="inlineStr">
        <is>
          <t>Föryngringsavverkning</t>
        </is>
      </c>
      <c r="D549" s="1" t="n">
        <v>44739</v>
      </c>
      <c r="E549" s="1" t="n">
        <v>46309</v>
      </c>
      <c r="F549" t="inlineStr">
        <is>
          <t>GÄVLEBORGS LÄN</t>
        </is>
      </c>
      <c r="G549" t="inlineStr">
        <is>
          <t>NORDANSTIG</t>
        </is>
      </c>
      <c r="I549" t="n">
        <v>6.5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s="2" t="inlineStr"/>
    </row>
    <row r="550" ht="15" customHeight="1">
      <c r="A550" t="inlineStr">
        <is>
          <t>A 58872-2024</t>
        </is>
      </c>
      <c r="B550" t="inlineStr">
        <is>
          <t>avverkningsanmälan</t>
        </is>
      </c>
      <c r="C550" t="inlineStr">
        <is>
          <t>Föryngringsavverkning</t>
        </is>
      </c>
      <c r="D550" s="1" t="n">
        <v>45636</v>
      </c>
      <c r="E550" s="1" t="n">
        <v>46309</v>
      </c>
      <c r="F550" t="inlineStr">
        <is>
          <t>GÄVLEBORGS LÄN</t>
        </is>
      </c>
      <c r="G550" t="inlineStr">
        <is>
          <t>NORDANSTIG</t>
        </is>
      </c>
      <c r="I550" t="n">
        <v>0.9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s="2" t="inlineStr"/>
    </row>
    <row r="551" ht="15" customHeight="1">
      <c r="A551" t="inlineStr">
        <is>
          <t>A 34783-2022</t>
        </is>
      </c>
      <c r="B551" t="inlineStr">
        <is>
          <t>avverkningsanmälan</t>
        </is>
      </c>
      <c r="C551" t="inlineStr">
        <is>
          <t>Föryngringsavverkning</t>
        </is>
      </c>
      <c r="D551" s="1" t="n">
        <v>44795</v>
      </c>
      <c r="E551" s="1" t="n">
        <v>46309</v>
      </c>
      <c r="F551" t="inlineStr">
        <is>
          <t>GÄVLEBORGS LÄN</t>
        </is>
      </c>
      <c r="G551" t="inlineStr">
        <is>
          <t>NORDANSTIG</t>
        </is>
      </c>
      <c r="I551" t="n">
        <v>7.8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s="2" t="inlineStr"/>
    </row>
    <row r="552" ht="15" customHeight="1">
      <c r="A552" t="inlineStr">
        <is>
          <t>A 11614-2026</t>
        </is>
      </c>
      <c r="B552" t="inlineStr">
        <is>
          <t>avverkningsanmälan</t>
        </is>
      </c>
      <c r="C552" t="inlineStr">
        <is>
          <t>Föryngringsavverkning</t>
        </is>
      </c>
      <c r="D552" s="1" t="n">
        <v>46084</v>
      </c>
      <c r="E552" s="1" t="n">
        <v>46309</v>
      </c>
      <c r="F552" t="inlineStr">
        <is>
          <t>GÄVLEBORGS LÄN</t>
        </is>
      </c>
      <c r="G552" t="inlineStr">
        <is>
          <t>NORDANSTIG</t>
        </is>
      </c>
      <c r="I552" t="n">
        <v>1.7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s="2" t="inlineStr"/>
    </row>
    <row r="553" ht="15" customHeight="1">
      <c r="A553" t="inlineStr">
        <is>
          <t>A 17052-2023</t>
        </is>
      </c>
      <c r="B553" t="inlineStr">
        <is>
          <t>avverkningsanmälan</t>
        </is>
      </c>
      <c r="C553" t="inlineStr">
        <is>
          <t>Föryngringsavverkning</t>
        </is>
      </c>
      <c r="D553" s="1" t="n">
        <v>45034</v>
      </c>
      <c r="E553" s="1" t="n">
        <v>46309</v>
      </c>
      <c r="F553" t="inlineStr">
        <is>
          <t>GÄVLEBORGS LÄN</t>
        </is>
      </c>
      <c r="G553" t="inlineStr">
        <is>
          <t>NORDANSTIG</t>
        </is>
      </c>
      <c r="H553" t="inlineStr">
        <is>
          <t>Holmen skog AB</t>
        </is>
      </c>
      <c r="I553" t="n">
        <v>8.6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s="2" t="inlineStr"/>
    </row>
    <row r="554" ht="15" customHeight="1">
      <c r="A554" t="inlineStr">
        <is>
          <t>A 11578-2026</t>
        </is>
      </c>
      <c r="B554" t="inlineStr">
        <is>
          <t>avverkningsanmälan</t>
        </is>
      </c>
      <c r="C554" t="inlineStr">
        <is>
          <t>Föryngringsavverkning</t>
        </is>
      </c>
      <c r="D554" s="1" t="n">
        <v>46084</v>
      </c>
      <c r="E554" s="1" t="n">
        <v>46309</v>
      </c>
      <c r="F554" t="inlineStr">
        <is>
          <t>GÄVLEBORGS LÄN</t>
        </is>
      </c>
      <c r="G554" t="inlineStr">
        <is>
          <t>NORDANSTIG</t>
        </is>
      </c>
      <c r="I554" t="n">
        <v>1.4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s="2" t="inlineStr"/>
    </row>
    <row r="555" ht="15" customHeight="1">
      <c r="A555" t="inlineStr">
        <is>
          <t>A 11592-2026</t>
        </is>
      </c>
      <c r="B555" t="inlineStr">
        <is>
          <t>avverkningsanmälan</t>
        </is>
      </c>
      <c r="C555" t="inlineStr">
        <is>
          <t>Föryngringsavverkning</t>
        </is>
      </c>
      <c r="D555" s="1" t="n">
        <v>46084</v>
      </c>
      <c r="E555" s="1" t="n">
        <v>46309</v>
      </c>
      <c r="F555" t="inlineStr">
        <is>
          <t>GÄVLEBORGS LÄN</t>
        </is>
      </c>
      <c r="G555" t="inlineStr">
        <is>
          <t>NORDANSTIG</t>
        </is>
      </c>
      <c r="I555" t="n">
        <v>8.6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s="2" t="inlineStr"/>
    </row>
    <row r="556" ht="15" customHeight="1">
      <c r="A556" t="inlineStr">
        <is>
          <t>A 11713-2026</t>
        </is>
      </c>
      <c r="B556" t="inlineStr">
        <is>
          <t>avverkningsanmälan</t>
        </is>
      </c>
      <c r="C556" t="inlineStr">
        <is>
          <t>Föryngringsavverkning</t>
        </is>
      </c>
      <c r="D556" s="1" t="n">
        <v>46084</v>
      </c>
      <c r="E556" s="1" t="n">
        <v>46309</v>
      </c>
      <c r="F556" t="inlineStr">
        <is>
          <t>GÄVLEBORGS LÄN</t>
        </is>
      </c>
      <c r="G556" t="inlineStr">
        <is>
          <t>NORDANSTIG</t>
        </is>
      </c>
      <c r="I556" t="n">
        <v>2.5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s="2" t="inlineStr"/>
    </row>
    <row r="557" ht="15" customHeight="1">
      <c r="A557" t="inlineStr">
        <is>
          <t>A 11581-2026</t>
        </is>
      </c>
      <c r="B557" t="inlineStr">
        <is>
          <t>avverkningsanmälan</t>
        </is>
      </c>
      <c r="C557" t="inlineStr">
        <is>
          <t>Föryngringsavverkning</t>
        </is>
      </c>
      <c r="D557" s="1" t="n">
        <v>46084</v>
      </c>
      <c r="E557" s="1" t="n">
        <v>46309</v>
      </c>
      <c r="F557" t="inlineStr">
        <is>
          <t>GÄVLEBORGS LÄN</t>
        </is>
      </c>
      <c r="G557" t="inlineStr">
        <is>
          <t>NORDANSTIG</t>
        </is>
      </c>
      <c r="I557" t="n">
        <v>1.8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s="2" t="inlineStr"/>
    </row>
    <row r="558" ht="15" customHeight="1">
      <c r="A558" t="inlineStr">
        <is>
          <t>A 11586-2026</t>
        </is>
      </c>
      <c r="B558" t="inlineStr">
        <is>
          <t>avverkningsanmälan</t>
        </is>
      </c>
      <c r="C558" t="inlineStr">
        <is>
          <t>Föryngringsavverkning</t>
        </is>
      </c>
      <c r="D558" s="1" t="n">
        <v>46084</v>
      </c>
      <c r="E558" s="1" t="n">
        <v>46309</v>
      </c>
      <c r="F558" t="inlineStr">
        <is>
          <t>GÄVLEBORGS LÄN</t>
        </is>
      </c>
      <c r="G558" t="inlineStr">
        <is>
          <t>NORDANSTIG</t>
        </is>
      </c>
      <c r="I558" t="n">
        <v>10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s="2" t="inlineStr"/>
    </row>
    <row r="559" ht="15" customHeight="1">
      <c r="A559" t="inlineStr">
        <is>
          <t>A 12334-2026</t>
        </is>
      </c>
      <c r="B559" t="inlineStr">
        <is>
          <t>avverkningsanmälan</t>
        </is>
      </c>
      <c r="C559" t="inlineStr">
        <is>
          <t>Föryngringsavverkning</t>
        </is>
      </c>
      <c r="D559" s="1" t="n">
        <v>46087</v>
      </c>
      <c r="E559" s="1" t="n">
        <v>46309</v>
      </c>
      <c r="F559" t="inlineStr">
        <is>
          <t>GÄVLEBORGS LÄN</t>
        </is>
      </c>
      <c r="G559" t="inlineStr">
        <is>
          <t>NORDANSTIG</t>
        </is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s="2" t="inlineStr"/>
    </row>
    <row r="560" ht="15" customHeight="1">
      <c r="A560" t="inlineStr">
        <is>
          <t>A 12328-2026</t>
        </is>
      </c>
      <c r="B560" t="inlineStr">
        <is>
          <t>avverkningsanmälan</t>
        </is>
      </c>
      <c r="C560" t="inlineStr">
        <is>
          <t>Föryngringsavverkning</t>
        </is>
      </c>
      <c r="D560" s="1" t="n">
        <v>46087</v>
      </c>
      <c r="E560" s="1" t="n">
        <v>46309</v>
      </c>
      <c r="F560" t="inlineStr">
        <is>
          <t>GÄVLEBORGS LÄN</t>
        </is>
      </c>
      <c r="G560" t="inlineStr">
        <is>
          <t>NORDANSTIG</t>
        </is>
      </c>
      <c r="I560" t="n">
        <v>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s="2" t="inlineStr"/>
    </row>
    <row r="561" ht="15" customHeight="1">
      <c r="A561" t="inlineStr">
        <is>
          <t>A 3748-2026</t>
        </is>
      </c>
      <c r="B561" t="inlineStr">
        <is>
          <t>avverkningsanmälan</t>
        </is>
      </c>
      <c r="C561" t="inlineStr">
        <is>
          <t>Föryngringsavverkning</t>
        </is>
      </c>
      <c r="D561" s="1" t="n">
        <v>46043</v>
      </c>
      <c r="E561" s="1" t="n">
        <v>46309</v>
      </c>
      <c r="F561" t="inlineStr">
        <is>
          <t>GÄVLEBORGS LÄN</t>
        </is>
      </c>
      <c r="G561" t="inlineStr">
        <is>
          <t>NORDANSTIG</t>
        </is>
      </c>
      <c r="I561" t="n">
        <v>7.9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s="2" t="inlineStr"/>
    </row>
    <row r="562" ht="15" customHeight="1">
      <c r="A562" t="inlineStr">
        <is>
          <t>A 12085-2026</t>
        </is>
      </c>
      <c r="B562" t="inlineStr">
        <is>
          <t>avverkningsanmälan</t>
        </is>
      </c>
      <c r="C562" t="inlineStr">
        <is>
          <t>Föryngringsavverkning</t>
        </is>
      </c>
      <c r="D562" s="1" t="n">
        <v>46086</v>
      </c>
      <c r="E562" s="1" t="n">
        <v>46309</v>
      </c>
      <c r="F562" t="inlineStr">
        <is>
          <t>GÄVLEBORGS LÄN</t>
        </is>
      </c>
      <c r="G562" t="inlineStr">
        <is>
          <t>NORDANSTIG</t>
        </is>
      </c>
      <c r="I562" t="n">
        <v>1.2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s="2" t="inlineStr"/>
    </row>
    <row r="563" ht="15" customHeight="1">
      <c r="A563" t="inlineStr">
        <is>
          <t>A 12552-2026</t>
        </is>
      </c>
      <c r="B563" t="inlineStr">
        <is>
          <t>avverkningsanmälan</t>
        </is>
      </c>
      <c r="C563" t="inlineStr">
        <is>
          <t>Föryngringsavverkning</t>
        </is>
      </c>
      <c r="D563" s="1" t="n">
        <v>46090</v>
      </c>
      <c r="E563" s="1" t="n">
        <v>46309</v>
      </c>
      <c r="F563" t="inlineStr">
        <is>
          <t>GÄVLEBORGS LÄN</t>
        </is>
      </c>
      <c r="G563" t="inlineStr">
        <is>
          <t>NORDANSTIG</t>
        </is>
      </c>
      <c r="I563" t="n">
        <v>2.3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s="2" t="inlineStr"/>
    </row>
    <row r="564" ht="15" customHeight="1">
      <c r="A564" t="inlineStr">
        <is>
          <t>A 38241-2024</t>
        </is>
      </c>
      <c r="B564" t="inlineStr">
        <is>
          <t>avverkningsanmälan</t>
        </is>
      </c>
      <c r="C564" t="inlineStr">
        <is>
          <t>Föryngringsavverkning</t>
        </is>
      </c>
      <c r="D564" s="1" t="n">
        <v>45545</v>
      </c>
      <c r="E564" s="1" t="n">
        <v>46309</v>
      </c>
      <c r="F564" t="inlineStr">
        <is>
          <t>GÄVLEBORGS LÄN</t>
        </is>
      </c>
      <c r="G564" t="inlineStr">
        <is>
          <t>NORDANSTIG</t>
        </is>
      </c>
      <c r="H564" t="inlineStr">
        <is>
          <t>Holmen skog AB</t>
        </is>
      </c>
      <c r="I564" t="n">
        <v>3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s="2" t="inlineStr"/>
    </row>
    <row r="565" ht="15" customHeight="1">
      <c r="A565" t="inlineStr">
        <is>
          <t>A 38048-2024</t>
        </is>
      </c>
      <c r="B565" t="inlineStr">
        <is>
          <t>avverkningsanmälan</t>
        </is>
      </c>
      <c r="C565" t="inlineStr">
        <is>
          <t>Föryngringsavverkning</t>
        </is>
      </c>
      <c r="D565" s="1" t="n">
        <v>45544</v>
      </c>
      <c r="E565" s="1" t="n">
        <v>46309</v>
      </c>
      <c r="F565" t="inlineStr">
        <is>
          <t>GÄVLEBORGS LÄN</t>
        </is>
      </c>
      <c r="G565" t="inlineStr">
        <is>
          <t>NORDANSTIG</t>
        </is>
      </c>
      <c r="H565" t="inlineStr">
        <is>
          <t>Holmen skog AB</t>
        </is>
      </c>
      <c r="I565" t="n">
        <v>3.3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s="2" t="inlineStr"/>
    </row>
    <row r="566" ht="15" customHeight="1">
      <c r="A566" t="inlineStr">
        <is>
          <t>A 18279-2023</t>
        </is>
      </c>
      <c r="B566" t="inlineStr">
        <is>
          <t>avverkningsanmälan</t>
        </is>
      </c>
      <c r="C566" t="inlineStr">
        <is>
          <t>Föryngringsavverkning</t>
        </is>
      </c>
      <c r="D566" s="1" t="n">
        <v>45041</v>
      </c>
      <c r="E566" s="1" t="n">
        <v>46309</v>
      </c>
      <c r="F566" t="inlineStr">
        <is>
          <t>GÄVLEBORGS LÄN</t>
        </is>
      </c>
      <c r="G566" t="inlineStr">
        <is>
          <t>NORDANSTIG</t>
        </is>
      </c>
      <c r="H566" t="inlineStr">
        <is>
          <t>Holmen skog AB</t>
        </is>
      </c>
      <c r="I566" t="n">
        <v>0.7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s="2" t="inlineStr"/>
    </row>
    <row r="567" ht="15" customHeight="1">
      <c r="A567" t="inlineStr">
        <is>
          <t>A 12458-2026</t>
        </is>
      </c>
      <c r="B567" t="inlineStr">
        <is>
          <t>avverkningsanmälan</t>
        </is>
      </c>
      <c r="C567" t="inlineStr">
        <is>
          <t>Föryngringsavverkning</t>
        </is>
      </c>
      <c r="D567" s="1" t="n">
        <v>46090</v>
      </c>
      <c r="E567" s="1" t="n">
        <v>46309</v>
      </c>
      <c r="F567" t="inlineStr">
        <is>
          <t>GÄVLEBORGS LÄN</t>
        </is>
      </c>
      <c r="G567" t="inlineStr">
        <is>
          <t>NORDANSTIG</t>
        </is>
      </c>
      <c r="I567" t="n">
        <v>2.4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s="2" t="inlineStr"/>
    </row>
    <row r="568" ht="15" customHeight="1">
      <c r="A568" t="inlineStr">
        <is>
          <t>A 12956-2026</t>
        </is>
      </c>
      <c r="B568" t="inlineStr">
        <is>
          <t>avverkningsanmälan</t>
        </is>
      </c>
      <c r="C568" t="inlineStr">
        <is>
          <t>Föryngringsavverkning</t>
        </is>
      </c>
      <c r="D568" s="1" t="n">
        <v>46092</v>
      </c>
      <c r="E568" s="1" t="n">
        <v>46309</v>
      </c>
      <c r="F568" t="inlineStr">
        <is>
          <t>GÄVLEBORGS LÄN</t>
        </is>
      </c>
      <c r="G568" t="inlineStr">
        <is>
          <t>NORDANSTIG</t>
        </is>
      </c>
      <c r="H568" t="inlineStr">
        <is>
          <t>Holmen skog AB</t>
        </is>
      </c>
      <c r="I568" t="n">
        <v>0.8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s="2" t="inlineStr"/>
    </row>
    <row r="569" ht="15" customHeight="1">
      <c r="A569" t="inlineStr">
        <is>
          <t>A 58912-2024</t>
        </is>
      </c>
      <c r="B569" t="inlineStr">
        <is>
          <t>avverkningsanmälan</t>
        </is>
      </c>
      <c r="C569" t="inlineStr">
        <is>
          <t>Föryngringsavverkning</t>
        </is>
      </c>
      <c r="D569" s="1" t="n">
        <v>45636</v>
      </c>
      <c r="E569" s="1" t="n">
        <v>46309</v>
      </c>
      <c r="F569" t="inlineStr">
        <is>
          <t>GÄVLEBORGS LÄN</t>
        </is>
      </c>
      <c r="G569" t="inlineStr">
        <is>
          <t>NORDANSTIG</t>
        </is>
      </c>
      <c r="H569" t="inlineStr">
        <is>
          <t>Holmen skog AB</t>
        </is>
      </c>
      <c r="I569" t="n">
        <v>2.6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s="2" t="inlineStr"/>
    </row>
    <row r="570" ht="15" customHeight="1">
      <c r="A570" t="inlineStr">
        <is>
          <t>A 10484-2023</t>
        </is>
      </c>
      <c r="B570" t="inlineStr">
        <is>
          <t>avverkningsanmälan</t>
        </is>
      </c>
      <c r="C570" t="inlineStr">
        <is>
          <t>Föryngringsavverkning</t>
        </is>
      </c>
      <c r="D570" s="1" t="n">
        <v>44987</v>
      </c>
      <c r="E570" s="1" t="n">
        <v>46309</v>
      </c>
      <c r="F570" t="inlineStr">
        <is>
          <t>GÄVLEBORGS LÄN</t>
        </is>
      </c>
      <c r="G570" t="inlineStr">
        <is>
          <t>NORDANSTIG</t>
        </is>
      </c>
      <c r="I570" t="n">
        <v>0.7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s="2" t="inlineStr"/>
    </row>
    <row r="571" ht="15" customHeight="1">
      <c r="A571" t="inlineStr">
        <is>
          <t>A 13218-2026</t>
        </is>
      </c>
      <c r="B571" t="inlineStr">
        <is>
          <t>avverkningsanmälan</t>
        </is>
      </c>
      <c r="C571" t="inlineStr">
        <is>
          <t>Föryngringsavverkning</t>
        </is>
      </c>
      <c r="D571" s="1" t="n">
        <v>46093</v>
      </c>
      <c r="E571" s="1" t="n">
        <v>46309</v>
      </c>
      <c r="F571" t="inlineStr">
        <is>
          <t>GÄVLEBORGS LÄN</t>
        </is>
      </c>
      <c r="G571" t="inlineStr">
        <is>
          <t>NORDANSTIG</t>
        </is>
      </c>
      <c r="I571" t="n">
        <v>6.2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s="2" t="inlineStr"/>
    </row>
    <row r="572" ht="15" customHeight="1">
      <c r="A572" t="inlineStr">
        <is>
          <t>A 13647-2026</t>
        </is>
      </c>
      <c r="B572" t="inlineStr">
        <is>
          <t>avverkningsanmälan</t>
        </is>
      </c>
      <c r="C572" t="inlineStr">
        <is>
          <t>Föryngringsavverkning</t>
        </is>
      </c>
      <c r="D572" s="1" t="n">
        <v>46097</v>
      </c>
      <c r="E572" s="1" t="n">
        <v>46309</v>
      </c>
      <c r="F572" t="inlineStr">
        <is>
          <t>GÄVLEBORGS LÄN</t>
        </is>
      </c>
      <c r="G572" t="inlineStr">
        <is>
          <t>NORDANSTIG</t>
        </is>
      </c>
      <c r="I572" t="n">
        <v>0.9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s="2" t="inlineStr"/>
    </row>
    <row r="573" ht="15" customHeight="1">
      <c r="A573" t="inlineStr">
        <is>
          <t>A 35115-2022</t>
        </is>
      </c>
      <c r="B573" t="inlineStr">
        <is>
          <t>avverkningsanmälan</t>
        </is>
      </c>
      <c r="C573" t="inlineStr">
        <is>
          <t>Föryngringsavverkning</t>
        </is>
      </c>
      <c r="D573" s="1" t="n">
        <v>44797</v>
      </c>
      <c r="E573" s="1" t="n">
        <v>46309</v>
      </c>
      <c r="F573" t="inlineStr">
        <is>
          <t>GÄVLEBORGS LÄN</t>
        </is>
      </c>
      <c r="G573" t="inlineStr">
        <is>
          <t>NORDANSTIG</t>
        </is>
      </c>
      <c r="H573" t="inlineStr">
        <is>
          <t>Holmen skog AB</t>
        </is>
      </c>
      <c r="I573" t="n">
        <v>1.2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s="2" t="inlineStr"/>
    </row>
    <row r="574" ht="15" customHeight="1">
      <c r="A574" t="inlineStr">
        <is>
          <t>A 56494-2024</t>
        </is>
      </c>
      <c r="B574" t="inlineStr">
        <is>
          <t>avverkningsanmälan</t>
        </is>
      </c>
      <c r="C574" t="inlineStr">
        <is>
          <t>Föryngringsavverkning</t>
        </is>
      </c>
      <c r="D574" s="1" t="n">
        <v>45625</v>
      </c>
      <c r="E574" s="1" t="n">
        <v>46309</v>
      </c>
      <c r="F574" t="inlineStr">
        <is>
          <t>GÄVLEBORGS LÄN</t>
        </is>
      </c>
      <c r="G574" t="inlineStr">
        <is>
          <t>NORDANSTIG</t>
        </is>
      </c>
      <c r="I574" t="n">
        <v>10.1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s="2" t="inlineStr"/>
    </row>
    <row r="575" ht="15" customHeight="1">
      <c r="A575" t="inlineStr">
        <is>
          <t>A 13978-2026</t>
        </is>
      </c>
      <c r="B575" t="inlineStr">
        <is>
          <t>avverkningsanmälan</t>
        </is>
      </c>
      <c r="C575" t="inlineStr">
        <is>
          <t>Föryngringsavverkning</t>
        </is>
      </c>
      <c r="D575" s="1" t="n">
        <v>46098</v>
      </c>
      <c r="E575" s="1" t="n">
        <v>46309</v>
      </c>
      <c r="F575" t="inlineStr">
        <is>
          <t>GÄVLEBORGS LÄN</t>
        </is>
      </c>
      <c r="G575" t="inlineStr">
        <is>
          <t>NORDANSTIG</t>
        </is>
      </c>
      <c r="H575" t="inlineStr">
        <is>
          <t>Holmen skog AB</t>
        </is>
      </c>
      <c r="I575" t="n">
        <v>1.8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s="2" t="inlineStr"/>
    </row>
    <row r="576" ht="15" customHeight="1">
      <c r="A576" t="inlineStr">
        <is>
          <t>A 13982-2026</t>
        </is>
      </c>
      <c r="B576" t="inlineStr">
        <is>
          <t>avverkningsanmälan</t>
        </is>
      </c>
      <c r="C576" t="inlineStr">
        <is>
          <t>Föryngringsavverkning</t>
        </is>
      </c>
      <c r="D576" s="1" t="n">
        <v>46098</v>
      </c>
      <c r="E576" s="1" t="n">
        <v>46309</v>
      </c>
      <c r="F576" t="inlineStr">
        <is>
          <t>GÄVLEBORGS LÄN</t>
        </is>
      </c>
      <c r="G576" t="inlineStr">
        <is>
          <t>NORDANSTIG</t>
        </is>
      </c>
      <c r="H576" t="inlineStr">
        <is>
          <t>Holmen skog AB</t>
        </is>
      </c>
      <c r="I576" t="n">
        <v>1.3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s="2" t="inlineStr"/>
    </row>
    <row r="577" ht="15" customHeight="1">
      <c r="A577" t="inlineStr">
        <is>
          <t>A 14267-2026</t>
        </is>
      </c>
      <c r="B577" t="inlineStr">
        <is>
          <t>avverkningsanmälan</t>
        </is>
      </c>
      <c r="C577" t="inlineStr">
        <is>
          <t>Föryngringsavverkning</t>
        </is>
      </c>
      <c r="D577" s="1" t="n">
        <v>46099</v>
      </c>
      <c r="E577" s="1" t="n">
        <v>46309</v>
      </c>
      <c r="F577" t="inlineStr">
        <is>
          <t>GÄVLEBORGS LÄN</t>
        </is>
      </c>
      <c r="G577" t="inlineStr">
        <is>
          <t>NORDANSTIG</t>
        </is>
      </c>
      <c r="H577" t="inlineStr">
        <is>
          <t>Holmen skog AB</t>
        </is>
      </c>
      <c r="I577" t="n">
        <v>2.3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s="2" t="inlineStr"/>
    </row>
    <row r="578" ht="15" customHeight="1">
      <c r="A578" t="inlineStr">
        <is>
          <t>A 13823-2026</t>
        </is>
      </c>
      <c r="B578" t="inlineStr">
        <is>
          <t>avverkningsanmälan</t>
        </is>
      </c>
      <c r="C578" t="inlineStr">
        <is>
          <t>Föryngringsavverkning</t>
        </is>
      </c>
      <c r="D578" s="1" t="n">
        <v>46098</v>
      </c>
      <c r="E578" s="1" t="n">
        <v>46309</v>
      </c>
      <c r="F578" t="inlineStr">
        <is>
          <t>GÄVLEBORGS LÄN</t>
        </is>
      </c>
      <c r="G578" t="inlineStr">
        <is>
          <t>NORDANSTIG</t>
        </is>
      </c>
      <c r="I578" t="n">
        <v>1.5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s="2" t="inlineStr"/>
    </row>
    <row r="579" ht="15" customHeight="1">
      <c r="A579" t="inlineStr">
        <is>
          <t>A 13822-2026</t>
        </is>
      </c>
      <c r="B579" t="inlineStr">
        <is>
          <t>avverkningsanmälan</t>
        </is>
      </c>
      <c r="C579" t="inlineStr">
        <is>
          <t>Föryngringsavverkning</t>
        </is>
      </c>
      <c r="D579" s="1" t="n">
        <v>46098</v>
      </c>
      <c r="E579" s="1" t="n">
        <v>46309</v>
      </c>
      <c r="F579" t="inlineStr">
        <is>
          <t>GÄVLEBORGS LÄN</t>
        </is>
      </c>
      <c r="G579" t="inlineStr">
        <is>
          <t>NORDANSTIG</t>
        </is>
      </c>
      <c r="I579" t="n">
        <v>2.8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s="2" t="inlineStr"/>
    </row>
    <row r="580" ht="15" customHeight="1">
      <c r="A580" t="inlineStr">
        <is>
          <t>A 9884-2023</t>
        </is>
      </c>
      <c r="B580" t="inlineStr">
        <is>
          <t>avverkningsanmälan</t>
        </is>
      </c>
      <c r="C580" t="inlineStr">
        <is>
          <t>Föryngringsavverkning</t>
        </is>
      </c>
      <c r="D580" s="1" t="n">
        <v>44985</v>
      </c>
      <c r="E580" s="1" t="n">
        <v>46309</v>
      </c>
      <c r="F580" t="inlineStr">
        <is>
          <t>GÄVLEBORGS LÄN</t>
        </is>
      </c>
      <c r="G580" t="inlineStr">
        <is>
          <t>NORDANSTIG</t>
        </is>
      </c>
      <c r="H580" t="inlineStr">
        <is>
          <t>Holmen skog AB</t>
        </is>
      </c>
      <c r="I580" t="n">
        <v>2.6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s="2" t="inlineStr"/>
    </row>
    <row r="581" ht="15" customHeight="1">
      <c r="A581" t="inlineStr">
        <is>
          <t>A 57196-2022</t>
        </is>
      </c>
      <c r="B581" t="inlineStr">
        <is>
          <t>avverkningsanmälan</t>
        </is>
      </c>
      <c r="C581" t="inlineStr">
        <is>
          <t>Föryngringsavverkning</t>
        </is>
      </c>
      <c r="D581" s="1" t="n">
        <v>44895</v>
      </c>
      <c r="E581" s="1" t="n">
        <v>46309</v>
      </c>
      <c r="F581" t="inlineStr">
        <is>
          <t>GÄVLEBORGS LÄN</t>
        </is>
      </c>
      <c r="G581" t="inlineStr">
        <is>
          <t>NORDANSTIG</t>
        </is>
      </c>
      <c r="H581" t="inlineStr">
        <is>
          <t>Holmen skog AB</t>
        </is>
      </c>
      <c r="I581" t="n">
        <v>1.1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s="2" t="inlineStr"/>
    </row>
    <row r="582" ht="15" customHeight="1">
      <c r="A582" t="inlineStr">
        <is>
          <t>A 42118-2022</t>
        </is>
      </c>
      <c r="B582" t="inlineStr">
        <is>
          <t>avverkningsanmälan</t>
        </is>
      </c>
      <c r="C582" t="inlineStr">
        <is>
          <t>Föryngringsavverkning</t>
        </is>
      </c>
      <c r="D582" s="1" t="n">
        <v>44830</v>
      </c>
      <c r="E582" s="1" t="n">
        <v>46309</v>
      </c>
      <c r="F582" t="inlineStr">
        <is>
          <t>GÄVLEBORGS LÄN</t>
        </is>
      </c>
      <c r="G582" t="inlineStr">
        <is>
          <t>NORDANSTIG</t>
        </is>
      </c>
      <c r="I582" t="n">
        <v>3.3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s="2" t="inlineStr"/>
    </row>
    <row r="583" ht="15" customHeight="1">
      <c r="A583" t="inlineStr">
        <is>
          <t>A 30078-2024</t>
        </is>
      </c>
      <c r="B583" t="inlineStr">
        <is>
          <t>avverkningsanmälan</t>
        </is>
      </c>
      <c r="C583" t="inlineStr">
        <is>
          <t>Föryngringsavverkning</t>
        </is>
      </c>
      <c r="D583" s="1" t="n">
        <v>45489</v>
      </c>
      <c r="E583" s="1" t="n">
        <v>46309</v>
      </c>
      <c r="F583" t="inlineStr">
        <is>
          <t>GÄVLEBORGS LÄN</t>
        </is>
      </c>
      <c r="G583" t="inlineStr">
        <is>
          <t>NORDANSTIG</t>
        </is>
      </c>
      <c r="H583" t="inlineStr">
        <is>
          <t>Holmen skog AB</t>
        </is>
      </c>
      <c r="I583" t="n">
        <v>4.7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s="2" t="inlineStr"/>
    </row>
    <row r="584" ht="15" customHeight="1">
      <c r="A584" t="inlineStr">
        <is>
          <t>A 18020-2026</t>
        </is>
      </c>
      <c r="B584" t="inlineStr">
        <is>
          <t>avverkningsanmälan</t>
        </is>
      </c>
      <c r="C584" t="inlineStr">
        <is>
          <t>Föryngringsavverkning</t>
        </is>
      </c>
      <c r="D584" s="1" t="n">
        <v>46125</v>
      </c>
      <c r="E584" s="1" t="n">
        <v>46309</v>
      </c>
      <c r="F584" t="inlineStr">
        <is>
          <t>GÄVLEBORGS LÄN</t>
        </is>
      </c>
      <c r="G584" t="inlineStr">
        <is>
          <t>NORDANSTIG</t>
        </is>
      </c>
      <c r="I584" t="n">
        <v>1.3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s="2" t="inlineStr"/>
    </row>
    <row r="585" ht="15" customHeight="1">
      <c r="A585" t="inlineStr">
        <is>
          <t>A 15009-2026</t>
        </is>
      </c>
      <c r="B585" t="inlineStr">
        <is>
          <t>avverkningsanmälan</t>
        </is>
      </c>
      <c r="C585" t="inlineStr">
        <is>
          <t>Föryngringsavverkning</t>
        </is>
      </c>
      <c r="D585" s="1" t="n">
        <v>46104</v>
      </c>
      <c r="E585" s="1" t="n">
        <v>46309</v>
      </c>
      <c r="F585" t="inlineStr">
        <is>
          <t>GÄVLEBORGS LÄN</t>
        </is>
      </c>
      <c r="G585" t="inlineStr">
        <is>
          <t>NORDANSTIG</t>
        </is>
      </c>
      <c r="I585" t="n">
        <v>8.4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s="2" t="inlineStr"/>
    </row>
    <row r="586" ht="15" customHeight="1">
      <c r="A586" t="inlineStr">
        <is>
          <t>A 15010-2026</t>
        </is>
      </c>
      <c r="B586" t="inlineStr">
        <is>
          <t>avverkningsanmälan</t>
        </is>
      </c>
      <c r="C586" t="inlineStr">
        <is>
          <t>Föryngringsavverkning</t>
        </is>
      </c>
      <c r="D586" s="1" t="n">
        <v>46104</v>
      </c>
      <c r="E586" s="1" t="n">
        <v>46309</v>
      </c>
      <c r="F586" t="inlineStr">
        <is>
          <t>GÄVLEBORGS LÄN</t>
        </is>
      </c>
      <c r="G586" t="inlineStr">
        <is>
          <t>NORDANSTIG</t>
        </is>
      </c>
      <c r="I586" t="n">
        <v>1.9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s="2" t="inlineStr"/>
    </row>
    <row r="587" ht="15" customHeight="1">
      <c r="A587" t="inlineStr">
        <is>
          <t>A 33535-2022</t>
        </is>
      </c>
      <c r="B587" t="inlineStr">
        <is>
          <t>avverkningsanmälan</t>
        </is>
      </c>
      <c r="C587" t="inlineStr">
        <is>
          <t>Föryngringsavverkning</t>
        </is>
      </c>
      <c r="D587" s="1" t="n">
        <v>44789</v>
      </c>
      <c r="E587" s="1" t="n">
        <v>46309</v>
      </c>
      <c r="F587" t="inlineStr">
        <is>
          <t>GÄVLEBORGS LÄN</t>
        </is>
      </c>
      <c r="G587" t="inlineStr">
        <is>
          <t>NORDANSTIG</t>
        </is>
      </c>
      <c r="I587" t="n">
        <v>1.4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s="2" t="inlineStr"/>
    </row>
    <row r="588" ht="15" customHeight="1">
      <c r="A588" t="inlineStr">
        <is>
          <t>A 54519-2024</t>
        </is>
      </c>
      <c r="B588" t="inlineStr">
        <is>
          <t>avverkningsanmälan</t>
        </is>
      </c>
      <c r="C588" t="inlineStr">
        <is>
          <t>Föryngringsavverkning</t>
        </is>
      </c>
      <c r="D588" s="1" t="n">
        <v>45617</v>
      </c>
      <c r="E588" s="1" t="n">
        <v>46309</v>
      </c>
      <c r="F588" t="inlineStr">
        <is>
          <t>GÄVLEBORGS LÄN</t>
        </is>
      </c>
      <c r="G588" t="inlineStr">
        <is>
          <t>NORDANSTIG</t>
        </is>
      </c>
      <c r="H588" t="inlineStr">
        <is>
          <t>Holmen skog AB</t>
        </is>
      </c>
      <c r="I588" t="n">
        <v>5.8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s="2" t="inlineStr"/>
    </row>
    <row r="589" ht="15" customHeight="1">
      <c r="A589" t="inlineStr">
        <is>
          <t>A 15746-2026</t>
        </is>
      </c>
      <c r="B589" t="inlineStr">
        <is>
          <t>avverkningsanmälan</t>
        </is>
      </c>
      <c r="C589" t="inlineStr">
        <is>
          <t>Föryngringsavverkning</t>
        </is>
      </c>
      <c r="D589" s="1" t="n">
        <v>46107</v>
      </c>
      <c r="E589" s="1" t="n">
        <v>46309</v>
      </c>
      <c r="F589" t="inlineStr">
        <is>
          <t>GÄVLEBORGS LÄN</t>
        </is>
      </c>
      <c r="G589" t="inlineStr">
        <is>
          <t>NORDANSTIG</t>
        </is>
      </c>
      <c r="H589" t="inlineStr">
        <is>
          <t>Holmen skog AB</t>
        </is>
      </c>
      <c r="I589" t="n">
        <v>6.5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s="2" t="inlineStr"/>
    </row>
    <row r="590" ht="15" customHeight="1">
      <c r="A590" t="inlineStr">
        <is>
          <t>A 63145-2023</t>
        </is>
      </c>
      <c r="B590" t="inlineStr">
        <is>
          <t>avverkningsanmälan</t>
        </is>
      </c>
      <c r="C590" t="inlineStr">
        <is>
          <t>Avverkning för annat ändamål</t>
        </is>
      </c>
      <c r="D590" s="1" t="n">
        <v>45273</v>
      </c>
      <c r="E590" s="1" t="n">
        <v>46309</v>
      </c>
      <c r="F590" t="inlineStr">
        <is>
          <t>GÄVLEBORGS LÄN</t>
        </is>
      </c>
      <c r="G590" t="inlineStr">
        <is>
          <t>NORDANSTIG</t>
        </is>
      </c>
      <c r="H590" t="inlineStr">
        <is>
          <t>Holmen skog AB</t>
        </is>
      </c>
      <c r="I590" t="n">
        <v>0.3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s="2" t="inlineStr"/>
    </row>
    <row r="591" ht="15" customHeight="1">
      <c r="A591" t="inlineStr">
        <is>
          <t>A 40733-2023</t>
        </is>
      </c>
      <c r="B591" t="inlineStr">
        <is>
          <t>avverkningsanmälan</t>
        </is>
      </c>
      <c r="C591" t="inlineStr">
        <is>
          <t>Föryngringsavverkning</t>
        </is>
      </c>
      <c r="D591" s="1" t="n">
        <v>45170</v>
      </c>
      <c r="E591" s="1" t="n">
        <v>46309</v>
      </c>
      <c r="F591" t="inlineStr">
        <is>
          <t>GÄVLEBORGS LÄN</t>
        </is>
      </c>
      <c r="G591" t="inlineStr">
        <is>
          <t>NORDANSTIG</t>
        </is>
      </c>
      <c r="H591" t="inlineStr">
        <is>
          <t>Holmen skog AB</t>
        </is>
      </c>
      <c r="I591" t="n">
        <v>3.7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s="2" t="inlineStr"/>
    </row>
    <row r="592" ht="15" customHeight="1">
      <c r="A592" t="inlineStr">
        <is>
          <t>A 17853-2025</t>
        </is>
      </c>
      <c r="B592" t="inlineStr">
        <is>
          <t>avverkningsanmälan</t>
        </is>
      </c>
      <c r="C592" t="inlineStr">
        <is>
          <t>Föryngringsavverkning</t>
        </is>
      </c>
      <c r="D592" s="1" t="n">
        <v>45758</v>
      </c>
      <c r="E592" s="1" t="n">
        <v>46309</v>
      </c>
      <c r="F592" t="inlineStr">
        <is>
          <t>GÄVLEBORGS LÄN</t>
        </is>
      </c>
      <c r="G592" t="inlineStr">
        <is>
          <t>NORDANSTIG</t>
        </is>
      </c>
      <c r="H592" t="inlineStr">
        <is>
          <t>Holmen skog AB</t>
        </is>
      </c>
      <c r="I592" t="n">
        <v>2.8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s="2" t="inlineStr"/>
    </row>
    <row r="593" ht="15" customHeight="1">
      <c r="A593" t="inlineStr">
        <is>
          <t>A 16184-2026</t>
        </is>
      </c>
      <c r="B593" t="inlineStr">
        <is>
          <t>avverkningsanmälan</t>
        </is>
      </c>
      <c r="C593" t="inlineStr">
        <is>
          <t>Föryngringsavverkning</t>
        </is>
      </c>
      <c r="D593" s="1" t="n">
        <v>46111</v>
      </c>
      <c r="E593" s="1" t="n">
        <v>46309</v>
      </c>
      <c r="F593" t="inlineStr">
        <is>
          <t>GÄVLEBORGS LÄN</t>
        </is>
      </c>
      <c r="G593" t="inlineStr">
        <is>
          <t>NORDANSTIG</t>
        </is>
      </c>
      <c r="I593" t="n">
        <v>2.1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s="2" t="inlineStr"/>
    </row>
    <row r="594" ht="15" customHeight="1">
      <c r="A594" t="inlineStr">
        <is>
          <t>A 16291-2026</t>
        </is>
      </c>
      <c r="B594" t="inlineStr">
        <is>
          <t>avverkningsanmälan</t>
        </is>
      </c>
      <c r="C594" t="inlineStr">
        <is>
          <t>Föryngringsavverkning</t>
        </is>
      </c>
      <c r="D594" s="1" t="n">
        <v>46111</v>
      </c>
      <c r="E594" s="1" t="n">
        <v>46309</v>
      </c>
      <c r="F594" t="inlineStr">
        <is>
          <t>GÄVLEBORGS LÄN</t>
        </is>
      </c>
      <c r="G594" t="inlineStr">
        <is>
          <t>NORDANSTIG</t>
        </is>
      </c>
      <c r="H594" t="inlineStr">
        <is>
          <t>Kommuner</t>
        </is>
      </c>
      <c r="I594" t="n">
        <v>3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s="2" t="inlineStr"/>
    </row>
    <row r="595" ht="15" customHeight="1">
      <c r="A595" t="inlineStr">
        <is>
          <t>A 34502-2024</t>
        </is>
      </c>
      <c r="B595" t="inlineStr">
        <is>
          <t>avverkningsanmälan</t>
        </is>
      </c>
      <c r="C595" t="inlineStr">
        <is>
          <t>Föryngringsavverkning</t>
        </is>
      </c>
      <c r="D595" s="1" t="n">
        <v>45525</v>
      </c>
      <c r="E595" s="1" t="n">
        <v>46309</v>
      </c>
      <c r="F595" t="inlineStr">
        <is>
          <t>GÄVLEBORGS LÄN</t>
        </is>
      </c>
      <c r="G595" t="inlineStr">
        <is>
          <t>NORDANSTIG</t>
        </is>
      </c>
      <c r="H595" t="inlineStr">
        <is>
          <t>Holmen skog AB</t>
        </is>
      </c>
      <c r="I595" t="n">
        <v>1.3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s="2" t="inlineStr"/>
    </row>
    <row r="596" ht="15" customHeight="1">
      <c r="A596" t="inlineStr">
        <is>
          <t>A 16294-2026</t>
        </is>
      </c>
      <c r="B596" t="inlineStr">
        <is>
          <t>avverkningsanmälan</t>
        </is>
      </c>
      <c r="C596" t="inlineStr">
        <is>
          <t>Föryngringsavverkning</t>
        </is>
      </c>
      <c r="D596" s="1" t="n">
        <v>46111</v>
      </c>
      <c r="E596" s="1" t="n">
        <v>46309</v>
      </c>
      <c r="F596" t="inlineStr">
        <is>
          <t>GÄVLEBORGS LÄN</t>
        </is>
      </c>
      <c r="G596" t="inlineStr">
        <is>
          <t>NORDANSTIG</t>
        </is>
      </c>
      <c r="H596" t="inlineStr">
        <is>
          <t>Kommuner</t>
        </is>
      </c>
      <c r="I596" t="n">
        <v>2.2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s="2" t="inlineStr"/>
    </row>
    <row r="597" ht="15" customHeight="1">
      <c r="A597" t="inlineStr">
        <is>
          <t>A 16293-2026</t>
        </is>
      </c>
      <c r="B597" t="inlineStr">
        <is>
          <t>avverkningsanmälan</t>
        </is>
      </c>
      <c r="C597" t="inlineStr">
        <is>
          <t>Föryngringsavverkning</t>
        </is>
      </c>
      <c r="D597" s="1" t="n">
        <v>46111</v>
      </c>
      <c r="E597" s="1" t="n">
        <v>46309</v>
      </c>
      <c r="F597" t="inlineStr">
        <is>
          <t>GÄVLEBORGS LÄN</t>
        </is>
      </c>
      <c r="G597" t="inlineStr">
        <is>
          <t>NORDANSTIG</t>
        </is>
      </c>
      <c r="H597" t="inlineStr">
        <is>
          <t>Kommuner</t>
        </is>
      </c>
      <c r="I597" t="n">
        <v>0.8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s="2" t="inlineStr"/>
    </row>
    <row r="598" ht="15" customHeight="1">
      <c r="A598" t="inlineStr">
        <is>
          <t>A 16310-2026</t>
        </is>
      </c>
      <c r="B598" t="inlineStr">
        <is>
          <t>avverkningsanmälan</t>
        </is>
      </c>
      <c r="C598" t="inlineStr">
        <is>
          <t>Föryngringsavverkning</t>
        </is>
      </c>
      <c r="D598" s="1" t="n">
        <v>46111</v>
      </c>
      <c r="E598" s="1" t="n">
        <v>46309</v>
      </c>
      <c r="F598" t="inlineStr">
        <is>
          <t>GÄVLEBORGS LÄN</t>
        </is>
      </c>
      <c r="G598" t="inlineStr">
        <is>
          <t>NORDANSTIG</t>
        </is>
      </c>
      <c r="H598" t="inlineStr">
        <is>
          <t>Kommuner</t>
        </is>
      </c>
      <c r="I598" t="n">
        <v>1.3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s="2" t="inlineStr"/>
    </row>
    <row r="599" ht="15" customHeight="1">
      <c r="A599" t="inlineStr">
        <is>
          <t>A 16436-2026</t>
        </is>
      </c>
      <c r="B599" t="inlineStr">
        <is>
          <t>avverkningsanmälan</t>
        </is>
      </c>
      <c r="C599" t="inlineStr">
        <is>
          <t>Föryngringsavverkning</t>
        </is>
      </c>
      <c r="D599" s="1" t="n">
        <v>46111</v>
      </c>
      <c r="E599" s="1" t="n">
        <v>46309</v>
      </c>
      <c r="F599" t="inlineStr">
        <is>
          <t>GÄVLEBORGS LÄN</t>
        </is>
      </c>
      <c r="G599" t="inlineStr">
        <is>
          <t>NORDANSTIG</t>
        </is>
      </c>
      <c r="H599" t="inlineStr">
        <is>
          <t>Holmen skog AB</t>
        </is>
      </c>
      <c r="I599" t="n">
        <v>42.1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s="2" t="inlineStr"/>
    </row>
    <row r="600" ht="15" customHeight="1">
      <c r="A600" t="inlineStr">
        <is>
          <t>A 41957-2023</t>
        </is>
      </c>
      <c r="B600" t="inlineStr">
        <is>
          <t>avverkningsanmälan</t>
        </is>
      </c>
      <c r="C600" t="inlineStr">
        <is>
          <t>Föryngringsavverkning</t>
        </is>
      </c>
      <c r="D600" s="1" t="n">
        <v>45177</v>
      </c>
      <c r="E600" s="1" t="n">
        <v>46309</v>
      </c>
      <c r="F600" t="inlineStr">
        <is>
          <t>GÄVLEBORGS LÄN</t>
        </is>
      </c>
      <c r="G600" t="inlineStr">
        <is>
          <t>NORDANSTIG</t>
        </is>
      </c>
      <c r="H600" t="inlineStr">
        <is>
          <t>Holmen skog AB</t>
        </is>
      </c>
      <c r="I600" t="n">
        <v>1.5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s="2" t="inlineStr"/>
    </row>
    <row r="601" ht="15" customHeight="1">
      <c r="A601" t="inlineStr">
        <is>
          <t>A 56281-2024</t>
        </is>
      </c>
      <c r="B601" t="inlineStr">
        <is>
          <t>avverkningsanmälan</t>
        </is>
      </c>
      <c r="C601" t="inlineStr">
        <is>
          <t>Föryngringsavverkning</t>
        </is>
      </c>
      <c r="D601" s="1" t="n">
        <v>45624</v>
      </c>
      <c r="E601" s="1" t="n">
        <v>46309</v>
      </c>
      <c r="F601" t="inlineStr">
        <is>
          <t>GÄVLEBORGS LÄN</t>
        </is>
      </c>
      <c r="G601" t="inlineStr">
        <is>
          <t>NORDANSTIG</t>
        </is>
      </c>
      <c r="I601" t="n">
        <v>1.8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s="2" t="inlineStr"/>
    </row>
    <row r="602" ht="15" customHeight="1">
      <c r="A602" t="inlineStr">
        <is>
          <t>A 16449-2026</t>
        </is>
      </c>
      <c r="B602" t="inlineStr">
        <is>
          <t>avverkningsanmälan</t>
        </is>
      </c>
      <c r="C602" t="inlineStr">
        <is>
          <t>Föryngringsavverkning</t>
        </is>
      </c>
      <c r="D602" s="1" t="n">
        <v>46112</v>
      </c>
      <c r="E602" s="1" t="n">
        <v>46309</v>
      </c>
      <c r="F602" t="inlineStr">
        <is>
          <t>GÄVLEBORGS LÄN</t>
        </is>
      </c>
      <c r="G602" t="inlineStr">
        <is>
          <t>NORDANSTIG</t>
        </is>
      </c>
      <c r="H602" t="inlineStr">
        <is>
          <t>Holmen skog AB</t>
        </is>
      </c>
      <c r="I602" t="n">
        <v>34.8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s="2" t="inlineStr"/>
    </row>
    <row r="603" ht="15" customHeight="1">
      <c r="A603" t="inlineStr">
        <is>
          <t>A 16528-2026</t>
        </is>
      </c>
      <c r="B603" t="inlineStr">
        <is>
          <t>avverkningsanmälan</t>
        </is>
      </c>
      <c r="C603" t="inlineStr">
        <is>
          <t>Föryngringsavverkning</t>
        </is>
      </c>
      <c r="D603" s="1" t="n">
        <v>46112</v>
      </c>
      <c r="E603" s="1" t="n">
        <v>46309</v>
      </c>
      <c r="F603" t="inlineStr">
        <is>
          <t>GÄVLEBORGS LÄN</t>
        </is>
      </c>
      <c r="G603" t="inlineStr">
        <is>
          <t>NORDANSTIG</t>
        </is>
      </c>
      <c r="I603" t="n">
        <v>3.1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s="2" t="inlineStr"/>
    </row>
    <row r="604" ht="15" customHeight="1">
      <c r="A604" t="inlineStr">
        <is>
          <t>A 16703-2026</t>
        </is>
      </c>
      <c r="B604" t="inlineStr">
        <is>
          <t>avverkningsanmälan</t>
        </is>
      </c>
      <c r="C604" t="inlineStr">
        <is>
          <t>Föryngringsavverkning</t>
        </is>
      </c>
      <c r="D604" s="1" t="n">
        <v>46113</v>
      </c>
      <c r="E604" s="1" t="n">
        <v>46309</v>
      </c>
      <c r="F604" t="inlineStr">
        <is>
          <t>GÄVLEBORGS LÄN</t>
        </is>
      </c>
      <c r="G604" t="inlineStr">
        <is>
          <t>NORDANSTIG</t>
        </is>
      </c>
      <c r="H604" t="inlineStr">
        <is>
          <t>Holmen skog AB</t>
        </is>
      </c>
      <c r="I604" t="n">
        <v>3.5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s="2" t="inlineStr"/>
    </row>
    <row r="605" ht="15" customHeight="1">
      <c r="A605" t="inlineStr">
        <is>
          <t>A 16756-2026</t>
        </is>
      </c>
      <c r="B605" t="inlineStr">
        <is>
          <t>avverkningsanmälan</t>
        </is>
      </c>
      <c r="C605" t="inlineStr">
        <is>
          <t>Föryngringsavverkning</t>
        </is>
      </c>
      <c r="D605" s="1" t="n">
        <v>46113</v>
      </c>
      <c r="E605" s="1" t="n">
        <v>46309</v>
      </c>
      <c r="F605" t="inlineStr">
        <is>
          <t>GÄVLEBORGS LÄN</t>
        </is>
      </c>
      <c r="G605" t="inlineStr">
        <is>
          <t>NORDANSTIG</t>
        </is>
      </c>
      <c r="I605" t="n">
        <v>3.3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s="2" t="inlineStr"/>
    </row>
    <row r="606" ht="15" customHeight="1">
      <c r="A606" t="inlineStr">
        <is>
          <t>A 16687-2026</t>
        </is>
      </c>
      <c r="B606" t="inlineStr">
        <is>
          <t>avverkningsanmälan</t>
        </is>
      </c>
      <c r="C606" t="inlineStr">
        <is>
          <t>Föryngringsavverkning</t>
        </is>
      </c>
      <c r="D606" s="1" t="n">
        <v>46112</v>
      </c>
      <c r="E606" s="1" t="n">
        <v>46309</v>
      </c>
      <c r="F606" t="inlineStr">
        <is>
          <t>GÄVLEBORGS LÄN</t>
        </is>
      </c>
      <c r="G606" t="inlineStr">
        <is>
          <t>NORDANSTIG</t>
        </is>
      </c>
      <c r="I606" t="n">
        <v>6.3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s="2" t="inlineStr"/>
    </row>
    <row r="607" ht="15" customHeight="1">
      <c r="A607" t="inlineStr">
        <is>
          <t>A 22868-2023</t>
        </is>
      </c>
      <c r="B607" t="inlineStr">
        <is>
          <t>avverkningsanmälan</t>
        </is>
      </c>
      <c r="C607" t="inlineStr">
        <is>
          <t>Föryngringsavverkning</t>
        </is>
      </c>
      <c r="D607" s="1" t="n">
        <v>45072</v>
      </c>
      <c r="E607" s="1" t="n">
        <v>46309</v>
      </c>
      <c r="F607" t="inlineStr">
        <is>
          <t>GÄVLEBORGS LÄN</t>
        </is>
      </c>
      <c r="G607" t="inlineStr">
        <is>
          <t>NORDANSTIG</t>
        </is>
      </c>
      <c r="I607" t="n">
        <v>0.7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s="2" t="inlineStr"/>
    </row>
    <row r="608" ht="15" customHeight="1">
      <c r="A608" t="inlineStr">
        <is>
          <t>A 21999-2023</t>
        </is>
      </c>
      <c r="B608" t="inlineStr">
        <is>
          <t>avverkningsanmälan</t>
        </is>
      </c>
      <c r="C608" t="inlineStr">
        <is>
          <t>Föryngringsavverkning</t>
        </is>
      </c>
      <c r="D608" s="1" t="n">
        <v>45068</v>
      </c>
      <c r="E608" s="1" t="n">
        <v>46309</v>
      </c>
      <c r="F608" t="inlineStr">
        <is>
          <t>GÄVLEBORGS LÄN</t>
        </is>
      </c>
      <c r="G608" t="inlineStr">
        <is>
          <t>NORDANSTIG</t>
        </is>
      </c>
      <c r="I608" t="n">
        <v>2.3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s="2" t="inlineStr"/>
    </row>
    <row r="609" ht="15" customHeight="1">
      <c r="A609" t="inlineStr">
        <is>
          <t>A 17303-2026</t>
        </is>
      </c>
      <c r="B609" t="inlineStr">
        <is>
          <t>avverkningsanmälan</t>
        </is>
      </c>
      <c r="C609" t="inlineStr">
        <is>
          <t>Föryngringsavverkning</t>
        </is>
      </c>
      <c r="D609" s="1" t="n">
        <v>46119</v>
      </c>
      <c r="E609" s="1" t="n">
        <v>46309</v>
      </c>
      <c r="F609" t="inlineStr">
        <is>
          <t>GÄVLEBORGS LÄN</t>
        </is>
      </c>
      <c r="G609" t="inlineStr">
        <is>
          <t>NORDANSTIG</t>
        </is>
      </c>
      <c r="I609" t="n">
        <v>1.8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s="2" t="inlineStr"/>
    </row>
    <row r="610" ht="15" customHeight="1">
      <c r="A610" t="inlineStr">
        <is>
          <t>A 17201-2026</t>
        </is>
      </c>
      <c r="B610" t="inlineStr">
        <is>
          <t>avverkningsanmälan</t>
        </is>
      </c>
      <c r="C610" t="inlineStr">
        <is>
          <t>Föryngringsavverkning</t>
        </is>
      </c>
      <c r="D610" s="1" t="n">
        <v>46118</v>
      </c>
      <c r="E610" s="1" t="n">
        <v>46309</v>
      </c>
      <c r="F610" t="inlineStr">
        <is>
          <t>GÄVLEBORGS LÄN</t>
        </is>
      </c>
      <c r="G610" t="inlineStr">
        <is>
          <t>NORDANSTIG</t>
        </is>
      </c>
      <c r="I610" t="n">
        <v>2.5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s="2" t="inlineStr"/>
    </row>
    <row r="611" ht="15" customHeight="1">
      <c r="A611" t="inlineStr">
        <is>
          <t>A 17286-2026</t>
        </is>
      </c>
      <c r="B611" t="inlineStr">
        <is>
          <t>avverkningsanmälan</t>
        </is>
      </c>
      <c r="C611" t="inlineStr">
        <is>
          <t>Föryngringsavverkning</t>
        </is>
      </c>
      <c r="D611" s="1" t="n">
        <v>46119</v>
      </c>
      <c r="E611" s="1" t="n">
        <v>46309</v>
      </c>
      <c r="F611" t="inlineStr">
        <is>
          <t>GÄVLEBORGS LÄN</t>
        </is>
      </c>
      <c r="G611" t="inlineStr">
        <is>
          <t>NORDANSTIG</t>
        </is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s="2" t="inlineStr"/>
    </row>
    <row r="612" ht="15" customHeight="1">
      <c r="A612" t="inlineStr">
        <is>
          <t>A 17281-2026</t>
        </is>
      </c>
      <c r="B612" t="inlineStr">
        <is>
          <t>avverkningsanmälan</t>
        </is>
      </c>
      <c r="C612" t="inlineStr">
        <is>
          <t>Föryngringsavverkning</t>
        </is>
      </c>
      <c r="D612" s="1" t="n">
        <v>46119</v>
      </c>
      <c r="E612" s="1" t="n">
        <v>46309</v>
      </c>
      <c r="F612" t="inlineStr">
        <is>
          <t>GÄVLEBORGS LÄN</t>
        </is>
      </c>
      <c r="G612" t="inlineStr">
        <is>
          <t>NORDANSTIG</t>
        </is>
      </c>
      <c r="I612" t="n">
        <v>2.8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s="2" t="inlineStr"/>
    </row>
    <row r="613" ht="15" customHeight="1">
      <c r="A613" t="inlineStr">
        <is>
          <t>A 17494-2026</t>
        </is>
      </c>
      <c r="B613" t="inlineStr">
        <is>
          <t>avverkningsanmälan</t>
        </is>
      </c>
      <c r="C613" t="inlineStr">
        <is>
          <t>Föryngringsavverkning</t>
        </is>
      </c>
      <c r="D613" s="1" t="n">
        <v>46120</v>
      </c>
      <c r="E613" s="1" t="n">
        <v>46309</v>
      </c>
      <c r="F613" t="inlineStr">
        <is>
          <t>GÄVLEBORGS LÄN</t>
        </is>
      </c>
      <c r="G613" t="inlineStr">
        <is>
          <t>NORDANSTIG</t>
        </is>
      </c>
      <c r="I613" t="n">
        <v>16.3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s="2" t="inlineStr"/>
    </row>
    <row r="614" ht="15" customHeight="1">
      <c r="A614" t="inlineStr">
        <is>
          <t>A 17500-2026</t>
        </is>
      </c>
      <c r="B614" t="inlineStr">
        <is>
          <t>avverkningsanmälan</t>
        </is>
      </c>
      <c r="C614" t="inlineStr">
        <is>
          <t>Föryngringsavverkning</t>
        </is>
      </c>
      <c r="D614" s="1" t="n">
        <v>46120</v>
      </c>
      <c r="E614" s="1" t="n">
        <v>46309</v>
      </c>
      <c r="F614" t="inlineStr">
        <is>
          <t>GÄVLEBORGS LÄN</t>
        </is>
      </c>
      <c r="G614" t="inlineStr">
        <is>
          <t>NORDANSTIG</t>
        </is>
      </c>
      <c r="I614" t="n">
        <v>0.8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s="2" t="inlineStr"/>
    </row>
    <row r="615" ht="15" customHeight="1">
      <c r="A615" t="inlineStr">
        <is>
          <t>A 17492-2026</t>
        </is>
      </c>
      <c r="B615" t="inlineStr">
        <is>
          <t>avverkningsanmälan</t>
        </is>
      </c>
      <c r="C615" t="inlineStr">
        <is>
          <t>Föryngringsavverkning</t>
        </is>
      </c>
      <c r="D615" s="1" t="n">
        <v>46120</v>
      </c>
      <c r="E615" s="1" t="n">
        <v>46309</v>
      </c>
      <c r="F615" t="inlineStr">
        <is>
          <t>GÄVLEBORGS LÄN</t>
        </is>
      </c>
      <c r="G615" t="inlineStr">
        <is>
          <t>NORDANSTIG</t>
        </is>
      </c>
      <c r="I615" t="n">
        <v>1.3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s="2" t="inlineStr"/>
    </row>
    <row r="616" ht="15" customHeight="1">
      <c r="A616" t="inlineStr">
        <is>
          <t>A 17498-2026</t>
        </is>
      </c>
      <c r="B616" t="inlineStr">
        <is>
          <t>avverkningsanmälan</t>
        </is>
      </c>
      <c r="C616" t="inlineStr">
        <is>
          <t>Avverkning för annat ändamål</t>
        </is>
      </c>
      <c r="D616" s="1" t="n">
        <v>46120</v>
      </c>
      <c r="E616" s="1" t="n">
        <v>46309</v>
      </c>
      <c r="F616" t="inlineStr">
        <is>
          <t>GÄVLEBORGS LÄN</t>
        </is>
      </c>
      <c r="G616" t="inlineStr">
        <is>
          <t>NORDANSTIG</t>
        </is>
      </c>
      <c r="I616" t="n">
        <v>1.3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s="2" t="inlineStr"/>
    </row>
    <row r="617" ht="15" customHeight="1">
      <c r="A617" t="inlineStr">
        <is>
          <t>A 17487-2026</t>
        </is>
      </c>
      <c r="B617" t="inlineStr">
        <is>
          <t>avverkningsanmälan</t>
        </is>
      </c>
      <c r="C617" t="inlineStr">
        <is>
          <t>Föryngringsavverkning</t>
        </is>
      </c>
      <c r="D617" s="1" t="n">
        <v>46120</v>
      </c>
      <c r="E617" s="1" t="n">
        <v>46309</v>
      </c>
      <c r="F617" t="inlineStr">
        <is>
          <t>GÄVLEBORGS LÄN</t>
        </is>
      </c>
      <c r="G617" t="inlineStr">
        <is>
          <t>NORDANSTIG</t>
        </is>
      </c>
      <c r="I617" t="n">
        <v>9.800000000000001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s="2" t="inlineStr"/>
    </row>
    <row r="618" ht="15" customHeight="1">
      <c r="A618" t="inlineStr">
        <is>
          <t>A 17490-2026</t>
        </is>
      </c>
      <c r="B618" t="inlineStr">
        <is>
          <t>avverkningsanmälan</t>
        </is>
      </c>
      <c r="C618" t="inlineStr">
        <is>
          <t>Föryngringsavverkning</t>
        </is>
      </c>
      <c r="D618" s="1" t="n">
        <v>46120</v>
      </c>
      <c r="E618" s="1" t="n">
        <v>46309</v>
      </c>
      <c r="F618" t="inlineStr">
        <is>
          <t>GÄVLEBORGS LÄN</t>
        </is>
      </c>
      <c r="G618" t="inlineStr">
        <is>
          <t>NORDANSTIG</t>
        </is>
      </c>
      <c r="I618" t="n">
        <v>3.9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s="2" t="inlineStr"/>
    </row>
    <row r="619" ht="15" customHeight="1">
      <c r="A619" t="inlineStr">
        <is>
          <t>A 17489-2026</t>
        </is>
      </c>
      <c r="B619" t="inlineStr">
        <is>
          <t>avverkningsanmälan</t>
        </is>
      </c>
      <c r="C619" t="inlineStr">
        <is>
          <t>Föryngringsavverkning</t>
        </is>
      </c>
      <c r="D619" s="1" t="n">
        <v>46120</v>
      </c>
      <c r="E619" s="1" t="n">
        <v>46309</v>
      </c>
      <c r="F619" t="inlineStr">
        <is>
          <t>GÄVLEBORGS LÄN</t>
        </is>
      </c>
      <c r="G619" t="inlineStr">
        <is>
          <t>NORDANSTIG</t>
        </is>
      </c>
      <c r="I619" t="n">
        <v>2.2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s="2" t="inlineStr"/>
    </row>
    <row r="620" ht="15" customHeight="1">
      <c r="A620" t="inlineStr">
        <is>
          <t>A 53988-2023</t>
        </is>
      </c>
      <c r="B620" t="inlineStr">
        <is>
          <t>avverkningsanmälan</t>
        </is>
      </c>
      <c r="C620" t="inlineStr">
        <is>
          <t>Föryngringsavverkning</t>
        </is>
      </c>
      <c r="D620" s="1" t="n">
        <v>45231</v>
      </c>
      <c r="E620" s="1" t="n">
        <v>46309</v>
      </c>
      <c r="F620" t="inlineStr">
        <is>
          <t>GÄVLEBORGS LÄN</t>
        </is>
      </c>
      <c r="G620" t="inlineStr">
        <is>
          <t>NORDANSTIG</t>
        </is>
      </c>
      <c r="I620" t="n">
        <v>6.2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s="2" t="inlineStr"/>
    </row>
    <row r="621" ht="15" customHeight="1">
      <c r="A621" t="inlineStr">
        <is>
          <t>A 17872-2026</t>
        </is>
      </c>
      <c r="B621" t="inlineStr">
        <is>
          <t>avverkningsanmälan</t>
        </is>
      </c>
      <c r="C621" t="inlineStr">
        <is>
          <t>Föryngringsavverkning</t>
        </is>
      </c>
      <c r="D621" s="1" t="n">
        <v>46122</v>
      </c>
      <c r="E621" s="1" t="n">
        <v>46309</v>
      </c>
      <c r="F621" t="inlineStr">
        <is>
          <t>GÄVLEBORGS LÄN</t>
        </is>
      </c>
      <c r="G621" t="inlineStr">
        <is>
          <t>NORDANSTIG</t>
        </is>
      </c>
      <c r="I621" t="n">
        <v>1.8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s="2" t="inlineStr"/>
    </row>
    <row r="622" ht="15" customHeight="1">
      <c r="A622" t="inlineStr">
        <is>
          <t>A 5660-2023</t>
        </is>
      </c>
      <c r="B622" t="inlineStr">
        <is>
          <t>avverkningsanmälan</t>
        </is>
      </c>
      <c r="C622" t="inlineStr">
        <is>
          <t>Föryngringsavverkning</t>
        </is>
      </c>
      <c r="D622" s="1" t="n">
        <v>44960</v>
      </c>
      <c r="E622" s="1" t="n">
        <v>46309</v>
      </c>
      <c r="F622" t="inlineStr">
        <is>
          <t>GÄVLEBORGS LÄN</t>
        </is>
      </c>
      <c r="G622" t="inlineStr">
        <is>
          <t>NORDANSTIG</t>
        </is>
      </c>
      <c r="H622" t="inlineStr">
        <is>
          <t>Holmen skog AB</t>
        </is>
      </c>
      <c r="I622" t="n">
        <v>0.7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s="2" t="inlineStr"/>
    </row>
    <row r="623" ht="15" customHeight="1">
      <c r="A623" t="inlineStr">
        <is>
          <t>A 18153-2026</t>
        </is>
      </c>
      <c r="B623" t="inlineStr">
        <is>
          <t>avverkningsanmälan</t>
        </is>
      </c>
      <c r="C623" t="inlineStr">
        <is>
          <t>Föryngringsavverkning</t>
        </is>
      </c>
      <c r="D623" s="1" t="n">
        <v>46125</v>
      </c>
      <c r="E623" s="1" t="n">
        <v>46309</v>
      </c>
      <c r="F623" t="inlineStr">
        <is>
          <t>GÄVLEBORGS LÄN</t>
        </is>
      </c>
      <c r="G623" t="inlineStr">
        <is>
          <t>NORDANSTIG</t>
        </is>
      </c>
      <c r="I623" t="n">
        <v>0.6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s="2" t="inlineStr"/>
    </row>
    <row r="624" ht="15" customHeight="1">
      <c r="A624" t="inlineStr">
        <is>
          <t>A 1483-2022</t>
        </is>
      </c>
      <c r="B624" t="inlineStr">
        <is>
          <t>avverkningsanmälan</t>
        </is>
      </c>
      <c r="C624" t="inlineStr">
        <is>
          <t>Föryngringsavverkning</t>
        </is>
      </c>
      <c r="D624" s="1" t="n">
        <v>44573</v>
      </c>
      <c r="E624" s="1" t="n">
        <v>46309</v>
      </c>
      <c r="F624" t="inlineStr">
        <is>
          <t>GÄVLEBORGS LÄN</t>
        </is>
      </c>
      <c r="G624" t="inlineStr">
        <is>
          <t>NORDANSTIG</t>
        </is>
      </c>
      <c r="I624" t="n">
        <v>7.8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s="2" t="inlineStr"/>
    </row>
    <row r="625" ht="15" customHeight="1">
      <c r="A625" t="inlineStr">
        <is>
          <t>A 7796-2026</t>
        </is>
      </c>
      <c r="B625" t="inlineStr">
        <is>
          <t>avverkningsanmälan</t>
        </is>
      </c>
      <c r="C625" t="inlineStr">
        <is>
          <t>Föryngringsavverkning</t>
        </is>
      </c>
      <c r="D625" s="1" t="n">
        <v>46062</v>
      </c>
      <c r="E625" s="1" t="n">
        <v>46309</v>
      </c>
      <c r="F625" t="inlineStr">
        <is>
          <t>GÄVLEBORGS LÄN</t>
        </is>
      </c>
      <c r="G625" t="inlineStr">
        <is>
          <t>NORDANSTIG</t>
        </is>
      </c>
      <c r="I625" t="n">
        <v>0.9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s="2" t="inlineStr"/>
    </row>
    <row r="626" ht="15" customHeight="1">
      <c r="A626" t="inlineStr">
        <is>
          <t>A 18236-2026</t>
        </is>
      </c>
      <c r="B626" t="inlineStr">
        <is>
          <t>avverkningsanmälan</t>
        </is>
      </c>
      <c r="C626" t="inlineStr">
        <is>
          <t>Föryngringsavverkning</t>
        </is>
      </c>
      <c r="D626" s="1" t="n">
        <v>46126</v>
      </c>
      <c r="E626" s="1" t="n">
        <v>46309</v>
      </c>
      <c r="F626" t="inlineStr">
        <is>
          <t>GÄVLEBORGS LÄN</t>
        </is>
      </c>
      <c r="G626" t="inlineStr">
        <is>
          <t>NORDANSTIG</t>
        </is>
      </c>
      <c r="H626" t="inlineStr">
        <is>
          <t>Holmen skog AB</t>
        </is>
      </c>
      <c r="I626" t="n">
        <v>1.3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s="2" t="inlineStr"/>
    </row>
    <row r="627" ht="15" customHeight="1">
      <c r="A627" t="inlineStr">
        <is>
          <t>A 18385-2026</t>
        </is>
      </c>
      <c r="B627" t="inlineStr">
        <is>
          <t>avverkningsanmälan</t>
        </is>
      </c>
      <c r="C627" t="inlineStr">
        <is>
          <t>Föryngringsavverkning</t>
        </is>
      </c>
      <c r="D627" s="1" t="n">
        <v>46126</v>
      </c>
      <c r="E627" s="1" t="n">
        <v>46309</v>
      </c>
      <c r="F627" t="inlineStr">
        <is>
          <t>GÄVLEBORGS LÄN</t>
        </is>
      </c>
      <c r="G627" t="inlineStr">
        <is>
          <t>NORDANSTIG</t>
        </is>
      </c>
      <c r="H627" t="inlineStr">
        <is>
          <t>Holmen skog AB</t>
        </is>
      </c>
      <c r="I627" t="n">
        <v>2.5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s="2" t="inlineStr"/>
    </row>
    <row r="628" ht="15" customHeight="1">
      <c r="A628" t="inlineStr">
        <is>
          <t>A 18282-2026</t>
        </is>
      </c>
      <c r="B628" t="inlineStr">
        <is>
          <t>avverkningsanmälan</t>
        </is>
      </c>
      <c r="C628" t="inlineStr">
        <is>
          <t>Föryngringsavverkning</t>
        </is>
      </c>
      <c r="D628" s="1" t="n">
        <v>46126</v>
      </c>
      <c r="E628" s="1" t="n">
        <v>46309</v>
      </c>
      <c r="F628" t="inlineStr">
        <is>
          <t>GÄVLEBORGS LÄN</t>
        </is>
      </c>
      <c r="G628" t="inlineStr">
        <is>
          <t>NORDANSTIG</t>
        </is>
      </c>
      <c r="H628" t="inlineStr">
        <is>
          <t>Holmen skog AB</t>
        </is>
      </c>
      <c r="I628" t="n">
        <v>43.6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s="2" t="inlineStr"/>
    </row>
    <row r="629" ht="15" customHeight="1">
      <c r="A629" t="inlineStr">
        <is>
          <t>A 14501-2026</t>
        </is>
      </c>
      <c r="B629" t="inlineStr">
        <is>
          <t>avverkningsanmälan</t>
        </is>
      </c>
      <c r="C629" t="inlineStr">
        <is>
          <t>Föryngringsavverkning</t>
        </is>
      </c>
      <c r="D629" s="1" t="n">
        <v>46100</v>
      </c>
      <c r="E629" s="1" t="n">
        <v>46309</v>
      </c>
      <c r="F629" t="inlineStr">
        <is>
          <t>GÄVLEBORGS LÄN</t>
        </is>
      </c>
      <c r="G629" t="inlineStr">
        <is>
          <t>NORDANSTIG</t>
        </is>
      </c>
      <c r="I629" t="n">
        <v>1.1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s="2" t="inlineStr"/>
    </row>
    <row r="630" ht="15" customHeight="1">
      <c r="A630" t="inlineStr">
        <is>
          <t>A 18933-2023</t>
        </is>
      </c>
      <c r="B630" t="inlineStr">
        <is>
          <t>avverkningsanmälan</t>
        </is>
      </c>
      <c r="C630" t="inlineStr">
        <is>
          <t>Föryngringsavverkning</t>
        </is>
      </c>
      <c r="D630" s="1" t="n">
        <v>45044</v>
      </c>
      <c r="E630" s="1" t="n">
        <v>46309</v>
      </c>
      <c r="F630" t="inlineStr">
        <is>
          <t>GÄVLEBORGS LÄN</t>
        </is>
      </c>
      <c r="G630" t="inlineStr">
        <is>
          <t>NORDANSTIG</t>
        </is>
      </c>
      <c r="I630" t="n">
        <v>26.6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s="2" t="inlineStr"/>
    </row>
    <row r="631" ht="15" customHeight="1">
      <c r="A631" t="inlineStr">
        <is>
          <t>A 35931-2023</t>
        </is>
      </c>
      <c r="B631" t="inlineStr">
        <is>
          <t>avverkningsanmälan</t>
        </is>
      </c>
      <c r="C631" t="inlineStr">
        <is>
          <t>Föryngringsavverkning</t>
        </is>
      </c>
      <c r="D631" s="1" t="n">
        <v>45148</v>
      </c>
      <c r="E631" s="1" t="n">
        <v>46309</v>
      </c>
      <c r="F631" t="inlineStr">
        <is>
          <t>GÄVLEBORGS LÄN</t>
        </is>
      </c>
      <c r="G631" t="inlineStr">
        <is>
          <t>NORDANSTIG</t>
        </is>
      </c>
      <c r="I631" t="n">
        <v>1.5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s="2" t="inlineStr"/>
    </row>
    <row r="632" ht="15" customHeight="1">
      <c r="A632" t="inlineStr">
        <is>
          <t>A 25200-2022</t>
        </is>
      </c>
      <c r="B632" t="inlineStr">
        <is>
          <t>avverkningsanmälan</t>
        </is>
      </c>
      <c r="C632" t="inlineStr">
        <is>
          <t>Föryngringsavverkning</t>
        </is>
      </c>
      <c r="D632" s="1" t="n">
        <v>44729</v>
      </c>
      <c r="E632" s="1" t="n">
        <v>46309</v>
      </c>
      <c r="F632" t="inlineStr">
        <is>
          <t>GÄVLEBORGS LÄN</t>
        </is>
      </c>
      <c r="G632" t="inlineStr">
        <is>
          <t>NORDANSTIG</t>
        </is>
      </c>
      <c r="I632" t="n">
        <v>0.9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s="2" t="inlineStr"/>
    </row>
    <row r="633" ht="15" customHeight="1">
      <c r="A633" t="inlineStr">
        <is>
          <t>A 17840-2023</t>
        </is>
      </c>
      <c r="B633" t="inlineStr">
        <is>
          <t>avverkningsanmälan</t>
        </is>
      </c>
      <c r="C633" t="inlineStr">
        <is>
          <t>Föryngringsavverkning</t>
        </is>
      </c>
      <c r="D633" s="1" t="n">
        <v>45037</v>
      </c>
      <c r="E633" s="1" t="n">
        <v>46309</v>
      </c>
      <c r="F633" t="inlineStr">
        <is>
          <t>GÄVLEBORGS LÄN</t>
        </is>
      </c>
      <c r="G633" t="inlineStr">
        <is>
          <t>NORDANSTIG</t>
        </is>
      </c>
      <c r="I633" t="n">
        <v>0.9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s="2" t="inlineStr"/>
    </row>
    <row r="634" ht="15" customHeight="1">
      <c r="A634" t="inlineStr">
        <is>
          <t>A 37739-2024</t>
        </is>
      </c>
      <c r="B634" t="inlineStr">
        <is>
          <t>avverkningsanmälan</t>
        </is>
      </c>
      <c r="C634" t="inlineStr">
        <is>
          <t>Föryngringsavverkning</t>
        </is>
      </c>
      <c r="D634" s="1" t="n">
        <v>45541</v>
      </c>
      <c r="E634" s="1" t="n">
        <v>46309</v>
      </c>
      <c r="F634" t="inlineStr">
        <is>
          <t>GÄVLEBORGS LÄN</t>
        </is>
      </c>
      <c r="G634" t="inlineStr">
        <is>
          <t>NORDANSTIG</t>
        </is>
      </c>
      <c r="H634" t="inlineStr">
        <is>
          <t>Holmen skog AB</t>
        </is>
      </c>
      <c r="I634" t="n">
        <v>3.6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s="2" t="inlineStr"/>
    </row>
    <row r="635" ht="15" customHeight="1">
      <c r="A635" t="inlineStr">
        <is>
          <t>A 61419-2024</t>
        </is>
      </c>
      <c r="B635" t="inlineStr">
        <is>
          <t>avverkningsanmälan</t>
        </is>
      </c>
      <c r="C635" t="inlineStr">
        <is>
          <t>Avverkning för annat ändamål</t>
        </is>
      </c>
      <c r="D635" s="1" t="n">
        <v>45646</v>
      </c>
      <c r="E635" s="1" t="n">
        <v>46309</v>
      </c>
      <c r="F635" t="inlineStr">
        <is>
          <t>GÄVLEBORGS LÄN</t>
        </is>
      </c>
      <c r="G635" t="inlineStr">
        <is>
          <t>NORDANSTIG</t>
        </is>
      </c>
      <c r="I635" t="n">
        <v>0.5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s="2" t="inlineStr"/>
    </row>
    <row r="636" ht="15" customHeight="1">
      <c r="A636" t="inlineStr">
        <is>
          <t>A 19682-2026</t>
        </is>
      </c>
      <c r="B636" t="inlineStr">
        <is>
          <t>avverkningsanmälan</t>
        </is>
      </c>
      <c r="C636" t="inlineStr">
        <is>
          <t>Föryngringsavverkning</t>
        </is>
      </c>
      <c r="D636" s="1" t="n">
        <v>46134</v>
      </c>
      <c r="E636" s="1" t="n">
        <v>46309</v>
      </c>
      <c r="F636" t="inlineStr">
        <is>
          <t>GÄVLEBORGS LÄN</t>
        </is>
      </c>
      <c r="G636" t="inlineStr">
        <is>
          <t>NORDANSTIG</t>
        </is>
      </c>
      <c r="H636" t="inlineStr">
        <is>
          <t>Holmen skog AB</t>
        </is>
      </c>
      <c r="I636" t="n">
        <v>1.3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s="2" t="inlineStr"/>
    </row>
    <row r="637" ht="15" customHeight="1">
      <c r="A637" t="inlineStr">
        <is>
          <t>A 19679-2026</t>
        </is>
      </c>
      <c r="B637" t="inlineStr">
        <is>
          <t>avverkningsanmälan</t>
        </is>
      </c>
      <c r="C637" t="inlineStr">
        <is>
          <t>Föryngringsavverkning</t>
        </is>
      </c>
      <c r="D637" s="1" t="n">
        <v>46134</v>
      </c>
      <c r="E637" s="1" t="n">
        <v>46309</v>
      </c>
      <c r="F637" t="inlineStr">
        <is>
          <t>GÄVLEBORGS LÄN</t>
        </is>
      </c>
      <c r="G637" t="inlineStr">
        <is>
          <t>NORDANSTIG</t>
        </is>
      </c>
      <c r="H637" t="inlineStr">
        <is>
          <t>Holmen skog AB</t>
        </is>
      </c>
      <c r="I637" t="n">
        <v>1.1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s="2" t="inlineStr"/>
    </row>
    <row r="638" ht="15" customHeight="1">
      <c r="A638" t="inlineStr">
        <is>
          <t>A 19367-2026</t>
        </is>
      </c>
      <c r="B638" t="inlineStr">
        <is>
          <t>avverkningsanmälan</t>
        </is>
      </c>
      <c r="C638" t="inlineStr">
        <is>
          <t>Föryngringsavverkning</t>
        </is>
      </c>
      <c r="D638" s="1" t="n">
        <v>46133</v>
      </c>
      <c r="E638" s="1" t="n">
        <v>46309</v>
      </c>
      <c r="F638" t="inlineStr">
        <is>
          <t>GÄVLEBORGS LÄN</t>
        </is>
      </c>
      <c r="G638" t="inlineStr">
        <is>
          <t>NORDANSTIG</t>
        </is>
      </c>
      <c r="I638" t="n">
        <v>1.3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s="2" t="inlineStr"/>
    </row>
    <row r="639" ht="15" customHeight="1">
      <c r="A639" t="inlineStr">
        <is>
          <t>A 58184-2022</t>
        </is>
      </c>
      <c r="B639" t="inlineStr">
        <is>
          <t>avverkningsanmälan</t>
        </is>
      </c>
      <c r="C639" t="inlineStr">
        <is>
          <t>Föryngringsavverkning</t>
        </is>
      </c>
      <c r="D639" s="1" t="n">
        <v>44900</v>
      </c>
      <c r="E639" s="1" t="n">
        <v>46309</v>
      </c>
      <c r="F639" t="inlineStr">
        <is>
          <t>GÄVLEBORGS LÄN</t>
        </is>
      </c>
      <c r="G639" t="inlineStr">
        <is>
          <t>NORDANSTIG</t>
        </is>
      </c>
      <c r="H639" t="inlineStr">
        <is>
          <t>SCA</t>
        </is>
      </c>
      <c r="I639" t="n">
        <v>5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s="2" t="inlineStr"/>
    </row>
    <row r="640" ht="15" customHeight="1">
      <c r="A640" t="inlineStr">
        <is>
          <t>A 52206-2022</t>
        </is>
      </c>
      <c r="B640" t="inlineStr">
        <is>
          <t>avverkningsanmälan</t>
        </is>
      </c>
      <c r="C640" t="inlineStr">
        <is>
          <t>Föryngringsavverkning</t>
        </is>
      </c>
      <c r="D640" s="1" t="n">
        <v>44869</v>
      </c>
      <c r="E640" s="1" t="n">
        <v>46309</v>
      </c>
      <c r="F640" t="inlineStr">
        <is>
          <t>GÄVLEBORGS LÄN</t>
        </is>
      </c>
      <c r="G640" t="inlineStr">
        <is>
          <t>NORDANSTIG</t>
        </is>
      </c>
      <c r="I640" t="n">
        <v>1.9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s="2" t="inlineStr"/>
    </row>
    <row r="641" ht="15" customHeight="1">
      <c r="A641" t="inlineStr">
        <is>
          <t>A 469-2024</t>
        </is>
      </c>
      <c r="B641" t="inlineStr">
        <is>
          <t>avverkningsanmälan</t>
        </is>
      </c>
      <c r="C641" t="inlineStr">
        <is>
          <t>Föryngringsavverkning</t>
        </is>
      </c>
      <c r="D641" s="1" t="n">
        <v>45297</v>
      </c>
      <c r="E641" s="1" t="n">
        <v>46309</v>
      </c>
      <c r="F641" t="inlineStr">
        <is>
          <t>GÄVLEBORGS LÄN</t>
        </is>
      </c>
      <c r="G641" t="inlineStr">
        <is>
          <t>NORDANSTIG</t>
        </is>
      </c>
      <c r="H641" t="inlineStr">
        <is>
          <t>Holmen skog AB</t>
        </is>
      </c>
      <c r="I641" t="n">
        <v>4.4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s="2" t="inlineStr"/>
    </row>
    <row r="642" ht="15" customHeight="1">
      <c r="A642" t="inlineStr">
        <is>
          <t>A 40477-2024</t>
        </is>
      </c>
      <c r="B642" t="inlineStr">
        <is>
          <t>avverkningsanmälan</t>
        </is>
      </c>
      <c r="C642" t="inlineStr">
        <is>
          <t>Föryngringsavverkning</t>
        </is>
      </c>
      <c r="D642" s="1" t="n">
        <v>45555</v>
      </c>
      <c r="E642" s="1" t="n">
        <v>46309</v>
      </c>
      <c r="F642" t="inlineStr">
        <is>
          <t>GÄVLEBORGS LÄN</t>
        </is>
      </c>
      <c r="G642" t="inlineStr">
        <is>
          <t>NORDANSTIG</t>
        </is>
      </c>
      <c r="I642" t="n">
        <v>2.3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s="2" t="inlineStr"/>
    </row>
    <row r="643" ht="15" customHeight="1">
      <c r="A643" t="inlineStr">
        <is>
          <t>A 19896-2025</t>
        </is>
      </c>
      <c r="B643" t="inlineStr">
        <is>
          <t>avverkningsanmälan</t>
        </is>
      </c>
      <c r="C643" t="inlineStr">
        <is>
          <t>Föryngringsavverkning</t>
        </is>
      </c>
      <c r="D643" s="1" t="n">
        <v>45771</v>
      </c>
      <c r="E643" s="1" t="n">
        <v>46309</v>
      </c>
      <c r="F643" t="inlineStr">
        <is>
          <t>GÄVLEBORGS LÄN</t>
        </is>
      </c>
      <c r="G643" t="inlineStr">
        <is>
          <t>NORDANSTIG</t>
        </is>
      </c>
      <c r="H643" t="inlineStr">
        <is>
          <t>Holmen skog AB</t>
        </is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s="2" t="inlineStr"/>
    </row>
    <row r="644" ht="15" customHeight="1">
      <c r="A644" t="inlineStr">
        <is>
          <t>A 44339-2024</t>
        </is>
      </c>
      <c r="B644" t="inlineStr">
        <is>
          <t>avverkningsanmälan</t>
        </is>
      </c>
      <c r="C644" t="inlineStr">
        <is>
          <t>Föryngringsavverkning</t>
        </is>
      </c>
      <c r="D644" s="1" t="n">
        <v>45573</v>
      </c>
      <c r="E644" s="1" t="n">
        <v>46309</v>
      </c>
      <c r="F644" t="inlineStr">
        <is>
          <t>GÄVLEBORGS LÄN</t>
        </is>
      </c>
      <c r="G644" t="inlineStr">
        <is>
          <t>NORDANSTIG</t>
        </is>
      </c>
      <c r="I644" t="n">
        <v>10.7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s="2" t="inlineStr"/>
    </row>
    <row r="645" ht="15" customHeight="1">
      <c r="A645" t="inlineStr">
        <is>
          <t>A 20019-2026</t>
        </is>
      </c>
      <c r="B645" t="inlineStr">
        <is>
          <t>avverkningsanmälan</t>
        </is>
      </c>
      <c r="C645" t="inlineStr">
        <is>
          <t>Föryngringsavverkning</t>
        </is>
      </c>
      <c r="D645" s="1" t="n">
        <v>46136</v>
      </c>
      <c r="E645" s="1" t="n">
        <v>46309</v>
      </c>
      <c r="F645" t="inlineStr">
        <is>
          <t>GÄVLEBORGS LÄN</t>
        </is>
      </c>
      <c r="G645" t="inlineStr">
        <is>
          <t>NORDANSTIG</t>
        </is>
      </c>
      <c r="I645" t="n">
        <v>2.8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s="2" t="inlineStr"/>
    </row>
    <row r="646" ht="15" customHeight="1">
      <c r="A646" t="inlineStr">
        <is>
          <t>A 6099-2023</t>
        </is>
      </c>
      <c r="B646" t="inlineStr">
        <is>
          <t>avverkningsanmälan</t>
        </is>
      </c>
      <c r="C646" t="inlineStr">
        <is>
          <t>Föryngringsavverkning</t>
        </is>
      </c>
      <c r="D646" s="1" t="n">
        <v>44964</v>
      </c>
      <c r="E646" s="1" t="n">
        <v>46309</v>
      </c>
      <c r="F646" t="inlineStr">
        <is>
          <t>GÄVLEBORGS LÄN</t>
        </is>
      </c>
      <c r="G646" t="inlineStr">
        <is>
          <t>NORDANSTIG</t>
        </is>
      </c>
      <c r="H646" t="inlineStr">
        <is>
          <t>Holmen skog AB</t>
        </is>
      </c>
      <c r="I646" t="n">
        <v>8.199999999999999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s="2" t="inlineStr"/>
    </row>
    <row r="647" ht="15" customHeight="1">
      <c r="A647" t="inlineStr">
        <is>
          <t>A 32635-2022</t>
        </is>
      </c>
      <c r="B647" t="inlineStr">
        <is>
          <t>avverkningsanmälan</t>
        </is>
      </c>
      <c r="C647" t="inlineStr">
        <is>
          <t>Föryngringsavverkning</t>
        </is>
      </c>
      <c r="D647" s="1" t="n">
        <v>44783</v>
      </c>
      <c r="E647" s="1" t="n">
        <v>46309</v>
      </c>
      <c r="F647" t="inlineStr">
        <is>
          <t>GÄVLEBORGS LÄN</t>
        </is>
      </c>
      <c r="G647" t="inlineStr">
        <is>
          <t>NORDANSTIG</t>
        </is>
      </c>
      <c r="I647" t="n">
        <v>10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s="2" t="inlineStr"/>
    </row>
    <row r="648" ht="15" customHeight="1">
      <c r="A648" t="inlineStr">
        <is>
          <t>A 19898-2026</t>
        </is>
      </c>
      <c r="B648" t="inlineStr">
        <is>
          <t>avverkningsanmälan</t>
        </is>
      </c>
      <c r="C648" t="inlineStr">
        <is>
          <t>Föryngringsavverkning</t>
        </is>
      </c>
      <c r="D648" s="1" t="n">
        <v>46135</v>
      </c>
      <c r="E648" s="1" t="n">
        <v>46309</v>
      </c>
      <c r="F648" t="inlineStr">
        <is>
          <t>GÄVLEBORGS LÄN</t>
        </is>
      </c>
      <c r="G648" t="inlineStr">
        <is>
          <t>NORDANSTIG</t>
        </is>
      </c>
      <c r="I648" t="n">
        <v>2.1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s="2" t="inlineStr"/>
    </row>
    <row r="649" ht="15" customHeight="1">
      <c r="A649" t="inlineStr">
        <is>
          <t>A 28680-2023</t>
        </is>
      </c>
      <c r="B649" t="inlineStr">
        <is>
          <t>avverkningsanmälan</t>
        </is>
      </c>
      <c r="C649" t="inlineStr">
        <is>
          <t>Föryngringsavverkning</t>
        </is>
      </c>
      <c r="D649" s="1" t="n">
        <v>45103</v>
      </c>
      <c r="E649" s="1" t="n">
        <v>46309</v>
      </c>
      <c r="F649" t="inlineStr">
        <is>
          <t>GÄVLEBORGS LÄN</t>
        </is>
      </c>
      <c r="G649" t="inlineStr">
        <is>
          <t>NORDANSTIG</t>
        </is>
      </c>
      <c r="H649" t="inlineStr">
        <is>
          <t>Holmen skog AB</t>
        </is>
      </c>
      <c r="I649" t="n">
        <v>3.3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s="2" t="inlineStr"/>
    </row>
    <row r="650" ht="15" customHeight="1">
      <c r="A650" t="inlineStr">
        <is>
          <t>A 19970-2026</t>
        </is>
      </c>
      <c r="B650" t="inlineStr">
        <is>
          <t>avverkningsanmälan</t>
        </is>
      </c>
      <c r="C650" t="inlineStr">
        <is>
          <t>Föryngringsavverkning</t>
        </is>
      </c>
      <c r="D650" s="1" t="n">
        <v>46136</v>
      </c>
      <c r="E650" s="1" t="n">
        <v>46309</v>
      </c>
      <c r="F650" t="inlineStr">
        <is>
          <t>GÄVLEBORGS LÄN</t>
        </is>
      </c>
      <c r="G650" t="inlineStr">
        <is>
          <t>NORDANSTIG</t>
        </is>
      </c>
      <c r="I650" t="n">
        <v>1.2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s="2" t="inlineStr"/>
    </row>
    <row r="651" ht="15" customHeight="1">
      <c r="A651" t="inlineStr">
        <is>
          <t>A 16659-2026</t>
        </is>
      </c>
      <c r="B651" t="inlineStr">
        <is>
          <t>avverkningsanmälan</t>
        </is>
      </c>
      <c r="C651" t="inlineStr">
        <is>
          <t>Föryngringsavverkning</t>
        </is>
      </c>
      <c r="D651" s="1" t="n">
        <v>46112</v>
      </c>
      <c r="E651" s="1" t="n">
        <v>46309</v>
      </c>
      <c r="F651" t="inlineStr">
        <is>
          <t>GÄVLEBORGS LÄN</t>
        </is>
      </c>
      <c r="G651" t="inlineStr">
        <is>
          <t>NORDANSTIG</t>
        </is>
      </c>
      <c r="I651" t="n">
        <v>1.7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s="2" t="inlineStr"/>
    </row>
    <row r="652" ht="15" customHeight="1">
      <c r="A652" t="inlineStr">
        <is>
          <t>A 60869-2024</t>
        </is>
      </c>
      <c r="B652" t="inlineStr">
        <is>
          <t>avverkningsanmälan</t>
        </is>
      </c>
      <c r="C652" t="inlineStr">
        <is>
          <t>Föryngringsavverkning</t>
        </is>
      </c>
      <c r="D652" s="1" t="n">
        <v>45644</v>
      </c>
      <c r="E652" s="1" t="n">
        <v>46309</v>
      </c>
      <c r="F652" t="inlineStr">
        <is>
          <t>GÄVLEBORGS LÄN</t>
        </is>
      </c>
      <c r="G652" t="inlineStr">
        <is>
          <t>NORDANSTIG</t>
        </is>
      </c>
      <c r="H652" t="inlineStr">
        <is>
          <t>Holmen skog AB</t>
        </is>
      </c>
      <c r="I652" t="n">
        <v>3.5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s="2" t="inlineStr"/>
    </row>
    <row r="653" ht="15" customHeight="1">
      <c r="A653" t="inlineStr">
        <is>
          <t>A 20532-2026</t>
        </is>
      </c>
      <c r="B653" t="inlineStr">
        <is>
          <t>avverkningsanmälan</t>
        </is>
      </c>
      <c r="C653" t="inlineStr">
        <is>
          <t>Föryngringsavverkning</t>
        </is>
      </c>
      <c r="D653" s="1" t="n">
        <v>46140</v>
      </c>
      <c r="E653" s="1" t="n">
        <v>46309</v>
      </c>
      <c r="F653" t="inlineStr">
        <is>
          <t>GÄVLEBORGS LÄN</t>
        </is>
      </c>
      <c r="G653" t="inlineStr">
        <is>
          <t>NORDANSTIG</t>
        </is>
      </c>
      <c r="I653" t="n">
        <v>5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s="2" t="inlineStr"/>
    </row>
    <row r="654" ht="15" customHeight="1">
      <c r="A654" t="inlineStr">
        <is>
          <t>A 64835-2021</t>
        </is>
      </c>
      <c r="B654" t="inlineStr">
        <is>
          <t>avverkningsanmälan</t>
        </is>
      </c>
      <c r="C654" t="inlineStr">
        <is>
          <t>Föryngringsavverkning</t>
        </is>
      </c>
      <c r="D654" s="1" t="n">
        <v>44512</v>
      </c>
      <c r="E654" s="1" t="n">
        <v>46309</v>
      </c>
      <c r="F654" t="inlineStr">
        <is>
          <t>GÄVLEBORGS LÄN</t>
        </is>
      </c>
      <c r="G654" t="inlineStr">
        <is>
          <t>NORDANSTIG</t>
        </is>
      </c>
      <c r="H654" t="inlineStr">
        <is>
          <t>Holmen skog AB</t>
        </is>
      </c>
      <c r="I654" t="n">
        <v>1.1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s="2" t="inlineStr"/>
    </row>
    <row r="655" ht="15" customHeight="1">
      <c r="A655" t="inlineStr">
        <is>
          <t>A 2880-2026</t>
        </is>
      </c>
      <c r="B655" t="inlineStr">
        <is>
          <t>avverkningsanmälan</t>
        </is>
      </c>
      <c r="C655" t="inlineStr">
        <is>
          <t>Föryngringsavverkning</t>
        </is>
      </c>
      <c r="D655" s="1" t="n">
        <v>46038</v>
      </c>
      <c r="E655" s="1" t="n">
        <v>46309</v>
      </c>
      <c r="F655" t="inlineStr">
        <is>
          <t>GÄVLEBORGS LÄN</t>
        </is>
      </c>
      <c r="G655" t="inlineStr">
        <is>
          <t>NORDANSTIG</t>
        </is>
      </c>
      <c r="I655" t="n">
        <v>1.2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s="2" t="inlineStr"/>
    </row>
    <row r="656" ht="15" customHeight="1">
      <c r="A656" t="inlineStr">
        <is>
          <t>A 4584-2026</t>
        </is>
      </c>
      <c r="B656" t="inlineStr">
        <is>
          <t>avverkningsanmälan</t>
        </is>
      </c>
      <c r="C656" t="inlineStr">
        <is>
          <t>Föryngringsavverkning</t>
        </is>
      </c>
      <c r="D656" s="1" t="n">
        <v>46048</v>
      </c>
      <c r="E656" s="1" t="n">
        <v>46309</v>
      </c>
      <c r="F656" t="inlineStr">
        <is>
          <t>GÄVLEBORGS LÄN</t>
        </is>
      </c>
      <c r="G656" t="inlineStr">
        <is>
          <t>NORDANSTIG</t>
        </is>
      </c>
      <c r="H656" t="inlineStr">
        <is>
          <t>Holmen skog AB</t>
        </is>
      </c>
      <c r="I656" t="n">
        <v>2.3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s="2" t="inlineStr"/>
    </row>
    <row r="657" ht="15" customHeight="1">
      <c r="A657" t="inlineStr">
        <is>
          <t>A 14866-2024</t>
        </is>
      </c>
      <c r="B657" t="inlineStr">
        <is>
          <t>avverkningsanmälan</t>
        </is>
      </c>
      <c r="C657" t="inlineStr">
        <is>
          <t>Avverkning för annat ändamål</t>
        </is>
      </c>
      <c r="D657" s="1" t="n">
        <v>45397</v>
      </c>
      <c r="E657" s="1" t="n">
        <v>46309</v>
      </c>
      <c r="F657" t="inlineStr">
        <is>
          <t>GÄVLEBORGS LÄN</t>
        </is>
      </c>
      <c r="G657" t="inlineStr">
        <is>
          <t>NORDANSTIG</t>
        </is>
      </c>
      <c r="I657" t="n">
        <v>0.3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s="2" t="inlineStr"/>
    </row>
    <row r="658" ht="15" customHeight="1">
      <c r="A658" t="inlineStr">
        <is>
          <t>A 65039-2023</t>
        </is>
      </c>
      <c r="B658" t="inlineStr">
        <is>
          <t>avverkningsanmälan</t>
        </is>
      </c>
      <c r="C658" t="inlineStr">
        <is>
          <t>Föryngringsavverkning</t>
        </is>
      </c>
      <c r="D658" s="1" t="n">
        <v>45287</v>
      </c>
      <c r="E658" s="1" t="n">
        <v>46309</v>
      </c>
      <c r="F658" t="inlineStr">
        <is>
          <t>GÄVLEBORGS LÄN</t>
        </is>
      </c>
      <c r="G658" t="inlineStr">
        <is>
          <t>NORDANSTIG</t>
        </is>
      </c>
      <c r="I658" t="n">
        <v>0.8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s="2" t="inlineStr"/>
    </row>
    <row r="659" ht="15" customHeight="1">
      <c r="A659" t="inlineStr">
        <is>
          <t>A 4021-2023</t>
        </is>
      </c>
      <c r="B659" t="inlineStr">
        <is>
          <t>avverkningsanmälan</t>
        </is>
      </c>
      <c r="C659" t="inlineStr">
        <is>
          <t>Föryngringsavverkning</t>
        </is>
      </c>
      <c r="D659" s="1" t="n">
        <v>44952</v>
      </c>
      <c r="E659" s="1" t="n">
        <v>46309</v>
      </c>
      <c r="F659" t="inlineStr">
        <is>
          <t>GÄVLEBORGS LÄN</t>
        </is>
      </c>
      <c r="G659" t="inlineStr">
        <is>
          <t>NORDANSTIG</t>
        </is>
      </c>
      <c r="H659" t="inlineStr">
        <is>
          <t>Holmen skog AB</t>
        </is>
      </c>
      <c r="I659" t="n">
        <v>3.4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s="2" t="inlineStr"/>
    </row>
    <row r="660" ht="15" customHeight="1">
      <c r="A660" t="inlineStr">
        <is>
          <t>A 55694-2024</t>
        </is>
      </c>
      <c r="B660" t="inlineStr">
        <is>
          <t>avverkningsanmälan</t>
        </is>
      </c>
      <c r="C660" t="inlineStr">
        <is>
          <t>Föryngringsavverkning</t>
        </is>
      </c>
      <c r="D660" s="1" t="n">
        <v>45622</v>
      </c>
      <c r="E660" s="1" t="n">
        <v>46309</v>
      </c>
      <c r="F660" t="inlineStr">
        <is>
          <t>GÄVLEBORGS LÄN</t>
        </is>
      </c>
      <c r="G660" t="inlineStr">
        <is>
          <t>NORDANSTIG</t>
        </is>
      </c>
      <c r="H660" t="inlineStr">
        <is>
          <t>Holmen skog AB</t>
        </is>
      </c>
      <c r="I660" t="n">
        <v>1.1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s="2" t="inlineStr"/>
    </row>
    <row r="661" ht="15" customHeight="1">
      <c r="A661" t="inlineStr">
        <is>
          <t>A 23770-2024</t>
        </is>
      </c>
      <c r="B661" t="inlineStr">
        <is>
          <t>avverkningsanmälan</t>
        </is>
      </c>
      <c r="C661" t="inlineStr">
        <is>
          <t>Föryngringsavverkning</t>
        </is>
      </c>
      <c r="D661" s="1" t="n">
        <v>45455</v>
      </c>
      <c r="E661" s="1" t="n">
        <v>46309</v>
      </c>
      <c r="F661" t="inlineStr">
        <is>
          <t>GÄVLEBORGS LÄN</t>
        </is>
      </c>
      <c r="G661" t="inlineStr">
        <is>
          <t>NORDANSTIG</t>
        </is>
      </c>
      <c r="H661" t="inlineStr">
        <is>
          <t>Holmen skog AB</t>
        </is>
      </c>
      <c r="I661" t="n">
        <v>2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s="2" t="inlineStr"/>
    </row>
    <row r="662" ht="15" customHeight="1">
      <c r="A662" t="inlineStr">
        <is>
          <t>A 20482-2026</t>
        </is>
      </c>
      <c r="B662" t="inlineStr">
        <is>
          <t>avverkningsanmälan</t>
        </is>
      </c>
      <c r="C662" t="inlineStr">
        <is>
          <t>Föryngringsavverkning</t>
        </is>
      </c>
      <c r="D662" s="1" t="n">
        <v>46140</v>
      </c>
      <c r="E662" s="1" t="n">
        <v>46309</v>
      </c>
      <c r="F662" t="inlineStr">
        <is>
          <t>GÄVLEBORGS LÄN</t>
        </is>
      </c>
      <c r="G662" t="inlineStr">
        <is>
          <t>NORDANSTIG</t>
        </is>
      </c>
      <c r="H662" t="inlineStr">
        <is>
          <t>Holmen skog AB</t>
        </is>
      </c>
      <c r="I662" t="n">
        <v>8.6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s="2" t="inlineStr"/>
    </row>
    <row r="663" ht="15" customHeight="1">
      <c r="A663" t="inlineStr">
        <is>
          <t>A 58165-2023</t>
        </is>
      </c>
      <c r="B663" t="inlineStr">
        <is>
          <t>avverkningsanmälan</t>
        </is>
      </c>
      <c r="C663" t="inlineStr">
        <is>
          <t>Föryngringsavverkning</t>
        </is>
      </c>
      <c r="D663" s="1" t="n">
        <v>45250</v>
      </c>
      <c r="E663" s="1" t="n">
        <v>46309</v>
      </c>
      <c r="F663" t="inlineStr">
        <is>
          <t>GÄVLEBORGS LÄN</t>
        </is>
      </c>
      <c r="G663" t="inlineStr">
        <is>
          <t>NORDANSTIG</t>
        </is>
      </c>
      <c r="I663" t="n">
        <v>2.8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s="2" t="inlineStr"/>
    </row>
    <row r="664" ht="15" customHeight="1">
      <c r="A664" t="inlineStr">
        <is>
          <t>A 24106-2023</t>
        </is>
      </c>
      <c r="B664" t="inlineStr">
        <is>
          <t>avverkningsanmälan</t>
        </is>
      </c>
      <c r="C664" t="inlineStr">
        <is>
          <t>Föryngringsavverkning</t>
        </is>
      </c>
      <c r="D664" s="1" t="n">
        <v>45079</v>
      </c>
      <c r="E664" s="1" t="n">
        <v>46309</v>
      </c>
      <c r="F664" t="inlineStr">
        <is>
          <t>GÄVLEBORGS LÄN</t>
        </is>
      </c>
      <c r="G664" t="inlineStr">
        <is>
          <t>NORDANSTIG</t>
        </is>
      </c>
      <c r="H664" t="inlineStr">
        <is>
          <t>Holmen skog AB</t>
        </is>
      </c>
      <c r="I664" t="n">
        <v>2.6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s="2" t="inlineStr"/>
    </row>
    <row r="665" ht="15" customHeight="1">
      <c r="A665" t="inlineStr">
        <is>
          <t>A 20288-2026</t>
        </is>
      </c>
      <c r="B665" t="inlineStr">
        <is>
          <t>avverkningsanmälan</t>
        </is>
      </c>
      <c r="C665" t="inlineStr">
        <is>
          <t>Föryngringsavverkning</t>
        </is>
      </c>
      <c r="D665" s="1" t="n">
        <v>46139</v>
      </c>
      <c r="E665" s="1" t="n">
        <v>46309</v>
      </c>
      <c r="F665" t="inlineStr">
        <is>
          <t>GÄVLEBORGS LÄN</t>
        </is>
      </c>
      <c r="G665" t="inlineStr">
        <is>
          <t>NORDANSTIG</t>
        </is>
      </c>
      <c r="I665" t="n">
        <v>3.5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s="2" t="inlineStr"/>
    </row>
    <row r="666" ht="15" customHeight="1">
      <c r="A666" t="inlineStr">
        <is>
          <t>A 62816-2023</t>
        </is>
      </c>
      <c r="B666" t="inlineStr">
        <is>
          <t>avverkningsanmälan</t>
        </is>
      </c>
      <c r="C666" t="inlineStr">
        <is>
          <t>Föryngringsavverkning</t>
        </is>
      </c>
      <c r="D666" s="1" t="n">
        <v>45271</v>
      </c>
      <c r="E666" s="1" t="n">
        <v>46309</v>
      </c>
      <c r="F666" t="inlineStr">
        <is>
          <t>GÄVLEBORGS LÄN</t>
        </is>
      </c>
      <c r="G666" t="inlineStr">
        <is>
          <t>NORDANSTIG</t>
        </is>
      </c>
      <c r="I666" t="n">
        <v>3.5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s="2" t="inlineStr"/>
    </row>
    <row r="667" ht="15" customHeight="1">
      <c r="A667" t="inlineStr">
        <is>
          <t>A 52695-2024</t>
        </is>
      </c>
      <c r="B667" t="inlineStr">
        <is>
          <t>avverkningsanmälan</t>
        </is>
      </c>
      <c r="C667" t="inlineStr">
        <is>
          <t>Föryngringsavverkning</t>
        </is>
      </c>
      <c r="D667" s="1" t="n">
        <v>45610</v>
      </c>
      <c r="E667" s="1" t="n">
        <v>46309</v>
      </c>
      <c r="F667" t="inlineStr">
        <is>
          <t>GÄVLEBORGS LÄN</t>
        </is>
      </c>
      <c r="G667" t="inlineStr">
        <is>
          <t>NORDANSTIG</t>
        </is>
      </c>
      <c r="H667" t="inlineStr">
        <is>
          <t>Holmen skog AB</t>
        </is>
      </c>
      <c r="I667" t="n">
        <v>2.6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s="2" t="inlineStr"/>
    </row>
    <row r="668" ht="15" customHeight="1">
      <c r="A668" t="inlineStr">
        <is>
          <t>A 1802-2023</t>
        </is>
      </c>
      <c r="B668" t="inlineStr">
        <is>
          <t>avverkningsanmälan</t>
        </is>
      </c>
      <c r="C668" t="inlineStr">
        <is>
          <t>Föryngringsavverkning</t>
        </is>
      </c>
      <c r="D668" s="1" t="n">
        <v>44938</v>
      </c>
      <c r="E668" s="1" t="n">
        <v>46309</v>
      </c>
      <c r="F668" t="inlineStr">
        <is>
          <t>GÄVLEBORGS LÄN</t>
        </is>
      </c>
      <c r="G668" t="inlineStr">
        <is>
          <t>NORDANSTIG</t>
        </is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s="2" t="inlineStr"/>
    </row>
    <row r="669" ht="15" customHeight="1">
      <c r="A669" t="inlineStr">
        <is>
          <t>A 63786-2025</t>
        </is>
      </c>
      <c r="B669" t="inlineStr">
        <is>
          <t>avverkningsanmälan</t>
        </is>
      </c>
      <c r="C669" t="inlineStr">
        <is>
          <t>Föryngringsavverkning</t>
        </is>
      </c>
      <c r="D669" s="1" t="n">
        <v>46019</v>
      </c>
      <c r="E669" s="1" t="n">
        <v>46309</v>
      </c>
      <c r="F669" t="inlineStr">
        <is>
          <t>GÄVLEBORGS LÄN</t>
        </is>
      </c>
      <c r="G669" t="inlineStr">
        <is>
          <t>NORDANSTIG</t>
        </is>
      </c>
      <c r="I669" t="n">
        <v>2.7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s="2" t="inlineStr"/>
    </row>
    <row r="670" ht="15" customHeight="1">
      <c r="A670" t="inlineStr">
        <is>
          <t>A 12095-2023</t>
        </is>
      </c>
      <c r="B670" t="inlineStr">
        <is>
          <t>avverkningsanmälan</t>
        </is>
      </c>
      <c r="C670" t="inlineStr">
        <is>
          <t>Föryngringsavverkning</t>
        </is>
      </c>
      <c r="D670" s="1" t="n">
        <v>44998</v>
      </c>
      <c r="E670" s="1" t="n">
        <v>46309</v>
      </c>
      <c r="F670" t="inlineStr">
        <is>
          <t>GÄVLEBORGS LÄN</t>
        </is>
      </c>
      <c r="G670" t="inlineStr">
        <is>
          <t>NORDANSTIG</t>
        </is>
      </c>
      <c r="I670" t="n">
        <v>2.7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s="2" t="inlineStr"/>
    </row>
    <row r="671" ht="15" customHeight="1">
      <c r="A671" t="inlineStr">
        <is>
          <t>A 65208-2023</t>
        </is>
      </c>
      <c r="B671" t="inlineStr">
        <is>
          <t>avverkningsanmälan</t>
        </is>
      </c>
      <c r="C671" t="inlineStr">
        <is>
          <t>Föryngringsavverkning</t>
        </is>
      </c>
      <c r="D671" s="1" t="n">
        <v>45289</v>
      </c>
      <c r="E671" s="1" t="n">
        <v>46309</v>
      </c>
      <c r="F671" t="inlineStr">
        <is>
          <t>GÄVLEBORGS LÄN</t>
        </is>
      </c>
      <c r="G671" t="inlineStr">
        <is>
          <t>NORDANSTIG</t>
        </is>
      </c>
      <c r="I671" t="n">
        <v>0.7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s="2" t="inlineStr"/>
    </row>
    <row r="672" ht="15" customHeight="1">
      <c r="A672" t="inlineStr">
        <is>
          <t>A 31724-2024</t>
        </is>
      </c>
      <c r="B672" t="inlineStr">
        <is>
          <t>avverkningsanmälan</t>
        </is>
      </c>
      <c r="C672" t="inlineStr">
        <is>
          <t>Föryngringsavverkning</t>
        </is>
      </c>
      <c r="D672" s="1" t="n">
        <v>45509</v>
      </c>
      <c r="E672" s="1" t="n">
        <v>46309</v>
      </c>
      <c r="F672" t="inlineStr">
        <is>
          <t>GÄVLEBORGS LÄN</t>
        </is>
      </c>
      <c r="G672" t="inlineStr">
        <is>
          <t>NORDANSTIG</t>
        </is>
      </c>
      <c r="I672" t="n">
        <v>1.1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s="2" t="inlineStr"/>
    </row>
    <row r="673" ht="15" customHeight="1">
      <c r="A673" t="inlineStr">
        <is>
          <t>A 1057-2026</t>
        </is>
      </c>
      <c r="B673" t="inlineStr">
        <is>
          <t>avverkningsanmälan</t>
        </is>
      </c>
      <c r="C673" t="inlineStr">
        <is>
          <t>Föryngringsavverkning</t>
        </is>
      </c>
      <c r="D673" s="1" t="n">
        <v>46030</v>
      </c>
      <c r="E673" s="1" t="n">
        <v>46309</v>
      </c>
      <c r="F673" t="inlineStr">
        <is>
          <t>GÄVLEBORGS LÄN</t>
        </is>
      </c>
      <c r="G673" t="inlineStr">
        <is>
          <t>NORDANSTIG</t>
        </is>
      </c>
      <c r="I673" t="n">
        <v>2.7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s="2" t="inlineStr"/>
    </row>
    <row r="674" ht="15" customHeight="1">
      <c r="A674" t="inlineStr">
        <is>
          <t>A 51380-2024</t>
        </is>
      </c>
      <c r="B674" t="inlineStr">
        <is>
          <t>avverkningsanmälan</t>
        </is>
      </c>
      <c r="C674" t="inlineStr">
        <is>
          <t>Föryngringsavverkning</t>
        </is>
      </c>
      <c r="D674" s="1" t="n">
        <v>45604</v>
      </c>
      <c r="E674" s="1" t="n">
        <v>46309</v>
      </c>
      <c r="F674" t="inlineStr">
        <is>
          <t>GÄVLEBORGS LÄN</t>
        </is>
      </c>
      <c r="G674" t="inlineStr">
        <is>
          <t>NORDANSTIG</t>
        </is>
      </c>
      <c r="H674" t="inlineStr">
        <is>
          <t>Holmen skog AB</t>
        </is>
      </c>
      <c r="I674" t="n">
        <v>2.4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s="2" t="inlineStr"/>
    </row>
    <row r="675" ht="15" customHeight="1">
      <c r="A675" t="inlineStr">
        <is>
          <t>A 64033-2025</t>
        </is>
      </c>
      <c r="B675" t="inlineStr">
        <is>
          <t>avverkningsanmälan</t>
        </is>
      </c>
      <c r="C675" t="inlineStr">
        <is>
          <t>Föryngringsavverkning</t>
        </is>
      </c>
      <c r="D675" s="1" t="n">
        <v>46021</v>
      </c>
      <c r="E675" s="1" t="n">
        <v>46309</v>
      </c>
      <c r="F675" t="inlineStr">
        <is>
          <t>GÄVLEBORGS LÄN</t>
        </is>
      </c>
      <c r="G675" t="inlineStr">
        <is>
          <t>NORDANSTIG</t>
        </is>
      </c>
      <c r="I675" t="n">
        <v>1.2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s="2" t="inlineStr"/>
    </row>
    <row r="676" ht="15" customHeight="1">
      <c r="A676" t="inlineStr">
        <is>
          <t>A 4786-2026</t>
        </is>
      </c>
      <c r="B676" t="inlineStr">
        <is>
          <t>avverkningsanmälan</t>
        </is>
      </c>
      <c r="C676" t="inlineStr">
        <is>
          <t>Föryngringsavverkning</t>
        </is>
      </c>
      <c r="D676" s="1" t="n">
        <v>46048</v>
      </c>
      <c r="E676" s="1" t="n">
        <v>46309</v>
      </c>
      <c r="F676" t="inlineStr">
        <is>
          <t>GÄVLEBORGS LÄN</t>
        </is>
      </c>
      <c r="G676" t="inlineStr">
        <is>
          <t>NORDANSTIG</t>
        </is>
      </c>
      <c r="I676" t="n">
        <v>6.6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s="2" t="inlineStr"/>
    </row>
    <row r="677" ht="15" customHeight="1">
      <c r="A677" t="inlineStr">
        <is>
          <t>A 6129-2026</t>
        </is>
      </c>
      <c r="B677" t="inlineStr">
        <is>
          <t>avverkningsanmälan</t>
        </is>
      </c>
      <c r="C677" t="inlineStr">
        <is>
          <t>Föryngringsavverkning</t>
        </is>
      </c>
      <c r="D677" s="1" t="n">
        <v>46054</v>
      </c>
      <c r="E677" s="1" t="n">
        <v>46309</v>
      </c>
      <c r="F677" t="inlineStr">
        <is>
          <t>GÄVLEBORGS LÄN</t>
        </is>
      </c>
      <c r="G677" t="inlineStr">
        <is>
          <t>NORDANSTIG</t>
        </is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s="2" t="inlineStr"/>
    </row>
    <row r="678" ht="15" customHeight="1">
      <c r="A678" t="inlineStr">
        <is>
          <t>A 62089-2021</t>
        </is>
      </c>
      <c r="B678" t="inlineStr">
        <is>
          <t>avverkningsanmälan</t>
        </is>
      </c>
      <c r="C678" t="inlineStr">
        <is>
          <t>Föryngringsavverkning</t>
        </is>
      </c>
      <c r="D678" s="1" t="n">
        <v>44502</v>
      </c>
      <c r="E678" s="1" t="n">
        <v>46309</v>
      </c>
      <c r="F678" t="inlineStr">
        <is>
          <t>GÄVLEBORGS LÄN</t>
        </is>
      </c>
      <c r="G678" t="inlineStr">
        <is>
          <t>NORDANSTIG</t>
        </is>
      </c>
      <c r="I678" t="n">
        <v>1.2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s="2" t="inlineStr"/>
    </row>
    <row r="679" ht="15" customHeight="1">
      <c r="A679" t="inlineStr">
        <is>
          <t>A 20747-2023</t>
        </is>
      </c>
      <c r="B679" t="inlineStr">
        <is>
          <t>avverkningsanmälan</t>
        </is>
      </c>
      <c r="C679" t="inlineStr">
        <is>
          <t>Avverkning för annat ändamål</t>
        </is>
      </c>
      <c r="D679" s="1" t="n">
        <v>45058</v>
      </c>
      <c r="E679" s="1" t="n">
        <v>46309</v>
      </c>
      <c r="F679" t="inlineStr">
        <is>
          <t>GÄVLEBORGS LÄN</t>
        </is>
      </c>
      <c r="G679" t="inlineStr">
        <is>
          <t>NORDANSTIG</t>
        </is>
      </c>
      <c r="I679" t="n">
        <v>0.6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s="2" t="inlineStr"/>
    </row>
    <row r="680" ht="15" customHeight="1">
      <c r="A680" t="inlineStr">
        <is>
          <t>A 1469-2026</t>
        </is>
      </c>
      <c r="B680" t="inlineStr">
        <is>
          <t>avverkningsanmälan</t>
        </is>
      </c>
      <c r="C680" t="inlineStr">
        <is>
          <t>Föryngringsavverkning</t>
        </is>
      </c>
      <c r="D680" s="1" t="n">
        <v>46033</v>
      </c>
      <c r="E680" s="1" t="n">
        <v>46309</v>
      </c>
      <c r="F680" t="inlineStr">
        <is>
          <t>GÄVLEBORGS LÄN</t>
        </is>
      </c>
      <c r="G680" t="inlineStr">
        <is>
          <t>NORDANSTIG</t>
        </is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s="2" t="inlineStr"/>
    </row>
    <row r="681" ht="15" customHeight="1">
      <c r="A681" t="inlineStr">
        <is>
          <t>A 18288-2023</t>
        </is>
      </c>
      <c r="B681" t="inlineStr">
        <is>
          <t>avverkningsanmälan</t>
        </is>
      </c>
      <c r="C681" t="inlineStr">
        <is>
          <t>Föryngringsavverkning</t>
        </is>
      </c>
      <c r="D681" s="1" t="n">
        <v>45041</v>
      </c>
      <c r="E681" s="1" t="n">
        <v>46309</v>
      </c>
      <c r="F681" t="inlineStr">
        <is>
          <t>GÄVLEBORGS LÄN</t>
        </is>
      </c>
      <c r="G681" t="inlineStr">
        <is>
          <t>NORDANSTIG</t>
        </is>
      </c>
      <c r="H681" t="inlineStr">
        <is>
          <t>Holmen skog AB</t>
        </is>
      </c>
      <c r="I681" t="n">
        <v>4.4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s="2" t="inlineStr"/>
    </row>
    <row r="682" ht="15" customHeight="1">
      <c r="A682" t="inlineStr">
        <is>
          <t>A 11087-2022</t>
        </is>
      </c>
      <c r="B682" t="inlineStr">
        <is>
          <t>avverkningsanmälan</t>
        </is>
      </c>
      <c r="C682" t="inlineStr">
        <is>
          <t>Föryngringsavverkning</t>
        </is>
      </c>
      <c r="D682" s="1" t="n">
        <v>44628</v>
      </c>
      <c r="E682" s="1" t="n">
        <v>46309</v>
      </c>
      <c r="F682" t="inlineStr">
        <is>
          <t>GÄVLEBORGS LÄN</t>
        </is>
      </c>
      <c r="G682" t="inlineStr">
        <is>
          <t>NORDANSTIG</t>
        </is>
      </c>
      <c r="I682" t="n">
        <v>1.2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s="2" t="inlineStr"/>
    </row>
    <row r="683" ht="15" customHeight="1">
      <c r="A683" t="inlineStr">
        <is>
          <t>A 50657-2024</t>
        </is>
      </c>
      <c r="B683" t="inlineStr">
        <is>
          <t>avverkningsanmälan</t>
        </is>
      </c>
      <c r="C683" t="inlineStr">
        <is>
          <t>Föryngringsavverkning</t>
        </is>
      </c>
      <c r="D683" s="1" t="n">
        <v>45601</v>
      </c>
      <c r="E683" s="1" t="n">
        <v>46309</v>
      </c>
      <c r="F683" t="inlineStr">
        <is>
          <t>GÄVLEBORGS LÄN</t>
        </is>
      </c>
      <c r="G683" t="inlineStr">
        <is>
          <t>NORDANSTIG</t>
        </is>
      </c>
      <c r="I683" t="n">
        <v>1.3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s="2" t="inlineStr"/>
    </row>
    <row r="684" ht="15" customHeight="1">
      <c r="A684" t="inlineStr">
        <is>
          <t>A 1532-2024</t>
        </is>
      </c>
      <c r="B684" t="inlineStr">
        <is>
          <t>avverkningsanmälan</t>
        </is>
      </c>
      <c r="C684" t="inlineStr">
        <is>
          <t>Föryngringsavverkning</t>
        </is>
      </c>
      <c r="D684" s="1" t="n">
        <v>45306</v>
      </c>
      <c r="E684" s="1" t="n">
        <v>46309</v>
      </c>
      <c r="F684" t="inlineStr">
        <is>
          <t>GÄVLEBORGS LÄN</t>
        </is>
      </c>
      <c r="G684" t="inlineStr">
        <is>
          <t>NORDANSTIG</t>
        </is>
      </c>
      <c r="I684" t="n">
        <v>1.2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s="2" t="inlineStr"/>
    </row>
    <row r="685" ht="15" customHeight="1">
      <c r="A685" t="inlineStr">
        <is>
          <t>A 19982-2026</t>
        </is>
      </c>
      <c r="B685" t="inlineStr">
        <is>
          <t>avverkningsanmälan</t>
        </is>
      </c>
      <c r="C685" t="inlineStr">
        <is>
          <t>Föryngringsavverkning</t>
        </is>
      </c>
      <c r="D685" s="1" t="n">
        <v>46136</v>
      </c>
      <c r="E685" s="1" t="n">
        <v>46309</v>
      </c>
      <c r="F685" t="inlineStr">
        <is>
          <t>GÄVLEBORGS LÄN</t>
        </is>
      </c>
      <c r="G685" t="inlineStr">
        <is>
          <t>NORDANSTIG</t>
        </is>
      </c>
      <c r="I685" t="n">
        <v>0.9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s="2" t="inlineStr"/>
    </row>
    <row r="686" ht="15" customHeight="1">
      <c r="A686" t="inlineStr">
        <is>
          <t>A 34842-2023</t>
        </is>
      </c>
      <c r="B686" t="inlineStr">
        <is>
          <t>avverkningsanmälan</t>
        </is>
      </c>
      <c r="C686" t="inlineStr">
        <is>
          <t>Föryngringsavverkning</t>
        </is>
      </c>
      <c r="D686" s="1" t="n">
        <v>45141</v>
      </c>
      <c r="E686" s="1" t="n">
        <v>46309</v>
      </c>
      <c r="F686" t="inlineStr">
        <is>
          <t>GÄVLEBORGS LÄN</t>
        </is>
      </c>
      <c r="G686" t="inlineStr">
        <is>
          <t>NORDANSTIG</t>
        </is>
      </c>
      <c r="I686" t="n">
        <v>1.5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s="2" t="inlineStr"/>
    </row>
    <row r="687" ht="15" customHeight="1">
      <c r="A687" t="inlineStr">
        <is>
          <t>A 6923-2024</t>
        </is>
      </c>
      <c r="B687" t="inlineStr">
        <is>
          <t>avverkningsanmälan</t>
        </is>
      </c>
      <c r="C687" t="inlineStr">
        <is>
          <t>Föryngringsavverkning</t>
        </is>
      </c>
      <c r="D687" s="1" t="n">
        <v>45343</v>
      </c>
      <c r="E687" s="1" t="n">
        <v>46309</v>
      </c>
      <c r="F687" t="inlineStr">
        <is>
          <t>GÄVLEBORGS LÄN</t>
        </is>
      </c>
      <c r="G687" t="inlineStr">
        <is>
          <t>NORDANSTIG</t>
        </is>
      </c>
      <c r="H687" t="inlineStr">
        <is>
          <t>Holmen skog AB</t>
        </is>
      </c>
      <c r="I687" t="n">
        <v>1.1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s="2" t="inlineStr"/>
    </row>
    <row r="688" ht="15" customHeight="1">
      <c r="A688" t="inlineStr">
        <is>
          <t>A 227-2026</t>
        </is>
      </c>
      <c r="B688" t="inlineStr">
        <is>
          <t>avverkningsanmälan</t>
        </is>
      </c>
      <c r="C688" t="inlineStr">
        <is>
          <t>Föryngringsavverkning</t>
        </is>
      </c>
      <c r="D688" s="1" t="n">
        <v>46026</v>
      </c>
      <c r="E688" s="1" t="n">
        <v>46309</v>
      </c>
      <c r="F688" t="inlineStr">
        <is>
          <t>GÄVLEBORGS LÄN</t>
        </is>
      </c>
      <c r="G688" t="inlineStr">
        <is>
          <t>NORDANSTIG</t>
        </is>
      </c>
      <c r="I688" t="n">
        <v>0.8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s="2" t="inlineStr"/>
    </row>
    <row r="689" ht="15" customHeight="1">
      <c r="A689" t="inlineStr">
        <is>
          <t>A 6583-2022</t>
        </is>
      </c>
      <c r="B689" t="inlineStr">
        <is>
          <t>avverkningsanmälan</t>
        </is>
      </c>
      <c r="C689" t="inlineStr">
        <is>
          <t>Föryngringsavverkning</t>
        </is>
      </c>
      <c r="D689" s="1" t="n">
        <v>44601</v>
      </c>
      <c r="E689" s="1" t="n">
        <v>46309</v>
      </c>
      <c r="F689" t="inlineStr">
        <is>
          <t>GÄVLEBORGS LÄN</t>
        </is>
      </c>
      <c r="G689" t="inlineStr">
        <is>
          <t>NORDANSTIG</t>
        </is>
      </c>
      <c r="I689" t="n">
        <v>8.800000000000001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s="2" t="inlineStr"/>
    </row>
    <row r="690" ht="15" customHeight="1">
      <c r="A690" t="inlineStr">
        <is>
          <t>A 44075-2025</t>
        </is>
      </c>
      <c r="B690" t="inlineStr">
        <is>
          <t>avverkningsanmälan</t>
        </is>
      </c>
      <c r="C690" t="inlineStr">
        <is>
          <t>Föryngringsavverkning</t>
        </is>
      </c>
      <c r="D690" s="1" t="n">
        <v>45915</v>
      </c>
      <c r="E690" s="1" t="n">
        <v>46309</v>
      </c>
      <c r="F690" t="inlineStr">
        <is>
          <t>GÄVLEBORGS LÄN</t>
        </is>
      </c>
      <c r="G690" t="inlineStr">
        <is>
          <t>NORDANSTIG</t>
        </is>
      </c>
      <c r="I690" t="n">
        <v>1.5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s="2" t="inlineStr"/>
    </row>
    <row r="691" ht="15" customHeight="1">
      <c r="A691" t="inlineStr">
        <is>
          <t>A 32471-2023</t>
        </is>
      </c>
      <c r="B691" t="inlineStr">
        <is>
          <t>avverkningsanmälan</t>
        </is>
      </c>
      <c r="C691" t="inlineStr">
        <is>
          <t>Föryngringsavverkning</t>
        </is>
      </c>
      <c r="D691" s="1" t="n">
        <v>45120</v>
      </c>
      <c r="E691" s="1" t="n">
        <v>46309</v>
      </c>
      <c r="F691" t="inlineStr">
        <is>
          <t>GÄVLEBORGS LÄN</t>
        </is>
      </c>
      <c r="G691" t="inlineStr">
        <is>
          <t>NORDANSTIG</t>
        </is>
      </c>
      <c r="I691" t="n">
        <v>1.9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s="2" t="inlineStr"/>
    </row>
    <row r="692" ht="15" customHeight="1">
      <c r="A692" t="inlineStr">
        <is>
          <t>A 25402-2024</t>
        </is>
      </c>
      <c r="B692" t="inlineStr">
        <is>
          <t>avverkningsanmälan</t>
        </is>
      </c>
      <c r="C692" t="inlineStr">
        <is>
          <t>Föryngringsavverkning</t>
        </is>
      </c>
      <c r="D692" s="1" t="n">
        <v>45463</v>
      </c>
      <c r="E692" s="1" t="n">
        <v>46309</v>
      </c>
      <c r="F692" t="inlineStr">
        <is>
          <t>GÄVLEBORGS LÄN</t>
        </is>
      </c>
      <c r="G692" t="inlineStr">
        <is>
          <t>NORDANSTIG</t>
        </is>
      </c>
      <c r="H692" t="inlineStr">
        <is>
          <t>Holmen skog AB</t>
        </is>
      </c>
      <c r="I692" t="n">
        <v>1.6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s="2" t="inlineStr"/>
    </row>
    <row r="693" ht="15" customHeight="1">
      <c r="A693" t="inlineStr">
        <is>
          <t>A 3764-2026</t>
        </is>
      </c>
      <c r="B693" t="inlineStr">
        <is>
          <t>avverkningsanmälan</t>
        </is>
      </c>
      <c r="C693" t="inlineStr">
        <is>
          <t>Föryngringsavverkning</t>
        </is>
      </c>
      <c r="D693" s="1" t="n">
        <v>46043</v>
      </c>
      <c r="E693" s="1" t="n">
        <v>46309</v>
      </c>
      <c r="F693" t="inlineStr">
        <is>
          <t>GÄVLEBORGS LÄN</t>
        </is>
      </c>
      <c r="G693" t="inlineStr">
        <is>
          <t>NORDANSTIG</t>
        </is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s="2" t="inlineStr"/>
    </row>
    <row r="694" ht="15" customHeight="1">
      <c r="A694" t="inlineStr">
        <is>
          <t>A 34370-2024</t>
        </is>
      </c>
      <c r="B694" t="inlineStr">
        <is>
          <t>avverkningsanmälan</t>
        </is>
      </c>
      <c r="C694" t="inlineStr">
        <is>
          <t>Föryngringsavverkning</t>
        </is>
      </c>
      <c r="D694" s="1" t="n">
        <v>45525</v>
      </c>
      <c r="E694" s="1" t="n">
        <v>46309</v>
      </c>
      <c r="F694" t="inlineStr">
        <is>
          <t>GÄVLEBORGS LÄN</t>
        </is>
      </c>
      <c r="G694" t="inlineStr">
        <is>
          <t>NORDANSTIG</t>
        </is>
      </c>
      <c r="H694" t="inlineStr">
        <is>
          <t>Holmen skog AB</t>
        </is>
      </c>
      <c r="I694" t="n">
        <v>2.8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s="2" t="inlineStr"/>
    </row>
    <row r="695" ht="15" customHeight="1">
      <c r="A695" t="inlineStr">
        <is>
          <t>A 3730-2026</t>
        </is>
      </c>
      <c r="B695" t="inlineStr">
        <is>
          <t>avverkningsanmälan</t>
        </is>
      </c>
      <c r="C695" t="inlineStr">
        <is>
          <t>Föryngringsavverkning</t>
        </is>
      </c>
      <c r="D695" s="1" t="n">
        <v>46043</v>
      </c>
      <c r="E695" s="1" t="n">
        <v>46309</v>
      </c>
      <c r="F695" t="inlineStr">
        <is>
          <t>GÄVLEBORGS LÄN</t>
        </is>
      </c>
      <c r="G695" t="inlineStr">
        <is>
          <t>NORDANSTIG</t>
        </is>
      </c>
      <c r="I695" t="n">
        <v>1.5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s="2" t="inlineStr"/>
    </row>
    <row r="696" ht="15" customHeight="1">
      <c r="A696" t="inlineStr">
        <is>
          <t>A 29401-2025</t>
        </is>
      </c>
      <c r="B696" t="inlineStr">
        <is>
          <t>avverkningsanmälan</t>
        </is>
      </c>
      <c r="C696" t="inlineStr">
        <is>
          <t>Föryngringsavverkning</t>
        </is>
      </c>
      <c r="D696" s="1" t="n">
        <v>45824</v>
      </c>
      <c r="E696" s="1" t="n">
        <v>46309</v>
      </c>
      <c r="F696" t="inlineStr">
        <is>
          <t>GÄVLEBORGS LÄN</t>
        </is>
      </c>
      <c r="G696" t="inlineStr">
        <is>
          <t>NORDANSTIG</t>
        </is>
      </c>
      <c r="H696" t="inlineStr">
        <is>
          <t>Holmen skog AB</t>
        </is>
      </c>
      <c r="I696" t="n">
        <v>1.2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s="2" t="inlineStr"/>
    </row>
    <row r="697" ht="15" customHeight="1">
      <c r="A697" t="inlineStr">
        <is>
          <t>A 64034-2025</t>
        </is>
      </c>
      <c r="B697" t="inlineStr">
        <is>
          <t>avverkningsanmälan</t>
        </is>
      </c>
      <c r="C697" t="inlineStr">
        <is>
          <t>Föryngringsavverkning</t>
        </is>
      </c>
      <c r="D697" s="1" t="n">
        <v>46021</v>
      </c>
      <c r="E697" s="1" t="n">
        <v>46309</v>
      </c>
      <c r="F697" t="inlineStr">
        <is>
          <t>GÄVLEBORGS LÄN</t>
        </is>
      </c>
      <c r="G697" t="inlineStr">
        <is>
          <t>NORDANSTIG</t>
        </is>
      </c>
      <c r="I697" t="n">
        <v>1.7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s="2" t="inlineStr"/>
    </row>
    <row r="698" ht="15" customHeight="1">
      <c r="A698" t="inlineStr">
        <is>
          <t>A 9976-2026</t>
        </is>
      </c>
      <c r="B698" t="inlineStr">
        <is>
          <t>avverkningsanmälan</t>
        </is>
      </c>
      <c r="C698" t="inlineStr">
        <is>
          <t>Föryngringsavverkning</t>
        </is>
      </c>
      <c r="D698" s="1" t="n">
        <v>46073</v>
      </c>
      <c r="E698" s="1" t="n">
        <v>46309</v>
      </c>
      <c r="F698" t="inlineStr">
        <is>
          <t>GÄVLEBORGS LÄN</t>
        </is>
      </c>
      <c r="G698" t="inlineStr">
        <is>
          <t>NORDANSTIG</t>
        </is>
      </c>
      <c r="I698" t="n">
        <v>1.1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s="2" t="inlineStr"/>
    </row>
    <row r="699" ht="15" customHeight="1">
      <c r="A699" t="inlineStr">
        <is>
          <t>A 42796-2024</t>
        </is>
      </c>
      <c r="B699" t="inlineStr">
        <is>
          <t>avverkningsanmälan</t>
        </is>
      </c>
      <c r="C699" t="inlineStr">
        <is>
          <t>Föryngringsavverkning</t>
        </is>
      </c>
      <c r="D699" s="1" t="n">
        <v>45566</v>
      </c>
      <c r="E699" s="1" t="n">
        <v>46309</v>
      </c>
      <c r="F699" t="inlineStr">
        <is>
          <t>GÄVLEBORGS LÄN</t>
        </is>
      </c>
      <c r="G699" t="inlineStr">
        <is>
          <t>NORDANSTIG</t>
        </is>
      </c>
      <c r="I699" t="n">
        <v>4.4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s="2" t="inlineStr"/>
    </row>
    <row r="700" ht="15" customHeight="1">
      <c r="A700" t="inlineStr">
        <is>
          <t>A 49455-2024</t>
        </is>
      </c>
      <c r="B700" t="inlineStr">
        <is>
          <t>avverkningsanmälan</t>
        </is>
      </c>
      <c r="C700" t="inlineStr">
        <is>
          <t>Föryngringsavverkning</t>
        </is>
      </c>
      <c r="D700" s="1" t="n">
        <v>45596</v>
      </c>
      <c r="E700" s="1" t="n">
        <v>46309</v>
      </c>
      <c r="F700" t="inlineStr">
        <is>
          <t>GÄVLEBORGS LÄN</t>
        </is>
      </c>
      <c r="G700" t="inlineStr">
        <is>
          <t>NORDANSTIG</t>
        </is>
      </c>
      <c r="I700" t="n">
        <v>1.8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s="2" t="inlineStr"/>
    </row>
    <row r="701" ht="15" customHeight="1">
      <c r="A701" t="inlineStr">
        <is>
          <t>A 6581-2022</t>
        </is>
      </c>
      <c r="B701" t="inlineStr">
        <is>
          <t>avverkningsanmälan</t>
        </is>
      </c>
      <c r="C701" t="inlineStr">
        <is>
          <t>Föryngringsavverkning</t>
        </is>
      </c>
      <c r="D701" s="1" t="n">
        <v>44601</v>
      </c>
      <c r="E701" s="1" t="n">
        <v>46309</v>
      </c>
      <c r="F701" t="inlineStr">
        <is>
          <t>GÄVLEBORGS LÄN</t>
        </is>
      </c>
      <c r="G701" t="inlineStr">
        <is>
          <t>NORDANSTIG</t>
        </is>
      </c>
      <c r="I701" t="n">
        <v>3.6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s="2" t="inlineStr"/>
    </row>
    <row r="702" ht="15" customHeight="1">
      <c r="A702" t="inlineStr">
        <is>
          <t>A 54713-2024</t>
        </is>
      </c>
      <c r="B702" t="inlineStr">
        <is>
          <t>avverkningsanmälan</t>
        </is>
      </c>
      <c r="C702" t="inlineStr">
        <is>
          <t>Föryngringsavverkning</t>
        </is>
      </c>
      <c r="D702" s="1" t="n">
        <v>45618</v>
      </c>
      <c r="E702" s="1" t="n">
        <v>46309</v>
      </c>
      <c r="F702" t="inlineStr">
        <is>
          <t>GÄVLEBORGS LÄN</t>
        </is>
      </c>
      <c r="G702" t="inlineStr">
        <is>
          <t>NORDANSTIG</t>
        </is>
      </c>
      <c r="H702" t="inlineStr">
        <is>
          <t>Holmen skog AB</t>
        </is>
      </c>
      <c r="I702" t="n">
        <v>5.7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s="2" t="inlineStr"/>
    </row>
    <row r="703" ht="15" customHeight="1">
      <c r="A703" t="inlineStr">
        <is>
          <t>A 4630-2026</t>
        </is>
      </c>
      <c r="B703" t="inlineStr">
        <is>
          <t>avverkningsanmälan</t>
        </is>
      </c>
      <c r="C703" t="inlineStr">
        <is>
          <t>Föryngringsavverkning</t>
        </is>
      </c>
      <c r="D703" s="1" t="n">
        <v>46048</v>
      </c>
      <c r="E703" s="1" t="n">
        <v>46309</v>
      </c>
      <c r="F703" t="inlineStr">
        <is>
          <t>GÄVLEBORGS LÄN</t>
        </is>
      </c>
      <c r="G703" t="inlineStr">
        <is>
          <t>NORDANSTIG</t>
        </is>
      </c>
      <c r="H703" t="inlineStr">
        <is>
          <t>Holmen skog AB</t>
        </is>
      </c>
      <c r="I703" t="n">
        <v>1.9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s="2" t="inlineStr"/>
    </row>
    <row r="704" ht="15" customHeight="1">
      <c r="A704" t="inlineStr">
        <is>
          <t>A 13826-2026</t>
        </is>
      </c>
      <c r="B704" t="inlineStr">
        <is>
          <t>avverkningsanmälan</t>
        </is>
      </c>
      <c r="C704" t="inlineStr">
        <is>
          <t>Föryngringsavverkning</t>
        </is>
      </c>
      <c r="D704" s="1" t="n">
        <v>46098</v>
      </c>
      <c r="E704" s="1" t="n">
        <v>46309</v>
      </c>
      <c r="F704" t="inlineStr">
        <is>
          <t>GÄVLEBORGS LÄN</t>
        </is>
      </c>
      <c r="G704" t="inlineStr">
        <is>
          <t>NORDANSTIG</t>
        </is>
      </c>
      <c r="I704" t="n">
        <v>1.6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s="2" t="inlineStr"/>
    </row>
    <row r="705" ht="15" customHeight="1">
      <c r="A705" t="inlineStr">
        <is>
          <t>A 9373-2026</t>
        </is>
      </c>
      <c r="B705" t="inlineStr">
        <is>
          <t>avverkningsanmälan</t>
        </is>
      </c>
      <c r="C705" t="inlineStr">
        <is>
          <t>Föryngringsavverkning</t>
        </is>
      </c>
      <c r="D705" s="1" t="n">
        <v>46070</v>
      </c>
      <c r="E705" s="1" t="n">
        <v>46309</v>
      </c>
      <c r="F705" t="inlineStr">
        <is>
          <t>GÄVLEBORGS LÄN</t>
        </is>
      </c>
      <c r="G705" t="inlineStr">
        <is>
          <t>NORDANSTIG</t>
        </is>
      </c>
      <c r="I705" t="n">
        <v>0.7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s="2" t="inlineStr"/>
    </row>
    <row r="706" ht="15" customHeight="1">
      <c r="A706" t="inlineStr">
        <is>
          <t>A 62646-2023</t>
        </is>
      </c>
      <c r="B706" t="inlineStr">
        <is>
          <t>avverkningsanmälan</t>
        </is>
      </c>
      <c r="C706" t="inlineStr">
        <is>
          <t>Föryngringsavverkning</t>
        </is>
      </c>
      <c r="D706" s="1" t="n">
        <v>45271</v>
      </c>
      <c r="E706" s="1" t="n">
        <v>46309</v>
      </c>
      <c r="F706" t="inlineStr">
        <is>
          <t>GÄVLEBORGS LÄN</t>
        </is>
      </c>
      <c r="G706" t="inlineStr">
        <is>
          <t>NORDANSTIG</t>
        </is>
      </c>
      <c r="I706" t="n">
        <v>4.1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s="2" t="inlineStr"/>
    </row>
    <row r="707" ht="15" customHeight="1">
      <c r="A707" t="inlineStr">
        <is>
          <t>A 60193-2024</t>
        </is>
      </c>
      <c r="B707" t="inlineStr">
        <is>
          <t>avverkningsanmälan</t>
        </is>
      </c>
      <c r="C707" t="inlineStr">
        <is>
          <t>Föryngringsavverkning</t>
        </is>
      </c>
      <c r="D707" s="1" t="n">
        <v>45642</v>
      </c>
      <c r="E707" s="1" t="n">
        <v>46309</v>
      </c>
      <c r="F707" t="inlineStr">
        <is>
          <t>GÄVLEBORGS LÄN</t>
        </is>
      </c>
      <c r="G707" t="inlineStr">
        <is>
          <t>NORDANSTIG</t>
        </is>
      </c>
      <c r="I707" t="n">
        <v>1.6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s="2" t="inlineStr"/>
    </row>
    <row r="708" ht="15" customHeight="1">
      <c r="A708" t="inlineStr">
        <is>
          <t>A 23417-2023</t>
        </is>
      </c>
      <c r="B708" t="inlineStr">
        <is>
          <t>avverkningsanmälan</t>
        </is>
      </c>
      <c r="C708" t="inlineStr">
        <is>
          <t>Föryngringsavverkning</t>
        </is>
      </c>
      <c r="D708" s="1" t="n">
        <v>45076</v>
      </c>
      <c r="E708" s="1" t="n">
        <v>46309</v>
      </c>
      <c r="F708" t="inlineStr">
        <is>
          <t>GÄVLEBORGS LÄN</t>
        </is>
      </c>
      <c r="G708" t="inlineStr">
        <is>
          <t>NORDANSTIG</t>
        </is>
      </c>
      <c r="I708" t="n">
        <v>1.6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s="2" t="inlineStr"/>
    </row>
    <row r="709" ht="15" customHeight="1">
      <c r="A709" t="inlineStr">
        <is>
          <t>A 7149-2022</t>
        </is>
      </c>
      <c r="B709" t="inlineStr">
        <is>
          <t>avverkningsanmälan</t>
        </is>
      </c>
      <c r="C709" t="inlineStr">
        <is>
          <t>Föryngringsavverkning</t>
        </is>
      </c>
      <c r="D709" s="1" t="n">
        <v>44603</v>
      </c>
      <c r="E709" s="1" t="n">
        <v>46309</v>
      </c>
      <c r="F709" t="inlineStr">
        <is>
          <t>GÄVLEBORGS LÄN</t>
        </is>
      </c>
      <c r="G709" t="inlineStr">
        <is>
          <t>NORDANSTIG</t>
        </is>
      </c>
      <c r="I709" t="n">
        <v>2.2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s="2" t="inlineStr"/>
    </row>
    <row r="710" ht="15" customHeight="1">
      <c r="A710" t="inlineStr">
        <is>
          <t>A 33377-2022</t>
        </is>
      </c>
      <c r="B710" t="inlineStr">
        <is>
          <t>avverkningsanmälan</t>
        </is>
      </c>
      <c r="C710" t="inlineStr">
        <is>
          <t>Föryngringsavverkning</t>
        </is>
      </c>
      <c r="D710" s="1" t="n">
        <v>44788</v>
      </c>
      <c r="E710" s="1" t="n">
        <v>46309</v>
      </c>
      <c r="F710" t="inlineStr">
        <is>
          <t>GÄVLEBORGS LÄN</t>
        </is>
      </c>
      <c r="G710" t="inlineStr">
        <is>
          <t>NORDANSTIG</t>
        </is>
      </c>
      <c r="I710" t="n">
        <v>3.4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s="2" t="inlineStr"/>
    </row>
    <row r="711" ht="15" customHeight="1">
      <c r="A711" t="inlineStr">
        <is>
          <t>A 6409-2026</t>
        </is>
      </c>
      <c r="B711" t="inlineStr">
        <is>
          <t>avverkningsanmälan</t>
        </is>
      </c>
      <c r="C711" t="inlineStr">
        <is>
          <t>Föryngringsavverkning</t>
        </is>
      </c>
      <c r="D711" s="1" t="n">
        <v>46055</v>
      </c>
      <c r="E711" s="1" t="n">
        <v>46309</v>
      </c>
      <c r="F711" t="inlineStr">
        <is>
          <t>GÄVLEBORGS LÄN</t>
        </is>
      </c>
      <c r="G711" t="inlineStr">
        <is>
          <t>NORDANSTIG</t>
        </is>
      </c>
      <c r="I711" t="n">
        <v>2.2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s="2" t="inlineStr"/>
    </row>
    <row r="712" ht="15" customHeight="1">
      <c r="A712" t="inlineStr">
        <is>
          <t>A 9382-2022</t>
        </is>
      </c>
      <c r="B712" t="inlineStr">
        <is>
          <t>avverkningsanmälan</t>
        </is>
      </c>
      <c r="C712" t="inlineStr">
        <is>
          <t>Föryngringsavverkning</t>
        </is>
      </c>
      <c r="D712" s="1" t="n">
        <v>44616</v>
      </c>
      <c r="E712" s="1" t="n">
        <v>46309</v>
      </c>
      <c r="F712" t="inlineStr">
        <is>
          <t>GÄVLEBORGS LÄN</t>
        </is>
      </c>
      <c r="G712" t="inlineStr">
        <is>
          <t>NORDANSTIG</t>
        </is>
      </c>
      <c r="I712" t="n">
        <v>4.2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s="2" t="inlineStr"/>
    </row>
    <row r="713" ht="15" customHeight="1">
      <c r="A713" t="inlineStr">
        <is>
          <t>A 36186-2023</t>
        </is>
      </c>
      <c r="B713" t="inlineStr">
        <is>
          <t>avverkningsanmälan</t>
        </is>
      </c>
      <c r="C713" t="inlineStr">
        <is>
          <t>Föryngringsavverkning</t>
        </is>
      </c>
      <c r="D713" s="1" t="n">
        <v>45149</v>
      </c>
      <c r="E713" s="1" t="n">
        <v>46309</v>
      </c>
      <c r="F713" t="inlineStr">
        <is>
          <t>GÄVLEBORGS LÄN</t>
        </is>
      </c>
      <c r="G713" t="inlineStr">
        <is>
          <t>NORDANSTIG</t>
        </is>
      </c>
      <c r="I713" t="n">
        <v>2.7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s="2" t="inlineStr"/>
    </row>
    <row r="714" ht="15" customHeight="1">
      <c r="A714" t="inlineStr">
        <is>
          <t>A 22784-2025</t>
        </is>
      </c>
      <c r="B714" t="inlineStr">
        <is>
          <t>avverkningsanmälan</t>
        </is>
      </c>
      <c r="C714" t="inlineStr">
        <is>
          <t>Föryngringsavverkning</t>
        </is>
      </c>
      <c r="D714" s="1" t="n">
        <v>45789</v>
      </c>
      <c r="E714" s="1" t="n">
        <v>46309</v>
      </c>
      <c r="F714" t="inlineStr">
        <is>
          <t>GÄVLEBORGS LÄN</t>
        </is>
      </c>
      <c r="G714" t="inlineStr">
        <is>
          <t>NORDANSTIG</t>
        </is>
      </c>
      <c r="H714" t="inlineStr">
        <is>
          <t>Holmen skog AB</t>
        </is>
      </c>
      <c r="I714" t="n">
        <v>55.6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s="2" t="inlineStr"/>
    </row>
    <row r="715" ht="15" customHeight="1">
      <c r="A715" t="inlineStr">
        <is>
          <t>A 1173-2026</t>
        </is>
      </c>
      <c r="B715" t="inlineStr">
        <is>
          <t>avverkningsanmälan</t>
        </is>
      </c>
      <c r="C715" t="inlineStr">
        <is>
          <t>Föryngringsavverkning</t>
        </is>
      </c>
      <c r="D715" s="1" t="n">
        <v>46031</v>
      </c>
      <c r="E715" s="1" t="n">
        <v>46309</v>
      </c>
      <c r="F715" t="inlineStr">
        <is>
          <t>GÄVLEBORGS LÄN</t>
        </is>
      </c>
      <c r="G715" t="inlineStr">
        <is>
          <t>NORDANSTIG</t>
        </is>
      </c>
      <c r="H715" t="inlineStr">
        <is>
          <t>Holmen skog AB</t>
        </is>
      </c>
      <c r="I715" t="n">
        <v>1.6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s="2" t="inlineStr"/>
    </row>
    <row r="716" ht="15" customHeight="1">
      <c r="A716" t="inlineStr">
        <is>
          <t>A 51681-2025</t>
        </is>
      </c>
      <c r="B716" t="inlineStr">
        <is>
          <t>avverkningsanmälan</t>
        </is>
      </c>
      <c r="C716" t="inlineStr">
        <is>
          <t>Föryngringsavverkning</t>
        </is>
      </c>
      <c r="D716" s="1" t="n">
        <v>45951</v>
      </c>
      <c r="E716" s="1" t="n">
        <v>46309</v>
      </c>
      <c r="F716" t="inlineStr">
        <is>
          <t>GÄVLEBORGS LÄN</t>
        </is>
      </c>
      <c r="G716" t="inlineStr">
        <is>
          <t>NORDANSTIG</t>
        </is>
      </c>
      <c r="I716" t="n">
        <v>9.1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s="2" t="inlineStr"/>
    </row>
    <row r="717" ht="15" customHeight="1">
      <c r="A717" t="inlineStr">
        <is>
          <t>A 40738-2023</t>
        </is>
      </c>
      <c r="B717" t="inlineStr">
        <is>
          <t>avverkningsanmälan</t>
        </is>
      </c>
      <c r="C717" t="inlineStr">
        <is>
          <t>Föryngringsavverkning</t>
        </is>
      </c>
      <c r="D717" s="1" t="n">
        <v>45170</v>
      </c>
      <c r="E717" s="1" t="n">
        <v>46309</v>
      </c>
      <c r="F717" t="inlineStr">
        <is>
          <t>GÄVLEBORGS LÄN</t>
        </is>
      </c>
      <c r="G717" t="inlineStr">
        <is>
          <t>NORDANSTIG</t>
        </is>
      </c>
      <c r="H717" t="inlineStr">
        <is>
          <t>Holmen skog AB</t>
        </is>
      </c>
      <c r="I717" t="n">
        <v>9.5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s="2" t="inlineStr"/>
    </row>
    <row r="718" ht="15" customHeight="1">
      <c r="A718" t="inlineStr">
        <is>
          <t>A 62465-2021</t>
        </is>
      </c>
      <c r="B718" t="inlineStr">
        <is>
          <t>avverkningsanmälan</t>
        </is>
      </c>
      <c r="C718" t="inlineStr">
        <is>
          <t>Föryngringsavverkning</t>
        </is>
      </c>
      <c r="D718" s="1" t="n">
        <v>44503</v>
      </c>
      <c r="E718" s="1" t="n">
        <v>46309</v>
      </c>
      <c r="F718" t="inlineStr">
        <is>
          <t>GÄVLEBORGS LÄN</t>
        </is>
      </c>
      <c r="G718" t="inlineStr">
        <is>
          <t>NORDANSTIG</t>
        </is>
      </c>
      <c r="I718" t="n">
        <v>3.1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s="2" t="inlineStr"/>
    </row>
    <row r="719" ht="15" customHeight="1">
      <c r="A719" t="inlineStr">
        <is>
          <t>A 37640-2025</t>
        </is>
      </c>
      <c r="B719" t="inlineStr">
        <is>
          <t>avverkningsanmälan</t>
        </is>
      </c>
      <c r="C719" t="inlineStr">
        <is>
          <t>Föryngringsavverkning</t>
        </is>
      </c>
      <c r="D719" s="1" t="n">
        <v>45880</v>
      </c>
      <c r="E719" s="1" t="n">
        <v>46309</v>
      </c>
      <c r="F719" t="inlineStr">
        <is>
          <t>GÄVLEBORGS LÄN</t>
        </is>
      </c>
      <c r="G719" t="inlineStr">
        <is>
          <t>NORDANSTIG</t>
        </is>
      </c>
      <c r="H719" t="inlineStr">
        <is>
          <t>Holmen skog AB</t>
        </is>
      </c>
      <c r="I719" t="n">
        <v>6.8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s="2" t="inlineStr"/>
    </row>
    <row r="720" ht="15" customHeight="1">
      <c r="A720" t="inlineStr">
        <is>
          <t>A 11582-2026</t>
        </is>
      </c>
      <c r="B720" t="inlineStr">
        <is>
          <t>avverkningsanmälan</t>
        </is>
      </c>
      <c r="C720" t="inlineStr">
        <is>
          <t>Föryngringsavverkning</t>
        </is>
      </c>
      <c r="D720" s="1" t="n">
        <v>46084</v>
      </c>
      <c r="E720" s="1" t="n">
        <v>46309</v>
      </c>
      <c r="F720" t="inlineStr">
        <is>
          <t>GÄVLEBORGS LÄN</t>
        </is>
      </c>
      <c r="G720" t="inlineStr">
        <is>
          <t>NORDANSTIG</t>
        </is>
      </c>
      <c r="I720" t="n">
        <v>3.1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s="2" t="inlineStr"/>
    </row>
    <row r="721" ht="15" customHeight="1">
      <c r="A721" t="inlineStr">
        <is>
          <t>A 21473-2023</t>
        </is>
      </c>
      <c r="B721" t="inlineStr">
        <is>
          <t>avverkningsanmälan</t>
        </is>
      </c>
      <c r="C721" t="inlineStr">
        <is>
          <t>Föryngringsavverkning</t>
        </is>
      </c>
      <c r="D721" s="1" t="n">
        <v>45063</v>
      </c>
      <c r="E721" s="1" t="n">
        <v>46309</v>
      </c>
      <c r="F721" t="inlineStr">
        <is>
          <t>GÄVLEBORGS LÄN</t>
        </is>
      </c>
      <c r="G721" t="inlineStr">
        <is>
          <t>NORDANSTIG</t>
        </is>
      </c>
      <c r="H721" t="inlineStr">
        <is>
          <t>Holmen skog AB</t>
        </is>
      </c>
      <c r="I721" t="n">
        <v>5.7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s="2" t="inlineStr"/>
    </row>
    <row r="722" ht="15" customHeight="1">
      <c r="A722" t="inlineStr">
        <is>
          <t>A 38514-2025</t>
        </is>
      </c>
      <c r="B722" t="inlineStr">
        <is>
          <t>avverkningsanmälan</t>
        </is>
      </c>
      <c r="C722" t="inlineStr">
        <is>
          <t>Föryngringsavverkning</t>
        </is>
      </c>
      <c r="D722" s="1" t="n">
        <v>45884</v>
      </c>
      <c r="E722" s="1" t="n">
        <v>46309</v>
      </c>
      <c r="F722" t="inlineStr">
        <is>
          <t>GÄVLEBORGS LÄN</t>
        </is>
      </c>
      <c r="G722" t="inlineStr">
        <is>
          <t>NORDANSTIG</t>
        </is>
      </c>
      <c r="H722" t="inlineStr">
        <is>
          <t>Holmen skog AB</t>
        </is>
      </c>
      <c r="I722" t="n">
        <v>1.7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s="2" t="inlineStr"/>
    </row>
    <row r="723" ht="15" customHeight="1">
      <c r="A723" t="inlineStr">
        <is>
          <t>A 54705-2024</t>
        </is>
      </c>
      <c r="B723" t="inlineStr">
        <is>
          <t>avverkningsanmälan</t>
        </is>
      </c>
      <c r="C723" t="inlineStr">
        <is>
          <t>Föryngringsavverkning</t>
        </is>
      </c>
      <c r="D723" s="1" t="n">
        <v>45618</v>
      </c>
      <c r="E723" s="1" t="n">
        <v>46309</v>
      </c>
      <c r="F723" t="inlineStr">
        <is>
          <t>GÄVLEBORGS LÄN</t>
        </is>
      </c>
      <c r="G723" t="inlineStr">
        <is>
          <t>NORDANSTIG</t>
        </is>
      </c>
      <c r="I723" t="n">
        <v>2.7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s="2" t="inlineStr"/>
    </row>
    <row r="724" ht="15" customHeight="1">
      <c r="A724" t="inlineStr">
        <is>
          <t>A 21118-2026</t>
        </is>
      </c>
      <c r="B724" t="inlineStr">
        <is>
          <t>avverkningsanmälan</t>
        </is>
      </c>
      <c r="C724" t="inlineStr">
        <is>
          <t>Avverkning för annat ändamål</t>
        </is>
      </c>
      <c r="D724" s="1" t="n">
        <v>46146</v>
      </c>
      <c r="E724" s="1" t="n">
        <v>46309</v>
      </c>
      <c r="F724" t="inlineStr">
        <is>
          <t>GÄVLEBORGS LÄN</t>
        </is>
      </c>
      <c r="G724" t="inlineStr">
        <is>
          <t>NORDANSTIG</t>
        </is>
      </c>
      <c r="I724" t="n">
        <v>0.4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s="2" t="inlineStr"/>
    </row>
    <row r="725" ht="15" customHeight="1">
      <c r="A725" t="inlineStr">
        <is>
          <t>A 6349-2026</t>
        </is>
      </c>
      <c r="B725" t="inlineStr">
        <is>
          <t>avverkningsanmälan</t>
        </is>
      </c>
      <c r="C725" t="inlineStr">
        <is>
          <t>Föryngringsavverkning</t>
        </is>
      </c>
      <c r="D725" s="1" t="n">
        <v>46055</v>
      </c>
      <c r="E725" s="1" t="n">
        <v>46309</v>
      </c>
      <c r="F725" t="inlineStr">
        <is>
          <t>GÄVLEBORGS LÄN</t>
        </is>
      </c>
      <c r="G725" t="inlineStr">
        <is>
          <t>NORDANSTIG</t>
        </is>
      </c>
      <c r="I725" t="n">
        <v>5.4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s="2" t="inlineStr"/>
    </row>
    <row r="726" ht="15" customHeight="1">
      <c r="A726" t="inlineStr">
        <is>
          <t>A 36028-2024</t>
        </is>
      </c>
      <c r="B726" t="inlineStr">
        <is>
          <t>avverkningsanmälan</t>
        </is>
      </c>
      <c r="C726" t="inlineStr">
        <is>
          <t>Föryngringsavverkning</t>
        </is>
      </c>
      <c r="D726" s="1" t="n">
        <v>45533</v>
      </c>
      <c r="E726" s="1" t="n">
        <v>46309</v>
      </c>
      <c r="F726" t="inlineStr">
        <is>
          <t>GÄVLEBORGS LÄN</t>
        </is>
      </c>
      <c r="G726" t="inlineStr">
        <is>
          <t>NORDANSTIG</t>
        </is>
      </c>
      <c r="H726" t="inlineStr">
        <is>
          <t>Holmen skog AB</t>
        </is>
      </c>
      <c r="I726" t="n">
        <v>1.7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s="2" t="inlineStr"/>
    </row>
    <row r="727" ht="15" customHeight="1">
      <c r="A727" t="inlineStr">
        <is>
          <t>A 38332-2024</t>
        </is>
      </c>
      <c r="B727" t="inlineStr">
        <is>
          <t>avverkningsanmälan</t>
        </is>
      </c>
      <c r="C727" t="inlineStr">
        <is>
          <t>Föryngringsavverkning</t>
        </is>
      </c>
      <c r="D727" s="1" t="n">
        <v>45545</v>
      </c>
      <c r="E727" s="1" t="n">
        <v>46309</v>
      </c>
      <c r="F727" t="inlineStr">
        <is>
          <t>GÄVLEBORGS LÄN</t>
        </is>
      </c>
      <c r="G727" t="inlineStr">
        <is>
          <t>NORDANSTIG</t>
        </is>
      </c>
      <c r="I727" t="n">
        <v>11.5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s="2" t="inlineStr"/>
    </row>
    <row r="728" ht="15" customHeight="1">
      <c r="A728" t="inlineStr">
        <is>
          <t>A 38346-2024</t>
        </is>
      </c>
      <c r="B728" t="inlineStr">
        <is>
          <t>avverkningsanmälan</t>
        </is>
      </c>
      <c r="C728" t="inlineStr">
        <is>
          <t>Föryngringsavverkning</t>
        </is>
      </c>
      <c r="D728" s="1" t="n">
        <v>45545</v>
      </c>
      <c r="E728" s="1" t="n">
        <v>46309</v>
      </c>
      <c r="F728" t="inlineStr">
        <is>
          <t>GÄVLEBORGS LÄN</t>
        </is>
      </c>
      <c r="G728" t="inlineStr">
        <is>
          <t>NORDANSTIG</t>
        </is>
      </c>
      <c r="H728" t="inlineStr">
        <is>
          <t>Holmen skog AB</t>
        </is>
      </c>
      <c r="I728" t="n">
        <v>3.4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s="2" t="inlineStr"/>
    </row>
    <row r="729" ht="15" customHeight="1">
      <c r="A729" t="inlineStr">
        <is>
          <t>A 17254-2026</t>
        </is>
      </c>
      <c r="B729" t="inlineStr">
        <is>
          <t>avverkningsanmälan</t>
        </is>
      </c>
      <c r="C729" t="inlineStr">
        <is>
          <t>Föryngringsavverkning</t>
        </is>
      </c>
      <c r="D729" s="1" t="n">
        <v>46119</v>
      </c>
      <c r="E729" s="1" t="n">
        <v>46309</v>
      </c>
      <c r="F729" t="inlineStr">
        <is>
          <t>GÄVLEBORGS LÄN</t>
        </is>
      </c>
      <c r="G729" t="inlineStr">
        <is>
          <t>NORDANSTIG</t>
        </is>
      </c>
      <c r="I729" t="n">
        <v>6.3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s="2" t="inlineStr"/>
    </row>
    <row r="730" ht="15" customHeight="1">
      <c r="A730" t="inlineStr">
        <is>
          <t>A 18322-2024</t>
        </is>
      </c>
      <c r="B730" t="inlineStr">
        <is>
          <t>avverkningsanmälan</t>
        </is>
      </c>
      <c r="C730" t="inlineStr">
        <is>
          <t>Föryngringsavverkning</t>
        </is>
      </c>
      <c r="D730" s="1" t="n">
        <v>45422</v>
      </c>
      <c r="E730" s="1" t="n">
        <v>46309</v>
      </c>
      <c r="F730" t="inlineStr">
        <is>
          <t>GÄVLEBORGS LÄN</t>
        </is>
      </c>
      <c r="G730" t="inlineStr">
        <is>
          <t>NORDANSTIG</t>
        </is>
      </c>
      <c r="H730" t="inlineStr">
        <is>
          <t>Holmen skog AB</t>
        </is>
      </c>
      <c r="I730" t="n">
        <v>3.3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s="2" t="inlineStr"/>
    </row>
    <row r="731" ht="15" customHeight="1">
      <c r="A731" t="inlineStr">
        <is>
          <t>A 924-2026</t>
        </is>
      </c>
      <c r="B731" t="inlineStr">
        <is>
          <t>avverkningsanmälan</t>
        </is>
      </c>
      <c r="C731" t="inlineStr">
        <is>
          <t>Föryngringsavverkning</t>
        </is>
      </c>
      <c r="D731" s="1" t="n">
        <v>46030</v>
      </c>
      <c r="E731" s="1" t="n">
        <v>46309</v>
      </c>
      <c r="F731" t="inlineStr">
        <is>
          <t>GÄVLEBORGS LÄN</t>
        </is>
      </c>
      <c r="G731" t="inlineStr">
        <is>
          <t>NORDANSTIG</t>
        </is>
      </c>
      <c r="I731" t="n">
        <v>1.5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s="2" t="inlineStr"/>
    </row>
    <row r="732" ht="15" customHeight="1">
      <c r="A732" t="inlineStr">
        <is>
          <t>A 2862-2026</t>
        </is>
      </c>
      <c r="B732" t="inlineStr">
        <is>
          <t>avverkningsanmälan</t>
        </is>
      </c>
      <c r="C732" t="inlineStr">
        <is>
          <t>Föryngringsavverkning</t>
        </is>
      </c>
      <c r="D732" s="1" t="n">
        <v>46038</v>
      </c>
      <c r="E732" s="1" t="n">
        <v>46309</v>
      </c>
      <c r="F732" t="inlineStr">
        <is>
          <t>GÄVLEBORGS LÄN</t>
        </is>
      </c>
      <c r="G732" t="inlineStr">
        <is>
          <t>NORDANSTIG</t>
        </is>
      </c>
      <c r="I732" t="n">
        <v>4.4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s="2" t="inlineStr"/>
    </row>
    <row r="733" ht="15" customHeight="1">
      <c r="A733" t="inlineStr">
        <is>
          <t>A 21055-2026</t>
        </is>
      </c>
      <c r="B733" t="inlineStr">
        <is>
          <t>avverkningsanmälan</t>
        </is>
      </c>
      <c r="C733" t="inlineStr">
        <is>
          <t>Föryngringsavverkning</t>
        </is>
      </c>
      <c r="D733" s="1" t="n">
        <v>46146</v>
      </c>
      <c r="E733" s="1" t="n">
        <v>46309</v>
      </c>
      <c r="F733" t="inlineStr">
        <is>
          <t>GÄVLEBORGS LÄN</t>
        </is>
      </c>
      <c r="G733" t="inlineStr">
        <is>
          <t>NORDANSTIG</t>
        </is>
      </c>
      <c r="I733" t="n">
        <v>1.1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s="2" t="inlineStr"/>
    </row>
    <row r="734" ht="15" customHeight="1">
      <c r="A734" t="inlineStr">
        <is>
          <t>A 48636-2024</t>
        </is>
      </c>
      <c r="B734" t="inlineStr">
        <is>
          <t>avverkningsanmälan</t>
        </is>
      </c>
      <c r="C734" t="inlineStr">
        <is>
          <t>Föryngringsavverkning</t>
        </is>
      </c>
      <c r="D734" s="1" t="n">
        <v>45593</v>
      </c>
      <c r="E734" s="1" t="n">
        <v>46309</v>
      </c>
      <c r="F734" t="inlineStr">
        <is>
          <t>GÄVLEBORGS LÄN</t>
        </is>
      </c>
      <c r="G734" t="inlineStr">
        <is>
          <t>NORDANSTIG</t>
        </is>
      </c>
      <c r="I734" t="n">
        <v>3.5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s="2" t="inlineStr"/>
    </row>
    <row r="735" ht="15" customHeight="1">
      <c r="A735" t="inlineStr">
        <is>
          <t>A 1975-2026</t>
        </is>
      </c>
      <c r="B735" t="inlineStr">
        <is>
          <t>avverkningsanmälan</t>
        </is>
      </c>
      <c r="C735" t="inlineStr">
        <is>
          <t>Föryngringsavverkning</t>
        </is>
      </c>
      <c r="D735" s="1" t="n">
        <v>46035</v>
      </c>
      <c r="E735" s="1" t="n">
        <v>46309</v>
      </c>
      <c r="F735" t="inlineStr">
        <is>
          <t>GÄVLEBORGS LÄN</t>
        </is>
      </c>
      <c r="G735" t="inlineStr">
        <is>
          <t>NORDANSTIG</t>
        </is>
      </c>
      <c r="I735" t="n">
        <v>2.5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s="2" t="inlineStr"/>
    </row>
    <row r="736" ht="15" customHeight="1">
      <c r="A736" t="inlineStr">
        <is>
          <t>A 21093-2026</t>
        </is>
      </c>
      <c r="B736" t="inlineStr">
        <is>
          <t>avverkningsanmälan</t>
        </is>
      </c>
      <c r="C736" t="inlineStr">
        <is>
          <t>Föryngringsavverkning</t>
        </is>
      </c>
      <c r="D736" s="1" t="n">
        <v>46146</v>
      </c>
      <c r="E736" s="1" t="n">
        <v>46309</v>
      </c>
      <c r="F736" t="inlineStr">
        <is>
          <t>GÄVLEBORGS LÄN</t>
        </is>
      </c>
      <c r="G736" t="inlineStr">
        <is>
          <t>NORDANSTIG</t>
        </is>
      </c>
      <c r="I736" t="n">
        <v>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s="2" t="inlineStr"/>
    </row>
    <row r="737" ht="15" customHeight="1">
      <c r="A737" t="inlineStr">
        <is>
          <t>A 21060-2026</t>
        </is>
      </c>
      <c r="B737" t="inlineStr">
        <is>
          <t>avverkningsanmälan</t>
        </is>
      </c>
      <c r="C737" t="inlineStr">
        <is>
          <t>Föryngringsavverkning</t>
        </is>
      </c>
      <c r="D737" s="1" t="n">
        <v>46146</v>
      </c>
      <c r="E737" s="1" t="n">
        <v>46309</v>
      </c>
      <c r="F737" t="inlineStr">
        <is>
          <t>GÄVLEBORGS LÄN</t>
        </is>
      </c>
      <c r="G737" t="inlineStr">
        <is>
          <t>NORDANSTIG</t>
        </is>
      </c>
      <c r="I737" t="n">
        <v>2.7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s="2" t="inlineStr"/>
    </row>
    <row r="738" ht="15" customHeight="1">
      <c r="A738" t="inlineStr">
        <is>
          <t>A 37031-2024</t>
        </is>
      </c>
      <c r="B738" t="inlineStr">
        <is>
          <t>avverkningsanmälan</t>
        </is>
      </c>
      <c r="C738" t="inlineStr">
        <is>
          <t>Föryngringsavverkning</t>
        </is>
      </c>
      <c r="D738" s="1" t="n">
        <v>45539</v>
      </c>
      <c r="E738" s="1" t="n">
        <v>46309</v>
      </c>
      <c r="F738" t="inlineStr">
        <is>
          <t>GÄVLEBORGS LÄN</t>
        </is>
      </c>
      <c r="G738" t="inlineStr">
        <is>
          <t>NORDANSTIG</t>
        </is>
      </c>
      <c r="I738" t="n">
        <v>1.6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s="2" t="inlineStr"/>
    </row>
    <row r="739" ht="15" customHeight="1">
      <c r="A739" t="inlineStr">
        <is>
          <t>A 44500-2024</t>
        </is>
      </c>
      <c r="B739" t="inlineStr">
        <is>
          <t>avverkningsanmälan</t>
        </is>
      </c>
      <c r="C739" t="inlineStr">
        <is>
          <t>Föryngringsavverkning</t>
        </is>
      </c>
      <c r="D739" s="1" t="n">
        <v>45574</v>
      </c>
      <c r="E739" s="1" t="n">
        <v>46309</v>
      </c>
      <c r="F739" t="inlineStr">
        <is>
          <t>GÄVLEBORGS LÄN</t>
        </is>
      </c>
      <c r="G739" t="inlineStr">
        <is>
          <t>NORDANSTIG</t>
        </is>
      </c>
      <c r="I739" t="n">
        <v>2.2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s="2" t="inlineStr"/>
    </row>
    <row r="740" ht="15" customHeight="1">
      <c r="A740" t="inlineStr">
        <is>
          <t>A 54685-2024</t>
        </is>
      </c>
      <c r="B740" t="inlineStr">
        <is>
          <t>avverkningsanmälan</t>
        </is>
      </c>
      <c r="C740" t="inlineStr">
        <is>
          <t>Föryngringsavverkning</t>
        </is>
      </c>
      <c r="D740" s="1" t="n">
        <v>45618</v>
      </c>
      <c r="E740" s="1" t="n">
        <v>46309</v>
      </c>
      <c r="F740" t="inlineStr">
        <is>
          <t>GÄVLEBORGS LÄN</t>
        </is>
      </c>
      <c r="G740" t="inlineStr">
        <is>
          <t>NORDANSTIG</t>
        </is>
      </c>
      <c r="H740" t="inlineStr">
        <is>
          <t>Holmen skog AB</t>
        </is>
      </c>
      <c r="I740" t="n">
        <v>1.8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s="2" t="inlineStr"/>
    </row>
    <row r="741" ht="15" customHeight="1">
      <c r="A741" t="inlineStr">
        <is>
          <t>A 21648-2026</t>
        </is>
      </c>
      <c r="B741" t="inlineStr">
        <is>
          <t>avverkningsanmälan</t>
        </is>
      </c>
      <c r="C741" t="inlineStr">
        <is>
          <t>Föryngringsavverkning</t>
        </is>
      </c>
      <c r="D741" s="1" t="n">
        <v>46149</v>
      </c>
      <c r="E741" s="1" t="n">
        <v>46309</v>
      </c>
      <c r="F741" t="inlineStr">
        <is>
          <t>GÄVLEBORGS LÄN</t>
        </is>
      </c>
      <c r="G741" t="inlineStr">
        <is>
          <t>NORDANSTIG</t>
        </is>
      </c>
      <c r="I741" t="n">
        <v>4.6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s="2" t="inlineStr"/>
    </row>
    <row r="742" ht="15" customHeight="1">
      <c r="A742" t="inlineStr">
        <is>
          <t>A 21661-2026</t>
        </is>
      </c>
      <c r="B742" t="inlineStr">
        <is>
          <t>avverkningsanmälan</t>
        </is>
      </c>
      <c r="C742" t="inlineStr">
        <is>
          <t>Föryngringsavverkning</t>
        </is>
      </c>
      <c r="D742" s="1" t="n">
        <v>46149</v>
      </c>
      <c r="E742" s="1" t="n">
        <v>46309</v>
      </c>
      <c r="F742" t="inlineStr">
        <is>
          <t>GÄVLEBORGS LÄN</t>
        </is>
      </c>
      <c r="G742" t="inlineStr">
        <is>
          <t>NORDANSTIG</t>
        </is>
      </c>
      <c r="I742" t="n">
        <v>10.7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s="2" t="inlineStr"/>
    </row>
    <row r="743" ht="15" customHeight="1">
      <c r="A743" t="inlineStr">
        <is>
          <t>A 44009-2023</t>
        </is>
      </c>
      <c r="B743" t="inlineStr">
        <is>
          <t>avverkningsanmälan</t>
        </is>
      </c>
      <c r="C743" t="inlineStr">
        <is>
          <t>Föryngringsavverkning</t>
        </is>
      </c>
      <c r="D743" s="1" t="n">
        <v>45188</v>
      </c>
      <c r="E743" s="1" t="n">
        <v>46309</v>
      </c>
      <c r="F743" t="inlineStr">
        <is>
          <t>GÄVLEBORGS LÄN</t>
        </is>
      </c>
      <c r="G743" t="inlineStr">
        <is>
          <t>NORDANSTIG</t>
        </is>
      </c>
      <c r="H743" t="inlineStr">
        <is>
          <t>Holmen skog AB</t>
        </is>
      </c>
      <c r="I743" t="n">
        <v>4.1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s="2" t="inlineStr"/>
    </row>
    <row r="744" ht="15" customHeight="1">
      <c r="A744" t="inlineStr">
        <is>
          <t>A 1829-2026</t>
        </is>
      </c>
      <c r="B744" t="inlineStr">
        <is>
          <t>avverkningsanmälan</t>
        </is>
      </c>
      <c r="C744" t="inlineStr">
        <is>
          <t>Föryngringsavverkning</t>
        </is>
      </c>
      <c r="D744" s="1" t="n">
        <v>46035</v>
      </c>
      <c r="E744" s="1" t="n">
        <v>46309</v>
      </c>
      <c r="F744" t="inlineStr">
        <is>
          <t>GÄVLEBORGS LÄN</t>
        </is>
      </c>
      <c r="G744" t="inlineStr">
        <is>
          <t>NORDANSTIG</t>
        </is>
      </c>
      <c r="I744" t="n">
        <v>15.6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s="2" t="inlineStr"/>
    </row>
    <row r="745" ht="15" customHeight="1">
      <c r="A745" t="inlineStr">
        <is>
          <t>A 73389-2021</t>
        </is>
      </c>
      <c r="B745" t="inlineStr">
        <is>
          <t>avverkningsanmälan</t>
        </is>
      </c>
      <c r="C745" t="inlineStr">
        <is>
          <t>Föryngringsavverkning</t>
        </is>
      </c>
      <c r="D745" s="1" t="n">
        <v>44551</v>
      </c>
      <c r="E745" s="1" t="n">
        <v>46309</v>
      </c>
      <c r="F745" t="inlineStr">
        <is>
          <t>GÄVLEBORGS LÄN</t>
        </is>
      </c>
      <c r="G745" t="inlineStr">
        <is>
          <t>NORDANSTIG</t>
        </is>
      </c>
      <c r="I745" t="n">
        <v>4.2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s="2" t="inlineStr"/>
    </row>
    <row r="746" ht="15" customHeight="1">
      <c r="A746" t="inlineStr">
        <is>
          <t>A 12858-2025</t>
        </is>
      </c>
      <c r="B746" t="inlineStr">
        <is>
          <t>avverkningsanmälan</t>
        </is>
      </c>
      <c r="C746" t="inlineStr">
        <is>
          <t>Föryngringsavverkning</t>
        </is>
      </c>
      <c r="D746" s="1" t="n">
        <v>45733</v>
      </c>
      <c r="E746" s="1" t="n">
        <v>46309</v>
      </c>
      <c r="F746" t="inlineStr">
        <is>
          <t>GÄVLEBORGS LÄN</t>
        </is>
      </c>
      <c r="G746" t="inlineStr">
        <is>
          <t>NORDANSTIG</t>
        </is>
      </c>
      <c r="H746" t="inlineStr">
        <is>
          <t>Holmen skog AB</t>
        </is>
      </c>
      <c r="I746" t="n">
        <v>5.4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s="2" t="inlineStr"/>
    </row>
    <row r="747" ht="15" customHeight="1">
      <c r="A747" t="inlineStr">
        <is>
          <t>A 18691-2026</t>
        </is>
      </c>
      <c r="B747" t="inlineStr">
        <is>
          <t>avverkningsanmälan</t>
        </is>
      </c>
      <c r="C747" t="inlineStr">
        <is>
          <t>Föryngringsavverkning</t>
        </is>
      </c>
      <c r="D747" s="1" t="n">
        <v>46128</v>
      </c>
      <c r="E747" s="1" t="n">
        <v>46309</v>
      </c>
      <c r="F747" t="inlineStr">
        <is>
          <t>GÄVLEBORGS LÄN</t>
        </is>
      </c>
      <c r="G747" t="inlineStr">
        <is>
          <t>NORDANSTIG</t>
        </is>
      </c>
      <c r="I747" t="n">
        <v>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s="2" t="inlineStr"/>
    </row>
    <row r="748" ht="15" customHeight="1">
      <c r="A748" t="inlineStr">
        <is>
          <t>A 5981-2026</t>
        </is>
      </c>
      <c r="B748" t="inlineStr">
        <is>
          <t>avverkningsanmälan</t>
        </is>
      </c>
      <c r="C748" t="inlineStr">
        <is>
          <t>Avverkning för annat ändamål</t>
        </is>
      </c>
      <c r="D748" s="1" t="n">
        <v>46052</v>
      </c>
      <c r="E748" s="1" t="n">
        <v>46309</v>
      </c>
      <c r="F748" t="inlineStr">
        <is>
          <t>GÄVLEBORGS LÄN</t>
        </is>
      </c>
      <c r="G748" t="inlineStr">
        <is>
          <t>NORDANSTIG</t>
        </is>
      </c>
      <c r="I748" t="n">
        <v>2.4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s="2" t="inlineStr"/>
    </row>
    <row r="749" ht="15" customHeight="1">
      <c r="A749" t="inlineStr">
        <is>
          <t>A 226-2026</t>
        </is>
      </c>
      <c r="B749" t="inlineStr">
        <is>
          <t>avverkningsanmälan</t>
        </is>
      </c>
      <c r="C749" t="inlineStr">
        <is>
          <t>Föryngringsavverkning</t>
        </is>
      </c>
      <c r="D749" s="1" t="n">
        <v>46026</v>
      </c>
      <c r="E749" s="1" t="n">
        <v>46309</v>
      </c>
      <c r="F749" t="inlineStr">
        <is>
          <t>GÄVLEBORGS LÄN</t>
        </is>
      </c>
      <c r="G749" t="inlineStr">
        <is>
          <t>NORDANSTIG</t>
        </is>
      </c>
      <c r="I749" t="n">
        <v>1.5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s="2" t="inlineStr"/>
    </row>
    <row r="750" ht="15" customHeight="1">
      <c r="A750" t="inlineStr">
        <is>
          <t>A 5892-2022</t>
        </is>
      </c>
      <c r="B750" t="inlineStr">
        <is>
          <t>avverkningsanmälan</t>
        </is>
      </c>
      <c r="C750" t="inlineStr">
        <is>
          <t>Föryngringsavverkning</t>
        </is>
      </c>
      <c r="D750" s="1" t="n">
        <v>44596</v>
      </c>
      <c r="E750" s="1" t="n">
        <v>46309</v>
      </c>
      <c r="F750" t="inlineStr">
        <is>
          <t>GÄVLEBORGS LÄN</t>
        </is>
      </c>
      <c r="G750" t="inlineStr">
        <is>
          <t>NORDANSTIG</t>
        </is>
      </c>
      <c r="I750" t="n">
        <v>2.3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s="2" t="inlineStr"/>
    </row>
    <row r="751" ht="15" customHeight="1">
      <c r="A751" t="inlineStr">
        <is>
          <t>A 10042-2025</t>
        </is>
      </c>
      <c r="B751" t="inlineStr">
        <is>
          <t>avverkningsanmälan</t>
        </is>
      </c>
      <c r="C751" t="inlineStr">
        <is>
          <t>Föryngringsavverkning</t>
        </is>
      </c>
      <c r="D751" s="1" t="n">
        <v>45719</v>
      </c>
      <c r="E751" s="1" t="n">
        <v>46309</v>
      </c>
      <c r="F751" t="inlineStr">
        <is>
          <t>GÄVLEBORGS LÄN</t>
        </is>
      </c>
      <c r="G751" t="inlineStr">
        <is>
          <t>NORDANSTIG</t>
        </is>
      </c>
      <c r="H751" t="inlineStr">
        <is>
          <t>Holmen skog AB</t>
        </is>
      </c>
      <c r="I751" t="n">
        <v>6.6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s="2" t="inlineStr"/>
    </row>
    <row r="752" ht="15" customHeight="1">
      <c r="A752" t="inlineStr">
        <is>
          <t>A 57863-2024</t>
        </is>
      </c>
      <c r="B752" t="inlineStr">
        <is>
          <t>avverkningsanmälan</t>
        </is>
      </c>
      <c r="C752" t="inlineStr">
        <is>
          <t>Föryngringsavverkning</t>
        </is>
      </c>
      <c r="D752" s="1" t="n">
        <v>45631</v>
      </c>
      <c r="E752" s="1" t="n">
        <v>46309</v>
      </c>
      <c r="F752" t="inlineStr">
        <is>
          <t>GÄVLEBORGS LÄN</t>
        </is>
      </c>
      <c r="G752" t="inlineStr">
        <is>
          <t>NORDANSTIG</t>
        </is>
      </c>
      <c r="I752" t="n">
        <v>2.1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s="2" t="inlineStr"/>
    </row>
    <row r="753" ht="15" customHeight="1">
      <c r="A753" t="inlineStr">
        <is>
          <t>A 57866-2024</t>
        </is>
      </c>
      <c r="B753" t="inlineStr">
        <is>
          <t>avverkningsanmälan</t>
        </is>
      </c>
      <c r="C753" t="inlineStr">
        <is>
          <t>Föryngringsavverkning</t>
        </is>
      </c>
      <c r="D753" s="1" t="n">
        <v>45631</v>
      </c>
      <c r="E753" s="1" t="n">
        <v>46309</v>
      </c>
      <c r="F753" t="inlineStr">
        <is>
          <t>GÄVLEBORGS LÄN</t>
        </is>
      </c>
      <c r="G753" t="inlineStr">
        <is>
          <t>NORDANSTIG</t>
        </is>
      </c>
      <c r="I753" t="n">
        <v>2.7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s="2" t="inlineStr"/>
    </row>
    <row r="754" ht="15" customHeight="1">
      <c r="A754" t="inlineStr">
        <is>
          <t>A 41616-2023</t>
        </is>
      </c>
      <c r="B754" t="inlineStr">
        <is>
          <t>avverkningsanmälan</t>
        </is>
      </c>
      <c r="C754" t="inlineStr">
        <is>
          <t>Föryngringsavverkning</t>
        </is>
      </c>
      <c r="D754" s="1" t="n">
        <v>45175</v>
      </c>
      <c r="E754" s="1" t="n">
        <v>46309</v>
      </c>
      <c r="F754" t="inlineStr">
        <is>
          <t>GÄVLEBORGS LÄN</t>
        </is>
      </c>
      <c r="G754" t="inlineStr">
        <is>
          <t>NORDANSTIG</t>
        </is>
      </c>
      <c r="I754" t="n">
        <v>0.4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s="2" t="inlineStr"/>
    </row>
    <row r="755" ht="15" customHeight="1">
      <c r="A755" t="inlineStr">
        <is>
          <t>A 41074-2023</t>
        </is>
      </c>
      <c r="B755" t="inlineStr">
        <is>
          <t>avverkningsanmälan</t>
        </is>
      </c>
      <c r="C755" t="inlineStr">
        <is>
          <t>Föryngringsavverkning</t>
        </is>
      </c>
      <c r="D755" s="1" t="n">
        <v>45173</v>
      </c>
      <c r="E755" s="1" t="n">
        <v>46309</v>
      </c>
      <c r="F755" t="inlineStr">
        <is>
          <t>GÄVLEBORGS LÄN</t>
        </is>
      </c>
      <c r="G755" t="inlineStr">
        <is>
          <t>NORDANSTIG</t>
        </is>
      </c>
      <c r="I755" t="n">
        <v>1.3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s="2" t="inlineStr"/>
    </row>
    <row r="756" ht="15" customHeight="1">
      <c r="A756" t="inlineStr">
        <is>
          <t>A 40613-2023</t>
        </is>
      </c>
      <c r="B756" t="inlineStr">
        <is>
          <t>avverkningsanmälan</t>
        </is>
      </c>
      <c r="C756" t="inlineStr">
        <is>
          <t>Föryngringsavverkning</t>
        </is>
      </c>
      <c r="D756" s="1" t="n">
        <v>45170</v>
      </c>
      <c r="E756" s="1" t="n">
        <v>46309</v>
      </c>
      <c r="F756" t="inlineStr">
        <is>
          <t>GÄVLEBORGS LÄN</t>
        </is>
      </c>
      <c r="G756" t="inlineStr">
        <is>
          <t>NORDANSTIG</t>
        </is>
      </c>
      <c r="H756" t="inlineStr">
        <is>
          <t>Holmen skog AB</t>
        </is>
      </c>
      <c r="I756" t="n">
        <v>1.4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s="2" t="inlineStr"/>
    </row>
    <row r="757" ht="15" customHeight="1">
      <c r="A757" t="inlineStr">
        <is>
          <t>A 56733-2024</t>
        </is>
      </c>
      <c r="B757" t="inlineStr">
        <is>
          <t>avverkningsanmälan</t>
        </is>
      </c>
      <c r="C757" t="inlineStr">
        <is>
          <t>Föryngringsavverkning</t>
        </is>
      </c>
      <c r="D757" s="1" t="n">
        <v>45628</v>
      </c>
      <c r="E757" s="1" t="n">
        <v>46309</v>
      </c>
      <c r="F757" t="inlineStr">
        <is>
          <t>GÄVLEBORGS LÄN</t>
        </is>
      </c>
      <c r="G757" t="inlineStr">
        <is>
          <t>NORDANSTIG</t>
        </is>
      </c>
      <c r="H757" t="inlineStr">
        <is>
          <t>Holmen skog AB</t>
        </is>
      </c>
      <c r="I757" t="n">
        <v>2.2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s="2" t="inlineStr"/>
    </row>
    <row r="758" ht="15" customHeight="1">
      <c r="A758" t="inlineStr">
        <is>
          <t>A 3401-2026</t>
        </is>
      </c>
      <c r="B758" t="inlineStr">
        <is>
          <t>avverkningsanmälan</t>
        </is>
      </c>
      <c r="C758" t="inlineStr">
        <is>
          <t>Föryngringsavverkning</t>
        </is>
      </c>
      <c r="D758" s="1" t="n">
        <v>46042</v>
      </c>
      <c r="E758" s="1" t="n">
        <v>46309</v>
      </c>
      <c r="F758" t="inlineStr">
        <is>
          <t>GÄVLEBORGS LÄN</t>
        </is>
      </c>
      <c r="G758" t="inlineStr">
        <is>
          <t>NORDANSTIG</t>
        </is>
      </c>
      <c r="I758" t="n">
        <v>4.9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s="2" t="inlineStr"/>
    </row>
    <row r="759" ht="15" customHeight="1">
      <c r="A759" t="inlineStr">
        <is>
          <t>A 13270-2022</t>
        </is>
      </c>
      <c r="B759" t="inlineStr">
        <is>
          <t>avverkningsanmälan</t>
        </is>
      </c>
      <c r="C759" t="inlineStr">
        <is>
          <t>Föryngringsavverkning</t>
        </is>
      </c>
      <c r="D759" s="1" t="n">
        <v>44644</v>
      </c>
      <c r="E759" s="1" t="n">
        <v>46309</v>
      </c>
      <c r="F759" t="inlineStr">
        <is>
          <t>GÄVLEBORGS LÄN</t>
        </is>
      </c>
      <c r="G759" t="inlineStr">
        <is>
          <t>NORDANSTIG</t>
        </is>
      </c>
      <c r="I759" t="n">
        <v>9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s="2" t="inlineStr"/>
    </row>
    <row r="760" ht="15" customHeight="1">
      <c r="A760" t="inlineStr">
        <is>
          <t>A 57977-2024</t>
        </is>
      </c>
      <c r="B760" t="inlineStr">
        <is>
          <t>avverkningsanmälan</t>
        </is>
      </c>
      <c r="C760" t="inlineStr">
        <is>
          <t>Föryngringsavverkning</t>
        </is>
      </c>
      <c r="D760" s="1" t="n">
        <v>45631</v>
      </c>
      <c r="E760" s="1" t="n">
        <v>46309</v>
      </c>
      <c r="F760" t="inlineStr">
        <is>
          <t>GÄVLEBORGS LÄN</t>
        </is>
      </c>
      <c r="G760" t="inlineStr">
        <is>
          <t>NORDANSTIG</t>
        </is>
      </c>
      <c r="H760" t="inlineStr">
        <is>
          <t>Holmen skog AB</t>
        </is>
      </c>
      <c r="I760" t="n">
        <v>1.8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s="2" t="inlineStr"/>
    </row>
    <row r="761" ht="15" customHeight="1">
      <c r="A761" t="inlineStr">
        <is>
          <t>A 17283-2026</t>
        </is>
      </c>
      <c r="B761" t="inlineStr">
        <is>
          <t>avverkningsanmälan</t>
        </is>
      </c>
      <c r="C761" t="inlineStr">
        <is>
          <t>Föryngringsavverkning</t>
        </is>
      </c>
      <c r="D761" s="1" t="n">
        <v>46119</v>
      </c>
      <c r="E761" s="1" t="n">
        <v>46309</v>
      </c>
      <c r="F761" t="inlineStr">
        <is>
          <t>GÄVLEBORGS LÄN</t>
        </is>
      </c>
      <c r="G761" t="inlineStr">
        <is>
          <t>NORDANSTIG</t>
        </is>
      </c>
      <c r="I761" t="n">
        <v>3.3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s="2" t="inlineStr"/>
    </row>
    <row r="762" ht="15" customHeight="1">
      <c r="A762" t="inlineStr">
        <is>
          <t>A 51560-2023</t>
        </is>
      </c>
      <c r="B762" t="inlineStr">
        <is>
          <t>avverkningsanmälan</t>
        </is>
      </c>
      <c r="C762" t="inlineStr">
        <is>
          <t>Föryngringsavverkning</t>
        </is>
      </c>
      <c r="D762" s="1" t="n">
        <v>45222</v>
      </c>
      <c r="E762" s="1" t="n">
        <v>46309</v>
      </c>
      <c r="F762" t="inlineStr">
        <is>
          <t>GÄVLEBORGS LÄN</t>
        </is>
      </c>
      <c r="G762" t="inlineStr">
        <is>
          <t>NORDANSTIG</t>
        </is>
      </c>
      <c r="I762" t="n">
        <v>26.9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s="2" t="inlineStr"/>
    </row>
    <row r="763" ht="15" customHeight="1">
      <c r="A763" t="inlineStr">
        <is>
          <t>A 2141-2024</t>
        </is>
      </c>
      <c r="B763" t="inlineStr">
        <is>
          <t>avverkningsanmälan</t>
        </is>
      </c>
      <c r="C763" t="inlineStr">
        <is>
          <t>Föryngringsavverkning</t>
        </is>
      </c>
      <c r="D763" s="1" t="n">
        <v>45309</v>
      </c>
      <c r="E763" s="1" t="n">
        <v>46309</v>
      </c>
      <c r="F763" t="inlineStr">
        <is>
          <t>GÄVLEBORGS LÄN</t>
        </is>
      </c>
      <c r="G763" t="inlineStr">
        <is>
          <t>NORDANSTIG</t>
        </is>
      </c>
      <c r="I763" t="n">
        <v>0.7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s="2" t="inlineStr"/>
    </row>
    <row r="764" ht="15" customHeight="1">
      <c r="A764" t="inlineStr">
        <is>
          <t>A 60285-2024</t>
        </is>
      </c>
      <c r="B764" t="inlineStr">
        <is>
          <t>avverkningsanmälan</t>
        </is>
      </c>
      <c r="C764" t="inlineStr">
        <is>
          <t>Föryngringsavverkning</t>
        </is>
      </c>
      <c r="D764" s="1" t="n">
        <v>45642</v>
      </c>
      <c r="E764" s="1" t="n">
        <v>46309</v>
      </c>
      <c r="F764" t="inlineStr">
        <is>
          <t>GÄVLEBORGS LÄN</t>
        </is>
      </c>
      <c r="G764" t="inlineStr">
        <is>
          <t>NORDANSTIG</t>
        </is>
      </c>
      <c r="I764" t="n">
        <v>1.3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s="2" t="inlineStr"/>
    </row>
    <row r="765" ht="15" customHeight="1">
      <c r="A765" t="inlineStr">
        <is>
          <t>A 7012-2025</t>
        </is>
      </c>
      <c r="B765" t="inlineStr">
        <is>
          <t>avverkningsanmälan</t>
        </is>
      </c>
      <c r="C765" t="inlineStr">
        <is>
          <t>Föryngringsavverkning</t>
        </is>
      </c>
      <c r="D765" s="1" t="n">
        <v>45701</v>
      </c>
      <c r="E765" s="1" t="n">
        <v>46309</v>
      </c>
      <c r="F765" t="inlineStr">
        <is>
          <t>GÄVLEBORGS LÄN</t>
        </is>
      </c>
      <c r="G765" t="inlineStr">
        <is>
          <t>NORDANSTIG</t>
        </is>
      </c>
      <c r="H765" t="inlineStr">
        <is>
          <t>Holmen skog AB</t>
        </is>
      </c>
      <c r="I765" t="n">
        <v>6.9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s="2" t="inlineStr"/>
    </row>
    <row r="766" ht="15" customHeight="1">
      <c r="A766" t="inlineStr">
        <is>
          <t>A 22621-2026</t>
        </is>
      </c>
      <c r="B766" t="inlineStr">
        <is>
          <t>avverkningsanmälan</t>
        </is>
      </c>
      <c r="C766" t="inlineStr">
        <is>
          <t>Föryngringsavverkning</t>
        </is>
      </c>
      <c r="D766" s="1" t="n">
        <v>46155</v>
      </c>
      <c r="E766" s="1" t="n">
        <v>46309</v>
      </c>
      <c r="F766" t="inlineStr">
        <is>
          <t>GÄVLEBORGS LÄN</t>
        </is>
      </c>
      <c r="G766" t="inlineStr">
        <is>
          <t>NORDANSTIG</t>
        </is>
      </c>
      <c r="H766" t="inlineStr">
        <is>
          <t>Holmen skog AB</t>
        </is>
      </c>
      <c r="I766" t="n">
        <v>1.6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s="2" t="inlineStr"/>
    </row>
    <row r="767" ht="15" customHeight="1">
      <c r="A767" t="inlineStr">
        <is>
          <t>A 55477-2024</t>
        </is>
      </c>
      <c r="B767" t="inlineStr">
        <is>
          <t>avverkningsanmälan</t>
        </is>
      </c>
      <c r="C767" t="inlineStr">
        <is>
          <t>Föryngringsavverkning</t>
        </is>
      </c>
      <c r="D767" s="1" t="n">
        <v>45622</v>
      </c>
      <c r="E767" s="1" t="n">
        <v>46309</v>
      </c>
      <c r="F767" t="inlineStr">
        <is>
          <t>GÄVLEBORGS LÄN</t>
        </is>
      </c>
      <c r="G767" t="inlineStr">
        <is>
          <t>NORDANSTIG</t>
        </is>
      </c>
      <c r="H767" t="inlineStr">
        <is>
          <t>Holmen skog AB</t>
        </is>
      </c>
      <c r="I767" t="n">
        <v>3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s="2" t="inlineStr"/>
    </row>
    <row r="768" ht="15" customHeight="1">
      <c r="A768" t="inlineStr">
        <is>
          <t>A 4445-2025</t>
        </is>
      </c>
      <c r="B768" t="inlineStr">
        <is>
          <t>avverkningsanmälan</t>
        </is>
      </c>
      <c r="C768" t="inlineStr">
        <is>
          <t>Föryngringsavverkning</t>
        </is>
      </c>
      <c r="D768" s="1" t="n">
        <v>45686</v>
      </c>
      <c r="E768" s="1" t="n">
        <v>46309</v>
      </c>
      <c r="F768" t="inlineStr">
        <is>
          <t>GÄVLEBORGS LÄN</t>
        </is>
      </c>
      <c r="G768" t="inlineStr">
        <is>
          <t>NORDANSTIG</t>
        </is>
      </c>
      <c r="H768" t="inlineStr">
        <is>
          <t>Holmen skog AB</t>
        </is>
      </c>
      <c r="I768" t="n">
        <v>13.4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s="2" t="inlineStr"/>
    </row>
    <row r="769" ht="15" customHeight="1">
      <c r="A769" t="inlineStr">
        <is>
          <t>A 31002-2024</t>
        </is>
      </c>
      <c r="B769" t="inlineStr">
        <is>
          <t>avverkningsanmälan</t>
        </is>
      </c>
      <c r="C769" t="inlineStr">
        <is>
          <t>Föryngringsavverkning</t>
        </is>
      </c>
      <c r="D769" s="1" t="n">
        <v>45499</v>
      </c>
      <c r="E769" s="1" t="n">
        <v>46309</v>
      </c>
      <c r="F769" t="inlineStr">
        <is>
          <t>GÄVLEBORGS LÄN</t>
        </is>
      </c>
      <c r="G769" t="inlineStr">
        <is>
          <t>NORDANSTIG</t>
        </is>
      </c>
      <c r="I769" t="n">
        <v>1.1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s="2" t="inlineStr"/>
    </row>
    <row r="770" ht="15" customHeight="1">
      <c r="A770" t="inlineStr">
        <is>
          <t>A 60675-2024</t>
        </is>
      </c>
      <c r="B770" t="inlineStr">
        <is>
          <t>avverkningsanmälan</t>
        </is>
      </c>
      <c r="C770" t="inlineStr">
        <is>
          <t>Föryngringsavverkning</t>
        </is>
      </c>
      <c r="D770" s="1" t="n">
        <v>45644</v>
      </c>
      <c r="E770" s="1" t="n">
        <v>46309</v>
      </c>
      <c r="F770" t="inlineStr">
        <is>
          <t>GÄVLEBORGS LÄN</t>
        </is>
      </c>
      <c r="G770" t="inlineStr">
        <is>
          <t>NORDANSTIG</t>
        </is>
      </c>
      <c r="H770" t="inlineStr">
        <is>
          <t>Holmen skog AB</t>
        </is>
      </c>
      <c r="I770" t="n">
        <v>4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s="2" t="inlineStr"/>
    </row>
    <row r="771" ht="15" customHeight="1">
      <c r="A771" t="inlineStr">
        <is>
          <t>A 22607-2026</t>
        </is>
      </c>
      <c r="B771" t="inlineStr">
        <is>
          <t>avverkningsanmälan</t>
        </is>
      </c>
      <c r="C771" t="inlineStr">
        <is>
          <t>Föryngringsavverkning</t>
        </is>
      </c>
      <c r="D771" s="1" t="n">
        <v>46155</v>
      </c>
      <c r="E771" s="1" t="n">
        <v>46309</v>
      </c>
      <c r="F771" t="inlineStr">
        <is>
          <t>GÄVLEBORGS LÄN</t>
        </is>
      </c>
      <c r="G771" t="inlineStr">
        <is>
          <t>NORDANSTIG</t>
        </is>
      </c>
      <c r="I771" t="n">
        <v>3.5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s="2" t="inlineStr"/>
    </row>
    <row r="772" ht="15" customHeight="1">
      <c r="A772" t="inlineStr">
        <is>
          <t>A 22500-2026</t>
        </is>
      </c>
      <c r="B772" t="inlineStr">
        <is>
          <t>avverkningsanmälan</t>
        </is>
      </c>
      <c r="C772" t="inlineStr">
        <is>
          <t>Föryngringsavverkning</t>
        </is>
      </c>
      <c r="D772" s="1" t="n">
        <v>46155</v>
      </c>
      <c r="E772" s="1" t="n">
        <v>46309</v>
      </c>
      <c r="F772" t="inlineStr">
        <is>
          <t>GÄVLEBORGS LÄN</t>
        </is>
      </c>
      <c r="G772" t="inlineStr">
        <is>
          <t>NORDANSTIG</t>
        </is>
      </c>
      <c r="I772" t="n">
        <v>2.6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s="2" t="inlineStr"/>
    </row>
    <row r="773" ht="15" customHeight="1">
      <c r="A773" t="inlineStr">
        <is>
          <t>A 55498-2024</t>
        </is>
      </c>
      <c r="B773" t="inlineStr">
        <is>
          <t>avverkningsanmälan</t>
        </is>
      </c>
      <c r="C773" t="inlineStr">
        <is>
          <t>Föryngringsavverkning</t>
        </is>
      </c>
      <c r="D773" s="1" t="n">
        <v>45622</v>
      </c>
      <c r="E773" s="1" t="n">
        <v>46309</v>
      </c>
      <c r="F773" t="inlineStr">
        <is>
          <t>GÄVLEBORGS LÄN</t>
        </is>
      </c>
      <c r="G773" t="inlineStr">
        <is>
          <t>NORDANSTIG</t>
        </is>
      </c>
      <c r="H773" t="inlineStr">
        <is>
          <t>Holmen skog AB</t>
        </is>
      </c>
      <c r="I773" t="n">
        <v>1.7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s="2" t="inlineStr"/>
    </row>
    <row r="774" ht="15" customHeight="1">
      <c r="A774" t="inlineStr">
        <is>
          <t>A 7503-2022</t>
        </is>
      </c>
      <c r="B774" t="inlineStr">
        <is>
          <t>avverkningsanmälan</t>
        </is>
      </c>
      <c r="C774" t="inlineStr">
        <is>
          <t>Föryngringsavverkning</t>
        </is>
      </c>
      <c r="D774" s="1" t="n">
        <v>44607</v>
      </c>
      <c r="E774" s="1" t="n">
        <v>46309</v>
      </c>
      <c r="F774" t="inlineStr">
        <is>
          <t>GÄVLEBORGS LÄN</t>
        </is>
      </c>
      <c r="G774" t="inlineStr">
        <is>
          <t>NORDANSTIG</t>
        </is>
      </c>
      <c r="I774" t="n">
        <v>0.7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s="2" t="inlineStr"/>
    </row>
    <row r="775" ht="15" customHeight="1">
      <c r="A775" t="inlineStr">
        <is>
          <t>A 47876-2023</t>
        </is>
      </c>
      <c r="B775" t="inlineStr">
        <is>
          <t>avverkningsanmälan</t>
        </is>
      </c>
      <c r="C775" t="inlineStr">
        <is>
          <t>Avverkning för annat ändamål</t>
        </is>
      </c>
      <c r="D775" s="1" t="n">
        <v>45204</v>
      </c>
      <c r="E775" s="1" t="n">
        <v>46309</v>
      </c>
      <c r="F775" t="inlineStr">
        <is>
          <t>GÄVLEBORGS LÄN</t>
        </is>
      </c>
      <c r="G775" t="inlineStr">
        <is>
          <t>NORDANSTIG</t>
        </is>
      </c>
      <c r="I775" t="n">
        <v>0.6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s="2" t="inlineStr"/>
    </row>
    <row r="776" ht="15" customHeight="1">
      <c r="A776" t="inlineStr">
        <is>
          <t>A 22733-2026</t>
        </is>
      </c>
      <c r="B776" t="inlineStr">
        <is>
          <t>avverkningsanmälan</t>
        </is>
      </c>
      <c r="C776" t="inlineStr">
        <is>
          <t>Föryngringsavverkning</t>
        </is>
      </c>
      <c r="D776" s="1" t="n">
        <v>46157</v>
      </c>
      <c r="E776" s="1" t="n">
        <v>46309</v>
      </c>
      <c r="F776" t="inlineStr">
        <is>
          <t>GÄVLEBORGS LÄN</t>
        </is>
      </c>
      <c r="G776" t="inlineStr">
        <is>
          <t>NORDANSTIG</t>
        </is>
      </c>
      <c r="H776" t="inlineStr">
        <is>
          <t>Holmen skog AB</t>
        </is>
      </c>
      <c r="I776" t="n">
        <v>1.1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s="2" t="inlineStr"/>
    </row>
    <row r="777" ht="15" customHeight="1">
      <c r="A777" t="inlineStr">
        <is>
          <t>A 38298-2024</t>
        </is>
      </c>
      <c r="B777" t="inlineStr">
        <is>
          <t>avverkningsanmälan</t>
        </is>
      </c>
      <c r="C777" t="inlineStr">
        <is>
          <t>Avverkning för att bevara och utveckla /försöksver</t>
        </is>
      </c>
      <c r="D777" s="1" t="n">
        <v>45545</v>
      </c>
      <c r="E777" s="1" t="n">
        <v>46309</v>
      </c>
      <c r="F777" t="inlineStr">
        <is>
          <t>GÄVLEBORGS LÄN</t>
        </is>
      </c>
      <c r="G777" t="inlineStr">
        <is>
          <t>NORDANSTIG</t>
        </is>
      </c>
      <c r="I777" t="n">
        <v>2.7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s="2" t="inlineStr"/>
    </row>
    <row r="778" ht="15" customHeight="1">
      <c r="A778" t="inlineStr">
        <is>
          <t>A 51091-2024</t>
        </is>
      </c>
      <c r="B778" t="inlineStr">
        <is>
          <t>avverkningsanmälan</t>
        </is>
      </c>
      <c r="C778" t="inlineStr">
        <is>
          <t>Avverkning för att bevara och utveckla /försöksver</t>
        </is>
      </c>
      <c r="D778" s="1" t="n">
        <v>45603</v>
      </c>
      <c r="E778" s="1" t="n">
        <v>46309</v>
      </c>
      <c r="F778" t="inlineStr">
        <is>
          <t>GÄVLEBORGS LÄN</t>
        </is>
      </c>
      <c r="G778" t="inlineStr">
        <is>
          <t>NORDANSTIG</t>
        </is>
      </c>
      <c r="H778" t="inlineStr">
        <is>
          <t>SCA</t>
        </is>
      </c>
      <c r="I778" t="n">
        <v>1.5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s="2" t="inlineStr"/>
    </row>
    <row r="779" ht="15" customHeight="1">
      <c r="A779" t="inlineStr">
        <is>
          <t>A 33478-2023</t>
        </is>
      </c>
      <c r="B779" t="inlineStr">
        <is>
          <t>avverkningsanmälan</t>
        </is>
      </c>
      <c r="C779" t="inlineStr">
        <is>
          <t>Föryngringsavverkning</t>
        </is>
      </c>
      <c r="D779" s="1" t="n">
        <v>45131</v>
      </c>
      <c r="E779" s="1" t="n">
        <v>46309</v>
      </c>
      <c r="F779" t="inlineStr">
        <is>
          <t>GÄVLEBORGS LÄN</t>
        </is>
      </c>
      <c r="G779" t="inlineStr">
        <is>
          <t>NORDANSTIG</t>
        </is>
      </c>
      <c r="I779" t="n">
        <v>1.2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s="2" t="inlineStr"/>
    </row>
    <row r="780" ht="15" customHeight="1">
      <c r="A780" t="inlineStr">
        <is>
          <t>A 53691-2024</t>
        </is>
      </c>
      <c r="B780" t="inlineStr">
        <is>
          <t>avverkningsanmälan</t>
        </is>
      </c>
      <c r="C780" t="inlineStr">
        <is>
          <t>Föryngringsavverkning</t>
        </is>
      </c>
      <c r="D780" s="1" t="n">
        <v>45615</v>
      </c>
      <c r="E780" s="1" t="n">
        <v>46309</v>
      </c>
      <c r="F780" t="inlineStr">
        <is>
          <t>GÄVLEBORGS LÄN</t>
        </is>
      </c>
      <c r="G780" t="inlineStr">
        <is>
          <t>NORDANSTIG</t>
        </is>
      </c>
      <c r="I780" t="n">
        <v>3.8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s="2" t="inlineStr"/>
    </row>
    <row r="781" ht="15" customHeight="1">
      <c r="A781" t="inlineStr">
        <is>
          <t>A 48832-2022</t>
        </is>
      </c>
      <c r="B781" t="inlineStr">
        <is>
          <t>avverkningsanmälan</t>
        </is>
      </c>
      <c r="C781" t="inlineStr">
        <is>
          <t>Föryngringsavverkning</t>
        </is>
      </c>
      <c r="D781" s="1" t="n">
        <v>44859</v>
      </c>
      <c r="E781" s="1" t="n">
        <v>46309</v>
      </c>
      <c r="F781" t="inlineStr">
        <is>
          <t>GÄVLEBORGS LÄN</t>
        </is>
      </c>
      <c r="G781" t="inlineStr">
        <is>
          <t>NORDANSTIG</t>
        </is>
      </c>
      <c r="I781" t="n">
        <v>1.9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s="2" t="inlineStr"/>
    </row>
    <row r="782" ht="15" customHeight="1">
      <c r="A782" t="inlineStr">
        <is>
          <t>A 23002-2026</t>
        </is>
      </c>
      <c r="B782" t="inlineStr">
        <is>
          <t>avverkningsanmälan</t>
        </is>
      </c>
      <c r="C782" t="inlineStr">
        <is>
          <t>Föryngringsavverkning</t>
        </is>
      </c>
      <c r="D782" s="1" t="n">
        <v>46160</v>
      </c>
      <c r="E782" s="1" t="n">
        <v>46309</v>
      </c>
      <c r="F782" t="inlineStr">
        <is>
          <t>GÄVLEBORGS LÄN</t>
        </is>
      </c>
      <c r="G782" t="inlineStr">
        <is>
          <t>NORDANSTIG</t>
        </is>
      </c>
      <c r="I782" t="n">
        <v>5.5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s="2" t="inlineStr"/>
    </row>
    <row r="783" ht="15" customHeight="1">
      <c r="A783" t="inlineStr">
        <is>
          <t>A 1860-2025</t>
        </is>
      </c>
      <c r="B783" t="inlineStr">
        <is>
          <t>avverkningsanmälan</t>
        </is>
      </c>
      <c r="C783" t="inlineStr">
        <is>
          <t>Föryngringsavverkning</t>
        </is>
      </c>
      <c r="D783" s="1" t="n">
        <v>45671</v>
      </c>
      <c r="E783" s="1" t="n">
        <v>46309</v>
      </c>
      <c r="F783" t="inlineStr">
        <is>
          <t>GÄVLEBORGS LÄN</t>
        </is>
      </c>
      <c r="G783" t="inlineStr">
        <is>
          <t>NORDANSTIG</t>
        </is>
      </c>
      <c r="H783" t="inlineStr">
        <is>
          <t>Holmen skog AB</t>
        </is>
      </c>
      <c r="I783" t="n">
        <v>5.2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s="2" t="inlineStr"/>
    </row>
    <row r="784" ht="15" customHeight="1">
      <c r="A784" t="inlineStr">
        <is>
          <t>A 5963-2025</t>
        </is>
      </c>
      <c r="B784" t="inlineStr">
        <is>
          <t>avverkningsanmälan</t>
        </is>
      </c>
      <c r="C784" t="inlineStr">
        <is>
          <t>Föryngringsavverkning</t>
        </is>
      </c>
      <c r="D784" s="1" t="n">
        <v>45695</v>
      </c>
      <c r="E784" s="1" t="n">
        <v>46309</v>
      </c>
      <c r="F784" t="inlineStr">
        <is>
          <t>GÄVLEBORGS LÄN</t>
        </is>
      </c>
      <c r="G784" t="inlineStr">
        <is>
          <t>NORDANSTIG</t>
        </is>
      </c>
      <c r="I784" t="n">
        <v>3.5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s="2" t="inlineStr"/>
    </row>
    <row r="785" ht="15" customHeight="1">
      <c r="A785" t="inlineStr">
        <is>
          <t>A 19906-2026</t>
        </is>
      </c>
      <c r="B785" t="inlineStr">
        <is>
          <t>avverkningsanmälan</t>
        </is>
      </c>
      <c r="C785" t="inlineStr">
        <is>
          <t>Föryngringsavverkning</t>
        </is>
      </c>
      <c r="D785" s="1" t="n">
        <v>46136</v>
      </c>
      <c r="E785" s="1" t="n">
        <v>46309</v>
      </c>
      <c r="F785" t="inlineStr">
        <is>
          <t>GÄVLEBORGS LÄN</t>
        </is>
      </c>
      <c r="G785" t="inlineStr">
        <is>
          <t>NORDANSTIG</t>
        </is>
      </c>
      <c r="I785" t="n">
        <v>2.2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s="2" t="inlineStr"/>
    </row>
    <row r="786" ht="15" customHeight="1">
      <c r="A786" t="inlineStr">
        <is>
          <t>A 16434-2026</t>
        </is>
      </c>
      <c r="B786" t="inlineStr">
        <is>
          <t>avverkningsanmälan</t>
        </is>
      </c>
      <c r="C786" t="inlineStr">
        <is>
          <t>Föryngringsavverkning</t>
        </is>
      </c>
      <c r="D786" s="1" t="n">
        <v>46111</v>
      </c>
      <c r="E786" s="1" t="n">
        <v>46309</v>
      </c>
      <c r="F786" t="inlineStr">
        <is>
          <t>GÄVLEBORGS LÄN</t>
        </is>
      </c>
      <c r="G786" t="inlineStr">
        <is>
          <t>NORDANSTIG</t>
        </is>
      </c>
      <c r="I786" t="n">
        <v>2.6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s="2" t="inlineStr"/>
    </row>
    <row r="787" ht="15" customHeight="1">
      <c r="A787" t="inlineStr">
        <is>
          <t>A 5746-2026</t>
        </is>
      </c>
      <c r="B787" t="inlineStr">
        <is>
          <t>avverkningsanmälan</t>
        </is>
      </c>
      <c r="C787" t="inlineStr">
        <is>
          <t>Föryngringsavverkning</t>
        </is>
      </c>
      <c r="D787" s="1" t="n">
        <v>46051</v>
      </c>
      <c r="E787" s="1" t="n">
        <v>46309</v>
      </c>
      <c r="F787" t="inlineStr">
        <is>
          <t>GÄVLEBORGS LÄN</t>
        </is>
      </c>
      <c r="G787" t="inlineStr">
        <is>
          <t>NORDANSTIG</t>
        </is>
      </c>
      <c r="I787" t="n">
        <v>3.3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s="2" t="inlineStr"/>
    </row>
    <row r="788" ht="15" customHeight="1">
      <c r="A788" t="inlineStr">
        <is>
          <t>A 58891-2024</t>
        </is>
      </c>
      <c r="B788" t="inlineStr">
        <is>
          <t>avverkningsanmälan</t>
        </is>
      </c>
      <c r="C788" t="inlineStr">
        <is>
          <t>Föryngringsavverkning</t>
        </is>
      </c>
      <c r="D788" s="1" t="n">
        <v>45636</v>
      </c>
      <c r="E788" s="1" t="n">
        <v>46309</v>
      </c>
      <c r="F788" t="inlineStr">
        <is>
          <t>GÄVLEBORGS LÄN</t>
        </is>
      </c>
      <c r="G788" t="inlineStr">
        <is>
          <t>NORDANSTIG</t>
        </is>
      </c>
      <c r="H788" t="inlineStr">
        <is>
          <t>Holmen skog AB</t>
        </is>
      </c>
      <c r="I788" t="n">
        <v>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s="2" t="inlineStr"/>
    </row>
    <row r="789" ht="15" customHeight="1">
      <c r="A789" t="inlineStr">
        <is>
          <t>A 3768-2026</t>
        </is>
      </c>
      <c r="B789" t="inlineStr">
        <is>
          <t>avverkningsanmälan</t>
        </is>
      </c>
      <c r="C789" t="inlineStr">
        <is>
          <t>Föryngringsavverkning</t>
        </is>
      </c>
      <c r="D789" s="1" t="n">
        <v>46043</v>
      </c>
      <c r="E789" s="1" t="n">
        <v>46309</v>
      </c>
      <c r="F789" t="inlineStr">
        <is>
          <t>GÄVLEBORGS LÄN</t>
        </is>
      </c>
      <c r="G789" t="inlineStr">
        <is>
          <t>NORDANSTIG</t>
        </is>
      </c>
      <c r="I789" t="n">
        <v>2.1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s="2" t="inlineStr"/>
    </row>
    <row r="790" ht="15" customHeight="1">
      <c r="A790" t="inlineStr">
        <is>
          <t>A 46299-2023</t>
        </is>
      </c>
      <c r="B790" t="inlineStr">
        <is>
          <t>avverkningsanmälan</t>
        </is>
      </c>
      <c r="C790" t="inlineStr">
        <is>
          <t>Föryngringsavverkning</t>
        </is>
      </c>
      <c r="D790" s="1" t="n">
        <v>45197</v>
      </c>
      <c r="E790" s="1" t="n">
        <v>46309</v>
      </c>
      <c r="F790" t="inlineStr">
        <is>
          <t>GÄVLEBORGS LÄN</t>
        </is>
      </c>
      <c r="G790" t="inlineStr">
        <is>
          <t>NORDANSTIG</t>
        </is>
      </c>
      <c r="H790" t="inlineStr">
        <is>
          <t>Holmen skog AB</t>
        </is>
      </c>
      <c r="I790" t="n">
        <v>1.5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s="2" t="inlineStr"/>
    </row>
    <row r="791" ht="15" customHeight="1">
      <c r="A791" t="inlineStr">
        <is>
          <t>A 72820-2021</t>
        </is>
      </c>
      <c r="B791" t="inlineStr">
        <is>
          <t>avverkningsanmälan</t>
        </is>
      </c>
      <c r="C791" t="inlineStr">
        <is>
          <t>Föryngringsavverkning</t>
        </is>
      </c>
      <c r="D791" s="1" t="n">
        <v>44547</v>
      </c>
      <c r="E791" s="1" t="n">
        <v>46309</v>
      </c>
      <c r="F791" t="inlineStr">
        <is>
          <t>GÄVLEBORGS LÄN</t>
        </is>
      </c>
      <c r="G791" t="inlineStr">
        <is>
          <t>NORDANSTIG</t>
        </is>
      </c>
      <c r="I791" t="n">
        <v>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s="2" t="inlineStr"/>
    </row>
    <row r="792" ht="15" customHeight="1">
      <c r="A792" t="inlineStr">
        <is>
          <t>A 23039-2026</t>
        </is>
      </c>
      <c r="B792" t="inlineStr">
        <is>
          <t>avverkningsanmälan</t>
        </is>
      </c>
      <c r="C792" t="inlineStr">
        <is>
          <t>Föryngringsavverkning</t>
        </is>
      </c>
      <c r="D792" s="1" t="n">
        <v>46161</v>
      </c>
      <c r="E792" s="1" t="n">
        <v>46309</v>
      </c>
      <c r="F792" t="inlineStr">
        <is>
          <t>GÄVLEBORGS LÄN</t>
        </is>
      </c>
      <c r="G792" t="inlineStr">
        <is>
          <t>NORDANSTIG</t>
        </is>
      </c>
      <c r="I792" t="n">
        <v>2.2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s="2" t="inlineStr"/>
    </row>
    <row r="793" ht="15" customHeight="1">
      <c r="A793" t="inlineStr">
        <is>
          <t>A 59851-2024</t>
        </is>
      </c>
      <c r="B793" t="inlineStr">
        <is>
          <t>avverkningsanmälan</t>
        </is>
      </c>
      <c r="C793" t="inlineStr">
        <is>
          <t>Föryngringsavverkning</t>
        </is>
      </c>
      <c r="D793" s="1" t="n">
        <v>45639</v>
      </c>
      <c r="E793" s="1" t="n">
        <v>46309</v>
      </c>
      <c r="F793" t="inlineStr">
        <is>
          <t>GÄVLEBORGS LÄN</t>
        </is>
      </c>
      <c r="G793" t="inlineStr">
        <is>
          <t>NORDANSTIG</t>
        </is>
      </c>
      <c r="I793" t="n">
        <v>0.6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s="2" t="inlineStr"/>
    </row>
    <row r="794" ht="15" customHeight="1">
      <c r="A794" t="inlineStr">
        <is>
          <t>A 5143-2025</t>
        </is>
      </c>
      <c r="B794" t="inlineStr">
        <is>
          <t>avverkningsanmälan</t>
        </is>
      </c>
      <c r="C794" t="inlineStr">
        <is>
          <t>Föryngringsavverkning</t>
        </is>
      </c>
      <c r="D794" s="1" t="n">
        <v>45691</v>
      </c>
      <c r="E794" s="1" t="n">
        <v>46309</v>
      </c>
      <c r="F794" t="inlineStr">
        <is>
          <t>GÄVLEBORGS LÄN</t>
        </is>
      </c>
      <c r="G794" t="inlineStr">
        <is>
          <t>NORDANSTIG</t>
        </is>
      </c>
      <c r="I794" t="n">
        <v>4.4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s="2" t="inlineStr"/>
    </row>
    <row r="795" ht="15" customHeight="1">
      <c r="A795" t="inlineStr">
        <is>
          <t>A 23764-2026</t>
        </is>
      </c>
      <c r="B795" t="inlineStr">
        <is>
          <t>avverkningsanmälan</t>
        </is>
      </c>
      <c r="C795" t="inlineStr">
        <is>
          <t>Föryngringsavverkning</t>
        </is>
      </c>
      <c r="D795" s="1" t="n">
        <v>46164</v>
      </c>
      <c r="E795" s="1" t="n">
        <v>46309</v>
      </c>
      <c r="F795" t="inlineStr">
        <is>
          <t>GÄVLEBORGS LÄN</t>
        </is>
      </c>
      <c r="G795" t="inlineStr">
        <is>
          <t>NORDANSTIG</t>
        </is>
      </c>
      <c r="H795" t="inlineStr">
        <is>
          <t>Holmen skog AB</t>
        </is>
      </c>
      <c r="I795" t="n">
        <v>1.2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s="2" t="inlineStr"/>
    </row>
    <row r="796" ht="15" customHeight="1">
      <c r="A796" t="inlineStr">
        <is>
          <t>A 23506-2026</t>
        </is>
      </c>
      <c r="B796" t="inlineStr">
        <is>
          <t>avverkningsanmälan</t>
        </is>
      </c>
      <c r="C796" t="inlineStr">
        <is>
          <t>Föryngringsavverkning</t>
        </is>
      </c>
      <c r="D796" s="1" t="n">
        <v>46163</v>
      </c>
      <c r="E796" s="1" t="n">
        <v>46309</v>
      </c>
      <c r="F796" t="inlineStr">
        <is>
          <t>GÄVLEBORGS LÄN</t>
        </is>
      </c>
      <c r="G796" t="inlineStr">
        <is>
          <t>NORDANSTIG</t>
        </is>
      </c>
      <c r="I796" t="n">
        <v>3.1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s="2" t="inlineStr"/>
    </row>
    <row r="797" ht="15" customHeight="1">
      <c r="A797" t="inlineStr">
        <is>
          <t>A 4559-2025</t>
        </is>
      </c>
      <c r="B797" t="inlineStr">
        <is>
          <t>avverkningsanmälan</t>
        </is>
      </c>
      <c r="C797" t="inlineStr">
        <is>
          <t>Föryngringsavverkning</t>
        </is>
      </c>
      <c r="D797" s="1" t="n">
        <v>45687</v>
      </c>
      <c r="E797" s="1" t="n">
        <v>46309</v>
      </c>
      <c r="F797" t="inlineStr">
        <is>
          <t>GÄVLEBORGS LÄN</t>
        </is>
      </c>
      <c r="G797" t="inlineStr">
        <is>
          <t>NORDANSTIG</t>
        </is>
      </c>
      <c r="I797" t="n">
        <v>1.2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s="2" t="inlineStr"/>
    </row>
    <row r="798" ht="15" customHeight="1">
      <c r="A798" t="inlineStr">
        <is>
          <t>A 23654-2026</t>
        </is>
      </c>
      <c r="B798" t="inlineStr">
        <is>
          <t>avverkningsanmälan</t>
        </is>
      </c>
      <c r="C798" t="inlineStr">
        <is>
          <t>Föryngringsavverkning</t>
        </is>
      </c>
      <c r="D798" s="1" t="n">
        <v>46164</v>
      </c>
      <c r="E798" s="1" t="n">
        <v>46309</v>
      </c>
      <c r="F798" t="inlineStr">
        <is>
          <t>GÄVLEBORGS LÄN</t>
        </is>
      </c>
      <c r="G798" t="inlineStr">
        <is>
          <t>NORDANSTIG</t>
        </is>
      </c>
      <c r="H798" t="inlineStr">
        <is>
          <t>Holmen skog AB</t>
        </is>
      </c>
      <c r="I798" t="n">
        <v>2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s="2" t="inlineStr"/>
    </row>
    <row r="799" ht="15" customHeight="1">
      <c r="A799" t="inlineStr">
        <is>
          <t>A 51740-2023</t>
        </is>
      </c>
      <c r="B799" t="inlineStr">
        <is>
          <t>avverkningsanmälan</t>
        </is>
      </c>
      <c r="C799" t="inlineStr">
        <is>
          <t>Föryngringsavverkning</t>
        </is>
      </c>
      <c r="D799" s="1" t="n">
        <v>45222</v>
      </c>
      <c r="E799" s="1" t="n">
        <v>46309</v>
      </c>
      <c r="F799" t="inlineStr">
        <is>
          <t>GÄVLEBORGS LÄN</t>
        </is>
      </c>
      <c r="G799" t="inlineStr">
        <is>
          <t>NORDANSTIG</t>
        </is>
      </c>
      <c r="I799" t="n">
        <v>1.3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s="2" t="inlineStr"/>
    </row>
    <row r="800" ht="15" customHeight="1">
      <c r="A800" t="inlineStr">
        <is>
          <t>A 51438-2023</t>
        </is>
      </c>
      <c r="B800" t="inlineStr">
        <is>
          <t>avverkningsanmälan</t>
        </is>
      </c>
      <c r="C800" t="inlineStr">
        <is>
          <t>Föryngringsavverkning</t>
        </is>
      </c>
      <c r="D800" s="1" t="n">
        <v>45219</v>
      </c>
      <c r="E800" s="1" t="n">
        <v>46309</v>
      </c>
      <c r="F800" t="inlineStr">
        <is>
          <t>GÄVLEBORGS LÄN</t>
        </is>
      </c>
      <c r="G800" t="inlineStr">
        <is>
          <t>NORDANSTIG</t>
        </is>
      </c>
      <c r="H800" t="inlineStr">
        <is>
          <t>SCA</t>
        </is>
      </c>
      <c r="I800" t="n">
        <v>1.3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s="2" t="inlineStr"/>
    </row>
    <row r="801" ht="15" customHeight="1">
      <c r="A801" t="inlineStr">
        <is>
          <t>A 24178-2026</t>
        </is>
      </c>
      <c r="B801" t="inlineStr">
        <is>
          <t>avverkningsanmälan</t>
        </is>
      </c>
      <c r="C801" t="inlineStr">
        <is>
          <t>Avverkning för annat ändamål</t>
        </is>
      </c>
      <c r="D801" s="1" t="n">
        <v>46168</v>
      </c>
      <c r="E801" s="1" t="n">
        <v>46309</v>
      </c>
      <c r="F801" t="inlineStr">
        <is>
          <t>GÄVLEBORGS LÄN</t>
        </is>
      </c>
      <c r="G801" t="inlineStr">
        <is>
          <t>NORDANSTIG</t>
        </is>
      </c>
      <c r="I801" t="n">
        <v>0.5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s="2" t="inlineStr"/>
    </row>
    <row r="802" ht="15" customHeight="1">
      <c r="A802" t="inlineStr">
        <is>
          <t>A 55494-2024</t>
        </is>
      </c>
      <c r="B802" t="inlineStr">
        <is>
          <t>avverkningsanmälan</t>
        </is>
      </c>
      <c r="C802" t="inlineStr">
        <is>
          <t>Föryngringsavverkning</t>
        </is>
      </c>
      <c r="D802" s="1" t="n">
        <v>45622</v>
      </c>
      <c r="E802" s="1" t="n">
        <v>46309</v>
      </c>
      <c r="F802" t="inlineStr">
        <is>
          <t>GÄVLEBORGS LÄN</t>
        </is>
      </c>
      <c r="G802" t="inlineStr">
        <is>
          <t>NORDANSTIG</t>
        </is>
      </c>
      <c r="H802" t="inlineStr">
        <is>
          <t>Holmen skog AB</t>
        </is>
      </c>
      <c r="I802" t="n">
        <v>0.7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s="2" t="inlineStr"/>
    </row>
    <row r="803" ht="15" customHeight="1">
      <c r="A803" t="inlineStr">
        <is>
          <t>A 55531-2024</t>
        </is>
      </c>
      <c r="B803" t="inlineStr">
        <is>
          <t>avverkningsanmälan</t>
        </is>
      </c>
      <c r="C803" t="inlineStr">
        <is>
          <t>Föryngringsavverkning</t>
        </is>
      </c>
      <c r="D803" s="1" t="n">
        <v>45622</v>
      </c>
      <c r="E803" s="1" t="n">
        <v>46309</v>
      </c>
      <c r="F803" t="inlineStr">
        <is>
          <t>GÄVLEBORGS LÄN</t>
        </is>
      </c>
      <c r="G803" t="inlineStr">
        <is>
          <t>NORDANSTIG</t>
        </is>
      </c>
      <c r="I803" t="n">
        <v>1.8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s="2" t="inlineStr"/>
    </row>
    <row r="804" ht="15" customHeight="1">
      <c r="A804" t="inlineStr">
        <is>
          <t>A 23895-2026</t>
        </is>
      </c>
      <c r="B804" t="inlineStr">
        <is>
          <t>avverkningsanmälan</t>
        </is>
      </c>
      <c r="C804" t="inlineStr">
        <is>
          <t>Föryngringsavverkning</t>
        </is>
      </c>
      <c r="D804" s="1" t="n">
        <v>46167</v>
      </c>
      <c r="E804" s="1" t="n">
        <v>46309</v>
      </c>
      <c r="F804" t="inlineStr">
        <is>
          <t>GÄVLEBORGS LÄN</t>
        </is>
      </c>
      <c r="G804" t="inlineStr">
        <is>
          <t>NORDANSTIG</t>
        </is>
      </c>
      <c r="I804" t="n">
        <v>18.1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s="2" t="inlineStr"/>
    </row>
    <row r="805" ht="15" customHeight="1">
      <c r="A805" t="inlineStr">
        <is>
          <t>A 23900-2026</t>
        </is>
      </c>
      <c r="B805" t="inlineStr">
        <is>
          <t>avverkningsanmälan</t>
        </is>
      </c>
      <c r="C805" t="inlineStr">
        <is>
          <t>Föryngringsavverkning</t>
        </is>
      </c>
      <c r="D805" s="1" t="n">
        <v>46167</v>
      </c>
      <c r="E805" s="1" t="n">
        <v>46309</v>
      </c>
      <c r="F805" t="inlineStr">
        <is>
          <t>GÄVLEBORGS LÄN</t>
        </is>
      </c>
      <c r="G805" t="inlineStr">
        <is>
          <t>NORDANSTIG</t>
        </is>
      </c>
      <c r="I805" t="n">
        <v>1.4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s="2" t="inlineStr"/>
    </row>
    <row r="806" ht="15" customHeight="1">
      <c r="A806" t="inlineStr">
        <is>
          <t>A 20512-2022</t>
        </is>
      </c>
      <c r="B806" t="inlineStr">
        <is>
          <t>avverkningsanmälan</t>
        </is>
      </c>
      <c r="C806" t="inlineStr">
        <is>
          <t>Föryngringsavverkning</t>
        </is>
      </c>
      <c r="D806" s="1" t="n">
        <v>44699</v>
      </c>
      <c r="E806" s="1" t="n">
        <v>46309</v>
      </c>
      <c r="F806" t="inlineStr">
        <is>
          <t>GÄVLEBORGS LÄN</t>
        </is>
      </c>
      <c r="G806" t="inlineStr">
        <is>
          <t>NORDANSTIG</t>
        </is>
      </c>
      <c r="I806" t="n">
        <v>1.8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s="2" t="inlineStr"/>
    </row>
    <row r="807" ht="15" customHeight="1">
      <c r="A807" t="inlineStr">
        <is>
          <t>A 17482-2022</t>
        </is>
      </c>
      <c r="B807" t="inlineStr">
        <is>
          <t>avverkningsanmälan</t>
        </is>
      </c>
      <c r="C807" t="inlineStr">
        <is>
          <t>Föryngringsavverkning</t>
        </is>
      </c>
      <c r="D807" s="1" t="n">
        <v>44679</v>
      </c>
      <c r="E807" s="1" t="n">
        <v>46309</v>
      </c>
      <c r="F807" t="inlineStr">
        <is>
          <t>GÄVLEBORGS LÄN</t>
        </is>
      </c>
      <c r="G807" t="inlineStr">
        <is>
          <t>NORDANSTIG</t>
        </is>
      </c>
      <c r="H807" t="inlineStr">
        <is>
          <t>Holmen skog AB</t>
        </is>
      </c>
      <c r="I807" t="n">
        <v>0.9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s="2" t="inlineStr"/>
    </row>
    <row r="808" ht="15" customHeight="1">
      <c r="A808" t="inlineStr">
        <is>
          <t>A 17271-2022</t>
        </is>
      </c>
      <c r="B808" t="inlineStr">
        <is>
          <t>avverkningsanmälan</t>
        </is>
      </c>
      <c r="C808" t="inlineStr">
        <is>
          <t>Föryngringsavverkning</t>
        </is>
      </c>
      <c r="D808" s="1" t="n">
        <v>44678</v>
      </c>
      <c r="E808" s="1" t="n">
        <v>46309</v>
      </c>
      <c r="F808" t="inlineStr">
        <is>
          <t>GÄVLEBORGS LÄN</t>
        </is>
      </c>
      <c r="G808" t="inlineStr">
        <is>
          <t>NORDANSTIG</t>
        </is>
      </c>
      <c r="H808" t="inlineStr">
        <is>
          <t>Holmen skog AB</t>
        </is>
      </c>
      <c r="I808" t="n">
        <v>1.7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s="2" t="inlineStr"/>
    </row>
    <row r="809" ht="15" customHeight="1">
      <c r="A809" t="inlineStr">
        <is>
          <t>A 36025-2023</t>
        </is>
      </c>
      <c r="B809" t="inlineStr">
        <is>
          <t>avverkningsanmälan</t>
        </is>
      </c>
      <c r="C809" t="inlineStr">
        <is>
          <t>Föryngringsavverkning</t>
        </is>
      </c>
      <c r="D809" s="1" t="n">
        <v>45149</v>
      </c>
      <c r="E809" s="1" t="n">
        <v>46309</v>
      </c>
      <c r="F809" t="inlineStr">
        <is>
          <t>GÄVLEBORGS LÄN</t>
        </is>
      </c>
      <c r="G809" t="inlineStr">
        <is>
          <t>NORDANSTIG</t>
        </is>
      </c>
      <c r="I809" t="n">
        <v>0.9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s="2" t="inlineStr"/>
    </row>
    <row r="810" ht="15" customHeight="1">
      <c r="A810" t="inlineStr">
        <is>
          <t>A 24265-2026</t>
        </is>
      </c>
      <c r="B810" t="inlineStr">
        <is>
          <t>avverkningsanmälan</t>
        </is>
      </c>
      <c r="C810" t="inlineStr">
        <is>
          <t>Föryngringsavverkning</t>
        </is>
      </c>
      <c r="D810" s="1" t="n">
        <v>46169</v>
      </c>
      <c r="E810" s="1" t="n">
        <v>46309</v>
      </c>
      <c r="F810" t="inlineStr">
        <is>
          <t>GÄVLEBORGS LÄN</t>
        </is>
      </c>
      <c r="G810" t="inlineStr">
        <is>
          <t>NORDANSTIG</t>
        </is>
      </c>
      <c r="I810" t="n">
        <v>1.7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s="2" t="inlineStr"/>
    </row>
    <row r="811" ht="15" customHeight="1">
      <c r="A811" t="inlineStr">
        <is>
          <t>A 1034-2026</t>
        </is>
      </c>
      <c r="B811" t="inlineStr">
        <is>
          <t>avverkningsanmälan</t>
        </is>
      </c>
      <c r="C811" t="inlineStr">
        <is>
          <t>Föryngringsavverkning</t>
        </is>
      </c>
      <c r="D811" s="1" t="n">
        <v>46030</v>
      </c>
      <c r="E811" s="1" t="n">
        <v>46309</v>
      </c>
      <c r="F811" t="inlineStr">
        <is>
          <t>GÄVLEBORGS LÄN</t>
        </is>
      </c>
      <c r="G811" t="inlineStr">
        <is>
          <t>NORDANSTIG</t>
        </is>
      </c>
      <c r="I811" t="n">
        <v>11.5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s="2" t="inlineStr"/>
    </row>
    <row r="812" ht="15" customHeight="1">
      <c r="A812" t="inlineStr">
        <is>
          <t>A 24612-2026</t>
        </is>
      </c>
      <c r="B812" t="inlineStr">
        <is>
          <t>avverkningsanmälan</t>
        </is>
      </c>
      <c r="C812" t="inlineStr">
        <is>
          <t>Föryngringsavverkning</t>
        </is>
      </c>
      <c r="D812" s="1" t="n">
        <v>46171</v>
      </c>
      <c r="E812" s="1" t="n">
        <v>46309</v>
      </c>
      <c r="F812" t="inlineStr">
        <is>
          <t>GÄVLEBORGS LÄN</t>
        </is>
      </c>
      <c r="G812" t="inlineStr">
        <is>
          <t>NORDANSTIG</t>
        </is>
      </c>
      <c r="H812" t="inlineStr">
        <is>
          <t>Holmen skog AB</t>
        </is>
      </c>
      <c r="I812" t="n">
        <v>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s="2" t="inlineStr"/>
    </row>
    <row r="813" ht="15" customHeight="1">
      <c r="A813" t="inlineStr">
        <is>
          <t>A 24646-2026</t>
        </is>
      </c>
      <c r="B813" t="inlineStr">
        <is>
          <t>avverkningsanmälan</t>
        </is>
      </c>
      <c r="C813" t="inlineStr">
        <is>
          <t>Föryngringsavverkning</t>
        </is>
      </c>
      <c r="D813" s="1" t="n">
        <v>46171</v>
      </c>
      <c r="E813" s="1" t="n">
        <v>46309</v>
      </c>
      <c r="F813" t="inlineStr">
        <is>
          <t>GÄVLEBORGS LÄN</t>
        </is>
      </c>
      <c r="G813" t="inlineStr">
        <is>
          <t>NORDANSTIG</t>
        </is>
      </c>
      <c r="I813" t="n">
        <v>1.2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s="2" t="inlineStr"/>
    </row>
    <row r="814" ht="15" customHeight="1">
      <c r="A814" t="inlineStr">
        <is>
          <t>A 50413-2023</t>
        </is>
      </c>
      <c r="B814" t="inlineStr">
        <is>
          <t>avverkningsanmälan</t>
        </is>
      </c>
      <c r="C814" t="inlineStr">
        <is>
          <t>Föryngringsavverkning</t>
        </is>
      </c>
      <c r="D814" s="1" t="n">
        <v>45216</v>
      </c>
      <c r="E814" s="1" t="n">
        <v>46309</v>
      </c>
      <c r="F814" t="inlineStr">
        <is>
          <t>GÄVLEBORGS LÄN</t>
        </is>
      </c>
      <c r="G814" t="inlineStr">
        <is>
          <t>NORDANSTIG</t>
        </is>
      </c>
      <c r="I814" t="n">
        <v>0.9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s="2" t="inlineStr"/>
    </row>
    <row r="815" ht="15" customHeight="1">
      <c r="A815" t="inlineStr">
        <is>
          <t>A 18529-2022</t>
        </is>
      </c>
      <c r="B815" t="inlineStr">
        <is>
          <t>avverkningsanmälan</t>
        </is>
      </c>
      <c r="C815" t="inlineStr">
        <is>
          <t>Föryngringsavverkning</t>
        </is>
      </c>
      <c r="D815" s="1" t="n">
        <v>44686</v>
      </c>
      <c r="E815" s="1" t="n">
        <v>46309</v>
      </c>
      <c r="F815" t="inlineStr">
        <is>
          <t>GÄVLEBORGS LÄN</t>
        </is>
      </c>
      <c r="G815" t="inlineStr">
        <is>
          <t>NORDANSTIG</t>
        </is>
      </c>
      <c r="H815" t="inlineStr">
        <is>
          <t>Holmen skog AB</t>
        </is>
      </c>
      <c r="I815" t="n">
        <v>3.2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s="2" t="inlineStr"/>
    </row>
    <row r="816" ht="15" customHeight="1">
      <c r="A816" t="inlineStr">
        <is>
          <t>A 3819-2026</t>
        </is>
      </c>
      <c r="B816" t="inlineStr">
        <is>
          <t>avverkningsanmälan</t>
        </is>
      </c>
      <c r="C816" t="inlineStr">
        <is>
          <t>Föryngringsavverkning</t>
        </is>
      </c>
      <c r="D816" s="1" t="n">
        <v>46043</v>
      </c>
      <c r="E816" s="1" t="n">
        <v>46309</v>
      </c>
      <c r="F816" t="inlineStr">
        <is>
          <t>GÄVLEBORGS LÄN</t>
        </is>
      </c>
      <c r="G816" t="inlineStr">
        <is>
          <t>NORDANSTIG</t>
        </is>
      </c>
      <c r="I816" t="n">
        <v>1.3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s="2" t="inlineStr"/>
    </row>
    <row r="817" ht="15" customHeight="1">
      <c r="A817" t="inlineStr">
        <is>
          <t>A 615-2026</t>
        </is>
      </c>
      <c r="B817" t="inlineStr">
        <is>
          <t>avverkningsanmälan</t>
        </is>
      </c>
      <c r="C817" t="inlineStr">
        <is>
          <t>Föryngringsavverkning</t>
        </is>
      </c>
      <c r="D817" s="1" t="n">
        <v>46029</v>
      </c>
      <c r="E817" s="1" t="n">
        <v>46309</v>
      </c>
      <c r="F817" t="inlineStr">
        <is>
          <t>GÄVLEBORGS LÄN</t>
        </is>
      </c>
      <c r="G817" t="inlineStr">
        <is>
          <t>NORDANSTIG</t>
        </is>
      </c>
      <c r="I817" t="n">
        <v>1.7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s="2" t="inlineStr"/>
    </row>
    <row r="818" ht="15" customHeight="1">
      <c r="A818" t="inlineStr">
        <is>
          <t>A 24518-2026</t>
        </is>
      </c>
      <c r="B818" t="inlineStr">
        <is>
          <t>avverkningsanmälan</t>
        </is>
      </c>
      <c r="C818" t="inlineStr">
        <is>
          <t>Föryngringsavverkning</t>
        </is>
      </c>
      <c r="D818" s="1" t="n">
        <v>46170</v>
      </c>
      <c r="E818" s="1" t="n">
        <v>46309</v>
      </c>
      <c r="F818" t="inlineStr">
        <is>
          <t>GÄVLEBORGS LÄN</t>
        </is>
      </c>
      <c r="G818" t="inlineStr">
        <is>
          <t>NORDANSTIG</t>
        </is>
      </c>
      <c r="H818" t="inlineStr">
        <is>
          <t>Holmen skog AB</t>
        </is>
      </c>
      <c r="I818" t="n">
        <v>0.9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s="2" t="inlineStr"/>
    </row>
    <row r="819" ht="15" customHeight="1">
      <c r="A819" t="inlineStr">
        <is>
          <t>A 24623-2026</t>
        </is>
      </c>
      <c r="B819" t="inlineStr">
        <is>
          <t>avverkningsanmälan</t>
        </is>
      </c>
      <c r="C819" t="inlineStr">
        <is>
          <t>Föryngringsavverkning</t>
        </is>
      </c>
      <c r="D819" s="1" t="n">
        <v>46171</v>
      </c>
      <c r="E819" s="1" t="n">
        <v>46309</v>
      </c>
      <c r="F819" t="inlineStr">
        <is>
          <t>GÄVLEBORGS LÄN</t>
        </is>
      </c>
      <c r="G819" t="inlineStr">
        <is>
          <t>NORDANSTIG</t>
        </is>
      </c>
      <c r="I819" t="n">
        <v>2.3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s="2" t="inlineStr"/>
    </row>
    <row r="820" ht="15" customHeight="1">
      <c r="A820" t="inlineStr">
        <is>
          <t>A 24500-2026</t>
        </is>
      </c>
      <c r="B820" t="inlineStr">
        <is>
          <t>avverkningsanmälan</t>
        </is>
      </c>
      <c r="C820" t="inlineStr">
        <is>
          <t>Föryngringsavverkning</t>
        </is>
      </c>
      <c r="D820" s="1" t="n">
        <v>46170</v>
      </c>
      <c r="E820" s="1" t="n">
        <v>46309</v>
      </c>
      <c r="F820" t="inlineStr">
        <is>
          <t>GÄVLEBORGS LÄN</t>
        </is>
      </c>
      <c r="G820" t="inlineStr">
        <is>
          <t>NORDANSTIG</t>
        </is>
      </c>
      <c r="I820" t="n">
        <v>3.3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s="2" t="inlineStr"/>
    </row>
    <row r="821" ht="15" customHeight="1">
      <c r="A821" t="inlineStr">
        <is>
          <t>A 59930-2024</t>
        </is>
      </c>
      <c r="B821" t="inlineStr">
        <is>
          <t>avverkningsanmälan</t>
        </is>
      </c>
      <c r="C821" t="inlineStr">
        <is>
          <t>Avverkning för annat ändamål</t>
        </is>
      </c>
      <c r="D821" s="1" t="n">
        <v>45642</v>
      </c>
      <c r="E821" s="1" t="n">
        <v>46309</v>
      </c>
      <c r="F821" t="inlineStr">
        <is>
          <t>GÄVLEBORGS LÄN</t>
        </is>
      </c>
      <c r="G821" t="inlineStr">
        <is>
          <t>NORDANSTIG</t>
        </is>
      </c>
      <c r="I821" t="n">
        <v>0.1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s="2" t="inlineStr"/>
    </row>
    <row r="822" ht="15" customHeight="1">
      <c r="A822" t="inlineStr">
        <is>
          <t>A 25166-2026</t>
        </is>
      </c>
      <c r="B822" t="inlineStr">
        <is>
          <t>avverkningsanmälan</t>
        </is>
      </c>
      <c r="C822" t="inlineStr">
        <is>
          <t>Föryngringsavverkning</t>
        </is>
      </c>
      <c r="D822" s="1" t="n">
        <v>46175</v>
      </c>
      <c r="E822" s="1" t="n">
        <v>46309</v>
      </c>
      <c r="F822" t="inlineStr">
        <is>
          <t>GÄVLEBORGS LÄN</t>
        </is>
      </c>
      <c r="G822" t="inlineStr">
        <is>
          <t>NORDANSTIG</t>
        </is>
      </c>
      <c r="I822" t="n">
        <v>1.5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s="2" t="inlineStr"/>
    </row>
    <row r="823" ht="15" customHeight="1">
      <c r="A823" t="inlineStr">
        <is>
          <t>A 1849-2026</t>
        </is>
      </c>
      <c r="B823" t="inlineStr">
        <is>
          <t>avverkningsanmälan</t>
        </is>
      </c>
      <c r="C823" t="inlineStr">
        <is>
          <t>Föryngringsavverkning</t>
        </is>
      </c>
      <c r="D823" s="1" t="n">
        <v>46035</v>
      </c>
      <c r="E823" s="1" t="n">
        <v>46309</v>
      </c>
      <c r="F823" t="inlineStr">
        <is>
          <t>GÄVLEBORGS LÄN</t>
        </is>
      </c>
      <c r="G823" t="inlineStr">
        <is>
          <t>NORDANSTIG</t>
        </is>
      </c>
      <c r="I823" t="n">
        <v>1.6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s="2" t="inlineStr"/>
    </row>
    <row r="824" ht="15" customHeight="1">
      <c r="A824" t="inlineStr">
        <is>
          <t>A 25089-2026</t>
        </is>
      </c>
      <c r="B824" t="inlineStr">
        <is>
          <t>avverkningsanmälan</t>
        </is>
      </c>
      <c r="C824" t="inlineStr">
        <is>
          <t>Föryngringsavverkning</t>
        </is>
      </c>
      <c r="D824" s="1" t="n">
        <v>46175</v>
      </c>
      <c r="E824" s="1" t="n">
        <v>46309</v>
      </c>
      <c r="F824" t="inlineStr">
        <is>
          <t>GÄVLEBORGS LÄN</t>
        </is>
      </c>
      <c r="G824" t="inlineStr">
        <is>
          <t>NORDANSTIG</t>
        </is>
      </c>
      <c r="H824" t="inlineStr">
        <is>
          <t>Holmen skog AB</t>
        </is>
      </c>
      <c r="I824" t="n">
        <v>1.2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s="2" t="inlineStr"/>
    </row>
    <row r="825" ht="15" customHeight="1">
      <c r="A825" t="inlineStr">
        <is>
          <t>A 32149-2024</t>
        </is>
      </c>
      <c r="B825" t="inlineStr">
        <is>
          <t>avverkningsanmälan</t>
        </is>
      </c>
      <c r="C825" t="inlineStr">
        <is>
          <t>Avverkning för annat ändamål</t>
        </is>
      </c>
      <c r="D825" s="1" t="n">
        <v>45511</v>
      </c>
      <c r="E825" s="1" t="n">
        <v>46309</v>
      </c>
      <c r="F825" t="inlineStr">
        <is>
          <t>GÄVLEBORGS LÄN</t>
        </is>
      </c>
      <c r="G825" t="inlineStr">
        <is>
          <t>NORDANSTIG</t>
        </is>
      </c>
      <c r="I825" t="n">
        <v>1.9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s="2" t="inlineStr"/>
    </row>
    <row r="826" ht="15" customHeight="1">
      <c r="A826" t="inlineStr">
        <is>
          <t>A 30630-2022</t>
        </is>
      </c>
      <c r="B826" t="inlineStr">
        <is>
          <t>avverkningsanmälan</t>
        </is>
      </c>
      <c r="C826" t="inlineStr">
        <is>
          <t>Föryngringsavverkning</t>
        </is>
      </c>
      <c r="D826" s="1" t="n">
        <v>44763</v>
      </c>
      <c r="E826" s="1" t="n">
        <v>46309</v>
      </c>
      <c r="F826" t="inlineStr">
        <is>
          <t>GÄVLEBORGS LÄN</t>
        </is>
      </c>
      <c r="G826" t="inlineStr">
        <is>
          <t>NORDANSTIG</t>
        </is>
      </c>
      <c r="H826" t="inlineStr">
        <is>
          <t>Holmen skog AB</t>
        </is>
      </c>
      <c r="I826" t="n">
        <v>1.4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s="2" t="inlineStr"/>
    </row>
    <row r="827" ht="15" customHeight="1">
      <c r="A827" t="inlineStr">
        <is>
          <t>A 28711-2022</t>
        </is>
      </c>
      <c r="B827" t="inlineStr">
        <is>
          <t>avverkningsanmälan</t>
        </is>
      </c>
      <c r="C827" t="inlineStr">
        <is>
          <t>Föryngringsavverkning</t>
        </is>
      </c>
      <c r="D827" s="1" t="n">
        <v>44748</v>
      </c>
      <c r="E827" s="1" t="n">
        <v>46309</v>
      </c>
      <c r="F827" t="inlineStr">
        <is>
          <t>GÄVLEBORGS LÄN</t>
        </is>
      </c>
      <c r="G827" t="inlineStr">
        <is>
          <t>NORDANSTIG</t>
        </is>
      </c>
      <c r="I827" t="n">
        <v>1.7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s="2" t="inlineStr"/>
    </row>
    <row r="828" ht="15" customHeight="1">
      <c r="A828" t="inlineStr">
        <is>
          <t>A 14402-2025</t>
        </is>
      </c>
      <c r="B828" t="inlineStr">
        <is>
          <t>avverkningsanmälan</t>
        </is>
      </c>
      <c r="C828" t="inlineStr">
        <is>
          <t>Föryngringsavverkning</t>
        </is>
      </c>
      <c r="D828" s="1" t="n">
        <v>45741</v>
      </c>
      <c r="E828" s="1" t="n">
        <v>46309</v>
      </c>
      <c r="F828" t="inlineStr">
        <is>
          <t>GÄVLEBORGS LÄN</t>
        </is>
      </c>
      <c r="G828" t="inlineStr">
        <is>
          <t>NORDANSTIG</t>
        </is>
      </c>
      <c r="I828" t="n">
        <v>17.1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s="2" t="inlineStr"/>
    </row>
    <row r="829" ht="15" customHeight="1">
      <c r="A829" t="inlineStr">
        <is>
          <t>A 25406-2026</t>
        </is>
      </c>
      <c r="B829" t="inlineStr">
        <is>
          <t>avverkningsanmälan</t>
        </is>
      </c>
      <c r="C829" t="inlineStr">
        <is>
          <t>Föryngringsavverkning</t>
        </is>
      </c>
      <c r="D829" s="1" t="n">
        <v>46176</v>
      </c>
      <c r="E829" s="1" t="n">
        <v>46309</v>
      </c>
      <c r="F829" t="inlineStr">
        <is>
          <t>GÄVLEBORGS LÄN</t>
        </is>
      </c>
      <c r="G829" t="inlineStr">
        <is>
          <t>NORDANSTIG</t>
        </is>
      </c>
      <c r="H829" t="inlineStr">
        <is>
          <t>Holmen skog AB</t>
        </is>
      </c>
      <c r="I829" t="n">
        <v>2.3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s="2" t="inlineStr"/>
    </row>
    <row r="830" ht="15" customHeight="1">
      <c r="A830" t="inlineStr">
        <is>
          <t>A 36960-2023</t>
        </is>
      </c>
      <c r="B830" t="inlineStr">
        <is>
          <t>avverkningsanmälan</t>
        </is>
      </c>
      <c r="C830" t="inlineStr">
        <is>
          <t>Avverkning för annat ändamål</t>
        </is>
      </c>
      <c r="D830" s="1" t="n">
        <v>45154</v>
      </c>
      <c r="E830" s="1" t="n">
        <v>46309</v>
      </c>
      <c r="F830" t="inlineStr">
        <is>
          <t>GÄVLEBORGS LÄN</t>
        </is>
      </c>
      <c r="G830" t="inlineStr">
        <is>
          <t>NORDANSTIG</t>
        </is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s="2" t="inlineStr"/>
    </row>
    <row r="831" ht="15" customHeight="1">
      <c r="A831" t="inlineStr">
        <is>
          <t>A 25586-2026</t>
        </is>
      </c>
      <c r="B831" t="inlineStr">
        <is>
          <t>avverkningsanmälan</t>
        </is>
      </c>
      <c r="C831" t="inlineStr">
        <is>
          <t>Föryngringsavverkning</t>
        </is>
      </c>
      <c r="D831" s="1" t="n">
        <v>46177</v>
      </c>
      <c r="E831" s="1" t="n">
        <v>46309</v>
      </c>
      <c r="F831" t="inlineStr">
        <is>
          <t>GÄVLEBORGS LÄN</t>
        </is>
      </c>
      <c r="G831" t="inlineStr">
        <is>
          <t>NORDANSTIG</t>
        </is>
      </c>
      <c r="H831" t="inlineStr">
        <is>
          <t>SCA</t>
        </is>
      </c>
      <c r="I831" t="n">
        <v>1.1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s="2" t="inlineStr"/>
    </row>
    <row r="832" ht="15" customHeight="1">
      <c r="A832" t="inlineStr">
        <is>
          <t>A 30940-2022</t>
        </is>
      </c>
      <c r="B832" t="inlineStr">
        <is>
          <t>avverkningsanmälan</t>
        </is>
      </c>
      <c r="C832" t="inlineStr">
        <is>
          <t>Föryngringsavverkning</t>
        </is>
      </c>
      <c r="D832" s="1" t="n">
        <v>44768</v>
      </c>
      <c r="E832" s="1" t="n">
        <v>46309</v>
      </c>
      <c r="F832" t="inlineStr">
        <is>
          <t>GÄVLEBORGS LÄN</t>
        </is>
      </c>
      <c r="G832" t="inlineStr">
        <is>
          <t>NORDANSTIG</t>
        </is>
      </c>
      <c r="H832" t="inlineStr">
        <is>
          <t>Holmen skog AB</t>
        </is>
      </c>
      <c r="I832" t="n">
        <v>1.8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s="2" t="inlineStr"/>
    </row>
    <row r="833" ht="15" customHeight="1">
      <c r="A833" t="inlineStr">
        <is>
          <t>A 3387-2026</t>
        </is>
      </c>
      <c r="B833" t="inlineStr">
        <is>
          <t>avverkningsanmälan</t>
        </is>
      </c>
      <c r="C833" t="inlineStr">
        <is>
          <t>Föryngringsavverkning</t>
        </is>
      </c>
      <c r="D833" s="1" t="n">
        <v>46042</v>
      </c>
      <c r="E833" s="1" t="n">
        <v>46309</v>
      </c>
      <c r="F833" t="inlineStr">
        <is>
          <t>GÄVLEBORGS LÄN</t>
        </is>
      </c>
      <c r="G833" t="inlineStr">
        <is>
          <t>NORDANSTIG</t>
        </is>
      </c>
      <c r="I833" t="n">
        <v>2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s="2" t="inlineStr"/>
    </row>
    <row r="834" ht="15" customHeight="1">
      <c r="A834" t="inlineStr">
        <is>
          <t>A 55002-2023</t>
        </is>
      </c>
      <c r="B834" t="inlineStr">
        <is>
          <t>avverkningsanmälan</t>
        </is>
      </c>
      <c r="C834" t="inlineStr">
        <is>
          <t>Föryngringsavverkning</t>
        </is>
      </c>
      <c r="D834" s="1" t="n">
        <v>45236</v>
      </c>
      <c r="E834" s="1" t="n">
        <v>46309</v>
      </c>
      <c r="F834" t="inlineStr">
        <is>
          <t>GÄVLEBORGS LÄN</t>
        </is>
      </c>
      <c r="G834" t="inlineStr">
        <is>
          <t>NORDANSTIG</t>
        </is>
      </c>
      <c r="H834" t="inlineStr">
        <is>
          <t>SCA</t>
        </is>
      </c>
      <c r="I834" t="n">
        <v>3.7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s="2" t="inlineStr"/>
    </row>
    <row r="835" ht="15" customHeight="1">
      <c r="A835" t="inlineStr">
        <is>
          <t>A 60398-2023</t>
        </is>
      </c>
      <c r="B835" t="inlineStr">
        <is>
          <t>avverkningsanmälan</t>
        </is>
      </c>
      <c r="C835" t="inlineStr">
        <is>
          <t>Föryngringsavverkning</t>
        </is>
      </c>
      <c r="D835" s="1" t="n">
        <v>45259</v>
      </c>
      <c r="E835" s="1" t="n">
        <v>46309</v>
      </c>
      <c r="F835" t="inlineStr">
        <is>
          <t>GÄVLEBORGS LÄN</t>
        </is>
      </c>
      <c r="G835" t="inlineStr">
        <is>
          <t>NORDANSTIG</t>
        </is>
      </c>
      <c r="I835" t="n">
        <v>2.4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s="2" t="inlineStr"/>
    </row>
    <row r="836" ht="15" customHeight="1">
      <c r="A836" t="inlineStr">
        <is>
          <t>A 10910-2026</t>
        </is>
      </c>
      <c r="B836" t="inlineStr">
        <is>
          <t>avverkningsanmälan</t>
        </is>
      </c>
      <c r="C836" t="inlineStr">
        <is>
          <t>Föryngringsavverkning</t>
        </is>
      </c>
      <c r="D836" s="1" t="n">
        <v>46079</v>
      </c>
      <c r="E836" s="1" t="n">
        <v>46309</v>
      </c>
      <c r="F836" t="inlineStr">
        <is>
          <t>GÄVLEBORGS LÄN</t>
        </is>
      </c>
      <c r="G836" t="inlineStr">
        <is>
          <t>NORDANSTIG</t>
        </is>
      </c>
      <c r="I836" t="n">
        <v>1.1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s="2" t="inlineStr"/>
    </row>
    <row r="837" ht="15" customHeight="1">
      <c r="A837" t="inlineStr">
        <is>
          <t>A 25633-2026</t>
        </is>
      </c>
      <c r="B837" t="inlineStr">
        <is>
          <t>avverkningsanmälan</t>
        </is>
      </c>
      <c r="C837" t="inlineStr">
        <is>
          <t>Föryngringsavverkning</t>
        </is>
      </c>
      <c r="D837" s="1" t="n">
        <v>46177</v>
      </c>
      <c r="E837" s="1" t="n">
        <v>46309</v>
      </c>
      <c r="F837" t="inlineStr">
        <is>
          <t>GÄVLEBORGS LÄN</t>
        </is>
      </c>
      <c r="G837" t="inlineStr">
        <is>
          <t>NORDANSTIG</t>
        </is>
      </c>
      <c r="I837" t="n">
        <v>1.4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s="2" t="inlineStr"/>
    </row>
    <row r="838" ht="15" customHeight="1">
      <c r="A838" t="inlineStr">
        <is>
          <t>A 16640-2025</t>
        </is>
      </c>
      <c r="B838" t="inlineStr">
        <is>
          <t>avverkningsanmälan</t>
        </is>
      </c>
      <c r="C838" t="inlineStr">
        <is>
          <t>Föryngringsavverkning</t>
        </is>
      </c>
      <c r="D838" s="1" t="n">
        <v>45754</v>
      </c>
      <c r="E838" s="1" t="n">
        <v>46309</v>
      </c>
      <c r="F838" t="inlineStr">
        <is>
          <t>GÄVLEBORGS LÄN</t>
        </is>
      </c>
      <c r="G838" t="inlineStr">
        <is>
          <t>NORDANSTIG</t>
        </is>
      </c>
      <c r="H838" t="inlineStr">
        <is>
          <t>Holmen skog AB</t>
        </is>
      </c>
      <c r="I838" t="n">
        <v>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s="2" t="inlineStr"/>
    </row>
    <row r="839" ht="15" customHeight="1">
      <c r="A839" t="inlineStr">
        <is>
          <t>A 11627-2026</t>
        </is>
      </c>
      <c r="B839" t="inlineStr">
        <is>
          <t>avverkningsanmälan</t>
        </is>
      </c>
      <c r="C839" t="inlineStr">
        <is>
          <t>Föryngringsavverkning</t>
        </is>
      </c>
      <c r="D839" s="1" t="n">
        <v>46084</v>
      </c>
      <c r="E839" s="1" t="n">
        <v>46309</v>
      </c>
      <c r="F839" t="inlineStr">
        <is>
          <t>GÄVLEBORGS LÄN</t>
        </is>
      </c>
      <c r="G839" t="inlineStr">
        <is>
          <t>NORDANSTIG</t>
        </is>
      </c>
      <c r="I839" t="n">
        <v>1.9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s="2" t="inlineStr"/>
    </row>
    <row r="840" ht="15" customHeight="1">
      <c r="A840" t="inlineStr">
        <is>
          <t>A 7916-2022</t>
        </is>
      </c>
      <c r="B840" t="inlineStr">
        <is>
          <t>avverkningsanmälan</t>
        </is>
      </c>
      <c r="C840" t="inlineStr">
        <is>
          <t>Föryngringsavverkning</t>
        </is>
      </c>
      <c r="D840" s="1" t="n">
        <v>44608</v>
      </c>
      <c r="E840" s="1" t="n">
        <v>46309</v>
      </c>
      <c r="F840" t="inlineStr">
        <is>
          <t>GÄVLEBORGS LÄN</t>
        </is>
      </c>
      <c r="G840" t="inlineStr">
        <is>
          <t>NORDANSTIG</t>
        </is>
      </c>
      <c r="I840" t="n">
        <v>2.7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s="2" t="inlineStr"/>
    </row>
    <row r="841" ht="15" customHeight="1">
      <c r="A841" t="inlineStr">
        <is>
          <t>A 26126-2026</t>
        </is>
      </c>
      <c r="B841" t="inlineStr">
        <is>
          <t>avverkningsanmälan</t>
        </is>
      </c>
      <c r="C841" t="inlineStr">
        <is>
          <t>Föryngringsavverkning</t>
        </is>
      </c>
      <c r="D841" s="1" t="n">
        <v>46181</v>
      </c>
      <c r="E841" s="1" t="n">
        <v>46309</v>
      </c>
      <c r="F841" t="inlineStr">
        <is>
          <t>GÄVLEBORGS LÄN</t>
        </is>
      </c>
      <c r="G841" t="inlineStr">
        <is>
          <t>NORDANSTIG</t>
        </is>
      </c>
      <c r="H841" t="inlineStr">
        <is>
          <t>Holmen skog AB</t>
        </is>
      </c>
      <c r="I841" t="n">
        <v>3.9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s="2" t="inlineStr"/>
    </row>
    <row r="842" ht="15" customHeight="1">
      <c r="A842" t="inlineStr">
        <is>
          <t>A 23369-2022</t>
        </is>
      </c>
      <c r="B842" t="inlineStr">
        <is>
          <t>avverkningsanmälan</t>
        </is>
      </c>
      <c r="C842" t="inlineStr">
        <is>
          <t>Föryngringsavverkning</t>
        </is>
      </c>
      <c r="D842" s="1" t="n">
        <v>44720</v>
      </c>
      <c r="E842" s="1" t="n">
        <v>46309</v>
      </c>
      <c r="F842" t="inlineStr">
        <is>
          <t>GÄVLEBORGS LÄN</t>
        </is>
      </c>
      <c r="G842" t="inlineStr">
        <is>
          <t>NORDANSTIG</t>
        </is>
      </c>
      <c r="I842" t="n">
        <v>5.3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s="2" t="inlineStr"/>
    </row>
    <row r="843" ht="15" customHeight="1">
      <c r="A843" t="inlineStr">
        <is>
          <t>A 40269-2023</t>
        </is>
      </c>
      <c r="B843" t="inlineStr">
        <is>
          <t>avverkningsanmälan</t>
        </is>
      </c>
      <c r="C843" t="inlineStr">
        <is>
          <t>Föryngringsavverkning</t>
        </is>
      </c>
      <c r="D843" s="1" t="n">
        <v>45169</v>
      </c>
      <c r="E843" s="1" t="n">
        <v>46309</v>
      </c>
      <c r="F843" t="inlineStr">
        <is>
          <t>GÄVLEBORGS LÄN</t>
        </is>
      </c>
      <c r="G843" t="inlineStr">
        <is>
          <t>NORDANSTIG</t>
        </is>
      </c>
      <c r="I843" t="n">
        <v>2.1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s="2" t="inlineStr"/>
    </row>
    <row r="844" ht="15" customHeight="1">
      <c r="A844" t="inlineStr">
        <is>
          <t>A 12216-2025</t>
        </is>
      </c>
      <c r="B844" t="inlineStr">
        <is>
          <t>avverkningsanmälan</t>
        </is>
      </c>
      <c r="C844" t="inlineStr">
        <is>
          <t>Föryngringsavverkning</t>
        </is>
      </c>
      <c r="D844" s="1" t="n">
        <v>45729</v>
      </c>
      <c r="E844" s="1" t="n">
        <v>46309</v>
      </c>
      <c r="F844" t="inlineStr">
        <is>
          <t>GÄVLEBORGS LÄN</t>
        </is>
      </c>
      <c r="G844" t="inlineStr">
        <is>
          <t>NORDANSTIG</t>
        </is>
      </c>
      <c r="I844" t="n">
        <v>3.3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s="2" t="inlineStr"/>
    </row>
    <row r="845" ht="15" customHeight="1">
      <c r="A845" t="inlineStr">
        <is>
          <t>A 26044-2026</t>
        </is>
      </c>
      <c r="B845" t="inlineStr">
        <is>
          <t>avverkningsanmälan</t>
        </is>
      </c>
      <c r="C845" t="inlineStr">
        <is>
          <t>Föryngringsavverkning</t>
        </is>
      </c>
      <c r="D845" s="1" t="n">
        <v>46181</v>
      </c>
      <c r="E845" s="1" t="n">
        <v>46309</v>
      </c>
      <c r="F845" t="inlineStr">
        <is>
          <t>GÄVLEBORGS LÄN</t>
        </is>
      </c>
      <c r="G845" t="inlineStr">
        <is>
          <t>NORDANSTIG</t>
        </is>
      </c>
      <c r="H845" t="inlineStr">
        <is>
          <t>Holmen skog AB</t>
        </is>
      </c>
      <c r="I845" t="n">
        <v>2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s="2" t="inlineStr"/>
    </row>
    <row r="846" ht="15" customHeight="1">
      <c r="A846" t="inlineStr">
        <is>
          <t>A 5608-2026</t>
        </is>
      </c>
      <c r="B846" t="inlineStr">
        <is>
          <t>avverkningsanmälan</t>
        </is>
      </c>
      <c r="C846" t="inlineStr">
        <is>
          <t>Föryngringsavverkning</t>
        </is>
      </c>
      <c r="D846" s="1" t="n">
        <v>46051</v>
      </c>
      <c r="E846" s="1" t="n">
        <v>46309</v>
      </c>
      <c r="F846" t="inlineStr">
        <is>
          <t>GÄVLEBORGS LÄN</t>
        </is>
      </c>
      <c r="G846" t="inlineStr">
        <is>
          <t>NORDANSTIG</t>
        </is>
      </c>
      <c r="I846" t="n">
        <v>1.2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s="2" t="inlineStr"/>
    </row>
    <row r="847" ht="15" customHeight="1">
      <c r="A847" t="inlineStr">
        <is>
          <t>A 3640-2026</t>
        </is>
      </c>
      <c r="B847" t="inlineStr">
        <is>
          <t>avverkningsanmälan</t>
        </is>
      </c>
      <c r="C847" t="inlineStr">
        <is>
          <t>Föryngringsavverkning</t>
        </is>
      </c>
      <c r="D847" s="1" t="n">
        <v>46043</v>
      </c>
      <c r="E847" s="1" t="n">
        <v>46309</v>
      </c>
      <c r="F847" t="inlineStr">
        <is>
          <t>GÄVLEBORGS LÄN</t>
        </is>
      </c>
      <c r="G847" t="inlineStr">
        <is>
          <t>NORDANSTIG</t>
        </is>
      </c>
      <c r="I847" t="n">
        <v>1.4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s="2" t="inlineStr"/>
    </row>
    <row r="848" ht="15" customHeight="1">
      <c r="A848" t="inlineStr">
        <is>
          <t>A 25931-2026</t>
        </is>
      </c>
      <c r="B848" t="inlineStr">
        <is>
          <t>avverkningsanmälan</t>
        </is>
      </c>
      <c r="C848" t="inlineStr">
        <is>
          <t>Föryngringsavverkning</t>
        </is>
      </c>
      <c r="D848" s="1" t="n">
        <v>46179</v>
      </c>
      <c r="E848" s="1" t="n">
        <v>46309</v>
      </c>
      <c r="F848" t="inlineStr">
        <is>
          <t>GÄVLEBORGS LÄN</t>
        </is>
      </c>
      <c r="G848" t="inlineStr">
        <is>
          <t>NORDANSTIG</t>
        </is>
      </c>
      <c r="I848" t="n">
        <v>8.4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s="2" t="inlineStr"/>
    </row>
    <row r="849" ht="15" customHeight="1">
      <c r="A849" t="inlineStr">
        <is>
          <t>A 25704-2026</t>
        </is>
      </c>
      <c r="B849" t="inlineStr">
        <is>
          <t>avverkningsanmälan</t>
        </is>
      </c>
      <c r="C849" t="inlineStr">
        <is>
          <t>Föryngringsavverkning</t>
        </is>
      </c>
      <c r="D849" s="1" t="n">
        <v>46178</v>
      </c>
      <c r="E849" s="1" t="n">
        <v>46309</v>
      </c>
      <c r="F849" t="inlineStr">
        <is>
          <t>GÄVLEBORGS LÄN</t>
        </is>
      </c>
      <c r="G849" t="inlineStr">
        <is>
          <t>NORDANSTIG</t>
        </is>
      </c>
      <c r="H849" t="inlineStr">
        <is>
          <t>Holmen skog AB</t>
        </is>
      </c>
      <c r="I849" t="n">
        <v>5.1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s="2" t="inlineStr"/>
    </row>
    <row r="850" ht="15" customHeight="1">
      <c r="A850" t="inlineStr">
        <is>
          <t>A 41620-2023</t>
        </is>
      </c>
      <c r="B850" t="inlineStr">
        <is>
          <t>avverkningsanmälan</t>
        </is>
      </c>
      <c r="C850" t="inlineStr">
        <is>
          <t>Föryngringsavverkning</t>
        </is>
      </c>
      <c r="D850" s="1" t="n">
        <v>45175</v>
      </c>
      <c r="E850" s="1" t="n">
        <v>46309</v>
      </c>
      <c r="F850" t="inlineStr">
        <is>
          <t>GÄVLEBORGS LÄN</t>
        </is>
      </c>
      <c r="G850" t="inlineStr">
        <is>
          <t>NORDANSTIG</t>
        </is>
      </c>
      <c r="I850" t="n">
        <v>0.5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s="2" t="inlineStr"/>
    </row>
    <row r="851" ht="15" customHeight="1">
      <c r="A851" t="inlineStr">
        <is>
          <t>A 20577-2025</t>
        </is>
      </c>
      <c r="B851" t="inlineStr">
        <is>
          <t>avverkningsanmälan</t>
        </is>
      </c>
      <c r="C851" t="inlineStr">
        <is>
          <t>Föryngringsavverkning</t>
        </is>
      </c>
      <c r="D851" s="1" t="n">
        <v>45775</v>
      </c>
      <c r="E851" s="1" t="n">
        <v>46309</v>
      </c>
      <c r="F851" t="inlineStr">
        <is>
          <t>GÄVLEBORGS LÄN</t>
        </is>
      </c>
      <c r="G851" t="inlineStr">
        <is>
          <t>NORDANSTIG</t>
        </is>
      </c>
      <c r="H851" t="inlineStr">
        <is>
          <t>Holmen skog AB</t>
        </is>
      </c>
      <c r="I851" t="n">
        <v>3.3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s="2" t="inlineStr"/>
    </row>
    <row r="852" ht="15" customHeight="1">
      <c r="A852" t="inlineStr">
        <is>
          <t>A 18445-2025</t>
        </is>
      </c>
      <c r="B852" t="inlineStr">
        <is>
          <t>avverkningsanmälan</t>
        </is>
      </c>
      <c r="C852" t="inlineStr">
        <is>
          <t>Föryngringsavverkning</t>
        </is>
      </c>
      <c r="D852" s="1" t="n">
        <v>45762</v>
      </c>
      <c r="E852" s="1" t="n">
        <v>46309</v>
      </c>
      <c r="F852" t="inlineStr">
        <is>
          <t>GÄVLEBORGS LÄN</t>
        </is>
      </c>
      <c r="G852" t="inlineStr">
        <is>
          <t>NORDANSTIG</t>
        </is>
      </c>
      <c r="H852" t="inlineStr">
        <is>
          <t>Holmen skog AB</t>
        </is>
      </c>
      <c r="I852" t="n">
        <v>5.2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s="2" t="inlineStr"/>
    </row>
    <row r="853" ht="15" customHeight="1">
      <c r="A853" t="inlineStr">
        <is>
          <t>A 26486-2026</t>
        </is>
      </c>
      <c r="B853" t="inlineStr">
        <is>
          <t>avverkningsanmälan</t>
        </is>
      </c>
      <c r="C853" t="inlineStr">
        <is>
          <t>Föryngringsavverkning</t>
        </is>
      </c>
      <c r="D853" s="1" t="n">
        <v>46183</v>
      </c>
      <c r="E853" s="1" t="n">
        <v>46309</v>
      </c>
      <c r="F853" t="inlineStr">
        <is>
          <t>GÄVLEBORGS LÄN</t>
        </is>
      </c>
      <c r="G853" t="inlineStr">
        <is>
          <t>NORDANSTIG</t>
        </is>
      </c>
      <c r="I853" t="n">
        <v>3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s="2" t="inlineStr"/>
    </row>
    <row r="854" ht="15" customHeight="1">
      <c r="A854" t="inlineStr">
        <is>
          <t>A 26238-2026</t>
        </is>
      </c>
      <c r="B854" t="inlineStr">
        <is>
          <t>avverkningsanmälan</t>
        </is>
      </c>
      <c r="C854" t="inlineStr">
        <is>
          <t>Föryngringsavverkning</t>
        </is>
      </c>
      <c r="D854" s="1" t="n">
        <v>46182</v>
      </c>
      <c r="E854" s="1" t="n">
        <v>46309</v>
      </c>
      <c r="F854" t="inlineStr">
        <is>
          <t>GÄVLEBORGS LÄN</t>
        </is>
      </c>
      <c r="G854" t="inlineStr">
        <is>
          <t>NORDANSTIG</t>
        </is>
      </c>
      <c r="H854" t="inlineStr">
        <is>
          <t>SCA</t>
        </is>
      </c>
      <c r="I854" t="n">
        <v>1.1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s="2" t="inlineStr"/>
    </row>
    <row r="855" ht="15" customHeight="1">
      <c r="A855" t="inlineStr">
        <is>
          <t>A 44446-2023</t>
        </is>
      </c>
      <c r="B855" t="inlineStr">
        <is>
          <t>avverkningsanmälan</t>
        </is>
      </c>
      <c r="C855" t="inlineStr">
        <is>
          <t>Föryngringsavverkning</t>
        </is>
      </c>
      <c r="D855" s="1" t="n">
        <v>45189</v>
      </c>
      <c r="E855" s="1" t="n">
        <v>46309</v>
      </c>
      <c r="F855" t="inlineStr">
        <is>
          <t>GÄVLEBORGS LÄN</t>
        </is>
      </c>
      <c r="G855" t="inlineStr">
        <is>
          <t>NORDANSTIG</t>
        </is>
      </c>
      <c r="H855" t="inlineStr">
        <is>
          <t>Holmen skog AB</t>
        </is>
      </c>
      <c r="I855" t="n">
        <v>4.9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s="2" t="inlineStr"/>
    </row>
    <row r="856" ht="15" customHeight="1">
      <c r="A856" t="inlineStr">
        <is>
          <t>A 26838-2026</t>
        </is>
      </c>
      <c r="B856" t="inlineStr">
        <is>
          <t>avverkningsanmälan</t>
        </is>
      </c>
      <c r="C856" t="inlineStr">
        <is>
          <t>Föryngringsavverkning</t>
        </is>
      </c>
      <c r="D856" s="1" t="n">
        <v>46185</v>
      </c>
      <c r="E856" s="1" t="n">
        <v>46309</v>
      </c>
      <c r="F856" t="inlineStr">
        <is>
          <t>GÄVLEBORGS LÄN</t>
        </is>
      </c>
      <c r="G856" t="inlineStr">
        <is>
          <t>NORDANSTIG</t>
        </is>
      </c>
      <c r="H856" t="inlineStr">
        <is>
          <t>SCA</t>
        </is>
      </c>
      <c r="I856" t="n">
        <v>0.6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s="2" t="inlineStr"/>
    </row>
    <row r="857" ht="15" customHeight="1">
      <c r="A857" t="inlineStr">
        <is>
          <t>A 26634-2026</t>
        </is>
      </c>
      <c r="B857" t="inlineStr">
        <is>
          <t>avverkningsanmälan</t>
        </is>
      </c>
      <c r="C857" t="inlineStr">
        <is>
          <t>Föryngringsavverkning</t>
        </is>
      </c>
      <c r="D857" s="1" t="n">
        <v>46184</v>
      </c>
      <c r="E857" s="1" t="n">
        <v>46309</v>
      </c>
      <c r="F857" t="inlineStr">
        <is>
          <t>GÄVLEBORGS LÄN</t>
        </is>
      </c>
      <c r="G857" t="inlineStr">
        <is>
          <t>NORDANSTIG</t>
        </is>
      </c>
      <c r="H857" t="inlineStr">
        <is>
          <t>Holmen skog AB</t>
        </is>
      </c>
      <c r="I857" t="n">
        <v>1.7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s="2" t="inlineStr"/>
    </row>
    <row r="858" ht="15" customHeight="1">
      <c r="A858" t="inlineStr">
        <is>
          <t>A 26893-2026</t>
        </is>
      </c>
      <c r="B858" t="inlineStr">
        <is>
          <t>avverkningsanmälan</t>
        </is>
      </c>
      <c r="C858" t="inlineStr">
        <is>
          <t>Föryngringsavverkning</t>
        </is>
      </c>
      <c r="D858" s="1" t="n">
        <v>46185</v>
      </c>
      <c r="E858" s="1" t="n">
        <v>46309</v>
      </c>
      <c r="F858" t="inlineStr">
        <is>
          <t>GÄVLEBORGS LÄN</t>
        </is>
      </c>
      <c r="G858" t="inlineStr">
        <is>
          <t>NORDANSTIG</t>
        </is>
      </c>
      <c r="I858" t="n">
        <v>2.1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s="2" t="inlineStr"/>
    </row>
    <row r="859" ht="15" customHeight="1">
      <c r="A859" t="inlineStr">
        <is>
          <t>A 31899-2022</t>
        </is>
      </c>
      <c r="B859" t="inlineStr">
        <is>
          <t>avverkningsanmälan</t>
        </is>
      </c>
      <c r="C859" t="inlineStr">
        <is>
          <t>Föryngringsavverkning</t>
        </is>
      </c>
      <c r="D859" s="1" t="n">
        <v>44777</v>
      </c>
      <c r="E859" s="1" t="n">
        <v>46309</v>
      </c>
      <c r="F859" t="inlineStr">
        <is>
          <t>GÄVLEBORGS LÄN</t>
        </is>
      </c>
      <c r="G859" t="inlineStr">
        <is>
          <t>NORDANSTIG</t>
        </is>
      </c>
      <c r="H859" t="inlineStr">
        <is>
          <t>Holmen skog AB</t>
        </is>
      </c>
      <c r="I859" t="n">
        <v>1.1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s="2" t="inlineStr"/>
    </row>
    <row r="860" ht="15" customHeight="1">
      <c r="A860" t="inlineStr">
        <is>
          <t>A 37295-2022</t>
        </is>
      </c>
      <c r="B860" t="inlineStr">
        <is>
          <t>avverkningsanmälan</t>
        </is>
      </c>
      <c r="C860" t="inlineStr">
        <is>
          <t>Avverkning för annat ändamål</t>
        </is>
      </c>
      <c r="D860" s="1" t="n">
        <v>44808</v>
      </c>
      <c r="E860" s="1" t="n">
        <v>46309</v>
      </c>
      <c r="F860" t="inlineStr">
        <is>
          <t>GÄVLEBORGS LÄN</t>
        </is>
      </c>
      <c r="G860" t="inlineStr">
        <is>
          <t>NORDANSTIG</t>
        </is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s="2" t="inlineStr"/>
    </row>
    <row r="861" ht="15" customHeight="1">
      <c r="A861" t="inlineStr">
        <is>
          <t>A 27114-2026</t>
        </is>
      </c>
      <c r="B861" t="inlineStr">
        <is>
          <t>avverkningsanmälan</t>
        </is>
      </c>
      <c r="C861" t="inlineStr">
        <is>
          <t>Föryngringsavverkning</t>
        </is>
      </c>
      <c r="D861" s="1" t="n">
        <v>46188</v>
      </c>
      <c r="E861" s="1" t="n">
        <v>46309</v>
      </c>
      <c r="F861" t="inlineStr">
        <is>
          <t>GÄVLEBORGS LÄN</t>
        </is>
      </c>
      <c r="G861" t="inlineStr">
        <is>
          <t>NORDANSTIG</t>
        </is>
      </c>
      <c r="H861" t="inlineStr">
        <is>
          <t>Holmen skog AB</t>
        </is>
      </c>
      <c r="I861" t="n">
        <v>36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s="2" t="inlineStr"/>
    </row>
    <row r="862" ht="15" customHeight="1">
      <c r="A862" t="inlineStr">
        <is>
          <t>A 27129-2026</t>
        </is>
      </c>
      <c r="B862" t="inlineStr">
        <is>
          <t>avverkningsanmälan</t>
        </is>
      </c>
      <c r="C862" t="inlineStr">
        <is>
          <t>Föryngringsavverkning</t>
        </is>
      </c>
      <c r="D862" s="1" t="n">
        <v>46188</v>
      </c>
      <c r="E862" s="1" t="n">
        <v>46309</v>
      </c>
      <c r="F862" t="inlineStr">
        <is>
          <t>GÄVLEBORGS LÄN</t>
        </is>
      </c>
      <c r="G862" t="inlineStr">
        <is>
          <t>NORDANSTIG</t>
        </is>
      </c>
      <c r="H862" t="inlineStr">
        <is>
          <t>Holmen skog AB</t>
        </is>
      </c>
      <c r="I862" t="n">
        <v>25.3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s="2" t="inlineStr"/>
    </row>
    <row r="863" ht="15" customHeight="1">
      <c r="A863" t="inlineStr">
        <is>
          <t>A 41773-2025</t>
        </is>
      </c>
      <c r="B863" t="inlineStr">
        <is>
          <t>avverkningsanmälan</t>
        </is>
      </c>
      <c r="C863" t="inlineStr">
        <is>
          <t>Föryngringsavverkning</t>
        </is>
      </c>
      <c r="D863" s="1" t="n">
        <v>45902</v>
      </c>
      <c r="E863" s="1" t="n">
        <v>46309</v>
      </c>
      <c r="F863" t="inlineStr">
        <is>
          <t>GÄVLEBORGS LÄN</t>
        </is>
      </c>
      <c r="G863" t="inlineStr">
        <is>
          <t>NORDANSTIG</t>
        </is>
      </c>
      <c r="I863" t="n">
        <v>2.1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s="2" t="inlineStr"/>
    </row>
    <row r="864" ht="15" customHeight="1">
      <c r="A864" t="inlineStr">
        <is>
          <t>A 27236-2026</t>
        </is>
      </c>
      <c r="B864" t="inlineStr">
        <is>
          <t>avverkningsanmälan</t>
        </is>
      </c>
      <c r="C864" t="inlineStr">
        <is>
          <t>Föryngringsavverkning</t>
        </is>
      </c>
      <c r="D864" s="1" t="n">
        <v>46188</v>
      </c>
      <c r="E864" s="1" t="n">
        <v>46309</v>
      </c>
      <c r="F864" t="inlineStr">
        <is>
          <t>GÄVLEBORGS LÄN</t>
        </is>
      </c>
      <c r="G864" t="inlineStr">
        <is>
          <t>NORDANSTIG</t>
        </is>
      </c>
      <c r="I864" t="n">
        <v>1.1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s="2" t="inlineStr"/>
    </row>
    <row r="865" ht="15" customHeight="1">
      <c r="A865" t="inlineStr">
        <is>
          <t>A 27183-2026</t>
        </is>
      </c>
      <c r="B865" t="inlineStr">
        <is>
          <t>avverkningsanmälan</t>
        </is>
      </c>
      <c r="C865" t="inlineStr">
        <is>
          <t>Föryngringsavverkning</t>
        </is>
      </c>
      <c r="D865" s="1" t="n">
        <v>46188</v>
      </c>
      <c r="E865" s="1" t="n">
        <v>46309</v>
      </c>
      <c r="F865" t="inlineStr">
        <is>
          <t>GÄVLEBORGS LÄN</t>
        </is>
      </c>
      <c r="G865" t="inlineStr">
        <is>
          <t>NORDANSTIG</t>
        </is>
      </c>
      <c r="I865" t="n">
        <v>4.5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s="2" t="inlineStr"/>
    </row>
    <row r="866" ht="15" customHeight="1">
      <c r="A866" t="inlineStr">
        <is>
          <t>A 27150-2026</t>
        </is>
      </c>
      <c r="B866" t="inlineStr">
        <is>
          <t>avverkningsanmälan</t>
        </is>
      </c>
      <c r="C866" t="inlineStr">
        <is>
          <t>Föryngringsavverkning</t>
        </is>
      </c>
      <c r="D866" s="1" t="n">
        <v>46188</v>
      </c>
      <c r="E866" s="1" t="n">
        <v>46309</v>
      </c>
      <c r="F866" t="inlineStr">
        <is>
          <t>GÄVLEBORGS LÄN</t>
        </is>
      </c>
      <c r="G866" t="inlineStr">
        <is>
          <t>NORDANSTIG</t>
        </is>
      </c>
      <c r="I866" t="n">
        <v>0.9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s="2" t="inlineStr"/>
    </row>
    <row r="867" ht="15" customHeight="1">
      <c r="A867" t="inlineStr">
        <is>
          <t>A 2573-2024</t>
        </is>
      </c>
      <c r="B867" t="inlineStr">
        <is>
          <t>avverkningsanmälan</t>
        </is>
      </c>
      <c r="C867" t="inlineStr">
        <is>
          <t>Föryngringsavverkning</t>
        </is>
      </c>
      <c r="D867" s="1" t="n">
        <v>45313</v>
      </c>
      <c r="E867" s="1" t="n">
        <v>46309</v>
      </c>
      <c r="F867" t="inlineStr">
        <is>
          <t>GÄVLEBORGS LÄN</t>
        </is>
      </c>
      <c r="G867" t="inlineStr">
        <is>
          <t>NORDANSTIG</t>
        </is>
      </c>
      <c r="I867" t="n">
        <v>2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s="2" t="inlineStr"/>
    </row>
    <row r="868" ht="15" customHeight="1">
      <c r="A868" t="inlineStr">
        <is>
          <t>A 5411-2022</t>
        </is>
      </c>
      <c r="B868" t="inlineStr">
        <is>
          <t>avverkningsanmälan</t>
        </is>
      </c>
      <c r="C868" t="inlineStr">
        <is>
          <t>Föryngringsavverkning</t>
        </is>
      </c>
      <c r="D868" s="1" t="n">
        <v>44595</v>
      </c>
      <c r="E868" s="1" t="n">
        <v>46309</v>
      </c>
      <c r="F868" t="inlineStr">
        <is>
          <t>GÄVLEBORGS LÄN</t>
        </is>
      </c>
      <c r="G868" t="inlineStr">
        <is>
          <t>NORDANSTIG</t>
        </is>
      </c>
      <c r="I868" t="n">
        <v>3.5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s="2" t="inlineStr"/>
    </row>
    <row r="869" ht="15" customHeight="1">
      <c r="A869" t="inlineStr">
        <is>
          <t>A 37972-2022</t>
        </is>
      </c>
      <c r="B869" t="inlineStr">
        <is>
          <t>avverkningsanmälan</t>
        </is>
      </c>
      <c r="C869" t="inlineStr">
        <is>
          <t>Föryngringsavverkning</t>
        </is>
      </c>
      <c r="D869" s="1" t="n">
        <v>44811</v>
      </c>
      <c r="E869" s="1" t="n">
        <v>46309</v>
      </c>
      <c r="F869" t="inlineStr">
        <is>
          <t>GÄVLEBORGS LÄN</t>
        </is>
      </c>
      <c r="G869" t="inlineStr">
        <is>
          <t>NORDANSTIG</t>
        </is>
      </c>
      <c r="I869" t="n">
        <v>2.7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s="2" t="inlineStr"/>
    </row>
    <row r="870" ht="15" customHeight="1">
      <c r="A870" t="inlineStr">
        <is>
          <t>A 37986-2022</t>
        </is>
      </c>
      <c r="B870" t="inlineStr">
        <is>
          <t>avverkningsanmälan</t>
        </is>
      </c>
      <c r="C870" t="inlineStr">
        <is>
          <t>Föryngringsavverkning</t>
        </is>
      </c>
      <c r="D870" s="1" t="n">
        <v>44811</v>
      </c>
      <c r="E870" s="1" t="n">
        <v>46309</v>
      </c>
      <c r="F870" t="inlineStr">
        <is>
          <t>GÄVLEBORGS LÄN</t>
        </is>
      </c>
      <c r="G870" t="inlineStr">
        <is>
          <t>NORDANSTIG</t>
        </is>
      </c>
      <c r="I870" t="n">
        <v>2.2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s="2" t="inlineStr"/>
    </row>
    <row r="871" ht="15" customHeight="1">
      <c r="A871" t="inlineStr">
        <is>
          <t>A 35070-2022</t>
        </is>
      </c>
      <c r="B871" t="inlineStr">
        <is>
          <t>avverkningsanmälan</t>
        </is>
      </c>
      <c r="C871" t="inlineStr">
        <is>
          <t>Föryngringsavverkning</t>
        </is>
      </c>
      <c r="D871" s="1" t="n">
        <v>44797</v>
      </c>
      <c r="E871" s="1" t="n">
        <v>46309</v>
      </c>
      <c r="F871" t="inlineStr">
        <is>
          <t>GÄVLEBORGS LÄN</t>
        </is>
      </c>
      <c r="G871" t="inlineStr">
        <is>
          <t>NORDANSTIG</t>
        </is>
      </c>
      <c r="H871" t="inlineStr">
        <is>
          <t>Holmen skog AB</t>
        </is>
      </c>
      <c r="I871" t="n">
        <v>1.7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s="2" t="inlineStr"/>
    </row>
    <row r="872" ht="15" customHeight="1">
      <c r="A872" t="inlineStr">
        <is>
          <t>A 46111-2023</t>
        </is>
      </c>
      <c r="B872" t="inlineStr">
        <is>
          <t>avverkningsanmälan</t>
        </is>
      </c>
      <c r="C872" t="inlineStr">
        <is>
          <t>Föryngringsavverkning</t>
        </is>
      </c>
      <c r="D872" s="1" t="n">
        <v>45196</v>
      </c>
      <c r="E872" s="1" t="n">
        <v>46309</v>
      </c>
      <c r="F872" t="inlineStr">
        <is>
          <t>GÄVLEBORGS LÄN</t>
        </is>
      </c>
      <c r="G872" t="inlineStr">
        <is>
          <t>NORDANSTIG</t>
        </is>
      </c>
      <c r="I872" t="n">
        <v>0.6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s="2" t="inlineStr"/>
    </row>
    <row r="873" ht="15" customHeight="1">
      <c r="A873" t="inlineStr">
        <is>
          <t>A 27975-2026</t>
        </is>
      </c>
      <c r="B873" t="inlineStr">
        <is>
          <t>avverkningsanmälan</t>
        </is>
      </c>
      <c r="C873" t="inlineStr">
        <is>
          <t>Föryngringsavverkning</t>
        </is>
      </c>
      <c r="D873" s="1" t="n">
        <v>46195</v>
      </c>
      <c r="E873" s="1" t="n">
        <v>46309</v>
      </c>
      <c r="F873" t="inlineStr">
        <is>
          <t>GÄVLEBORGS LÄN</t>
        </is>
      </c>
      <c r="G873" t="inlineStr">
        <is>
          <t>NORDANSTIG</t>
        </is>
      </c>
      <c r="I873" t="n">
        <v>5.6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s="2" t="inlineStr"/>
    </row>
    <row r="874" ht="15" customHeight="1">
      <c r="A874" t="inlineStr">
        <is>
          <t>A 27976-2026</t>
        </is>
      </c>
      <c r="B874" t="inlineStr">
        <is>
          <t>avverkningsanmälan</t>
        </is>
      </c>
      <c r="C874" t="inlineStr">
        <is>
          <t>Föryngringsavverkning</t>
        </is>
      </c>
      <c r="D874" s="1" t="n">
        <v>46195</v>
      </c>
      <c r="E874" s="1" t="n">
        <v>46309</v>
      </c>
      <c r="F874" t="inlineStr">
        <is>
          <t>GÄVLEBORGS LÄN</t>
        </is>
      </c>
      <c r="G874" t="inlineStr">
        <is>
          <t>NORDANSTIG</t>
        </is>
      </c>
      <c r="I874" t="n">
        <v>2.2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s="2" t="inlineStr"/>
    </row>
    <row r="875" ht="15" customHeight="1">
      <c r="A875" t="inlineStr">
        <is>
          <t>A 27981-2026</t>
        </is>
      </c>
      <c r="B875" t="inlineStr">
        <is>
          <t>avverkningsanmälan</t>
        </is>
      </c>
      <c r="C875" t="inlineStr">
        <is>
          <t>Föryngringsavverkning</t>
        </is>
      </c>
      <c r="D875" s="1" t="n">
        <v>46195</v>
      </c>
      <c r="E875" s="1" t="n">
        <v>46309</v>
      </c>
      <c r="F875" t="inlineStr">
        <is>
          <t>GÄVLEBORGS LÄN</t>
        </is>
      </c>
      <c r="G875" t="inlineStr">
        <is>
          <t>NORDANSTIG</t>
        </is>
      </c>
      <c r="I875" t="n">
        <v>3.9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s="2" t="inlineStr"/>
    </row>
    <row r="876" ht="15" customHeight="1">
      <c r="A876" t="inlineStr">
        <is>
          <t>A 55026-2022</t>
        </is>
      </c>
      <c r="B876" t="inlineStr">
        <is>
          <t>avverkningsanmälan</t>
        </is>
      </c>
      <c r="C876" t="inlineStr">
        <is>
          <t>Föryngringsavverkning</t>
        </is>
      </c>
      <c r="D876" s="1" t="n">
        <v>44886</v>
      </c>
      <c r="E876" s="1" t="n">
        <v>46309</v>
      </c>
      <c r="F876" t="inlineStr">
        <is>
          <t>GÄVLEBORGS LÄN</t>
        </is>
      </c>
      <c r="G876" t="inlineStr">
        <is>
          <t>NORDANSTIG</t>
        </is>
      </c>
      <c r="H876" t="inlineStr">
        <is>
          <t>Holmen skog AB</t>
        </is>
      </c>
      <c r="I876" t="n">
        <v>1.5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s="2" t="inlineStr"/>
    </row>
    <row r="877" ht="15" customHeight="1">
      <c r="A877" t="inlineStr">
        <is>
          <t>A 55120-2022</t>
        </is>
      </c>
      <c r="B877" t="inlineStr">
        <is>
          <t>avverkningsanmälan</t>
        </is>
      </c>
      <c r="C877" t="inlineStr">
        <is>
          <t>Föryngringsavverkning</t>
        </is>
      </c>
      <c r="D877" s="1" t="n">
        <v>44886</v>
      </c>
      <c r="E877" s="1" t="n">
        <v>46309</v>
      </c>
      <c r="F877" t="inlineStr">
        <is>
          <t>GÄVLEBORGS LÄN</t>
        </is>
      </c>
      <c r="G877" t="inlineStr">
        <is>
          <t>NORDANSTIG</t>
        </is>
      </c>
      <c r="H877" t="inlineStr">
        <is>
          <t>Holmen skog AB</t>
        </is>
      </c>
      <c r="I877" t="n">
        <v>8.4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s="2" t="inlineStr"/>
    </row>
    <row r="878" ht="15" customHeight="1">
      <c r="A878" t="inlineStr">
        <is>
          <t>A 6820-2023</t>
        </is>
      </c>
      <c r="B878" t="inlineStr">
        <is>
          <t>avverkningsanmälan</t>
        </is>
      </c>
      <c r="C878" t="inlineStr">
        <is>
          <t>Avverkning för att bevara och utveckla /försöksver</t>
        </is>
      </c>
      <c r="D878" s="1" t="n">
        <v>44967</v>
      </c>
      <c r="E878" s="1" t="n">
        <v>46309</v>
      </c>
      <c r="F878" t="inlineStr">
        <is>
          <t>GÄVLEBORGS LÄN</t>
        </is>
      </c>
      <c r="G878" t="inlineStr">
        <is>
          <t>NORDANSTIG</t>
        </is>
      </c>
      <c r="H878" t="inlineStr">
        <is>
          <t>Holmen skog AB</t>
        </is>
      </c>
      <c r="I878" t="n">
        <v>2.4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s="2" t="inlineStr"/>
    </row>
    <row r="879" ht="15" customHeight="1">
      <c r="A879" t="inlineStr">
        <is>
          <t>A 28529-2026</t>
        </is>
      </c>
      <c r="B879" t="inlineStr">
        <is>
          <t>avverkningsanmälan</t>
        </is>
      </c>
      <c r="C879" t="inlineStr">
        <is>
          <t>Föryngringsavverkning</t>
        </is>
      </c>
      <c r="D879" s="1" t="n">
        <v>46197</v>
      </c>
      <c r="E879" s="1" t="n">
        <v>46309</v>
      </c>
      <c r="F879" t="inlineStr">
        <is>
          <t>GÄVLEBORGS LÄN</t>
        </is>
      </c>
      <c r="G879" t="inlineStr">
        <is>
          <t>NORDANSTIG</t>
        </is>
      </c>
      <c r="I879" t="n">
        <v>1.4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s="2" t="inlineStr"/>
    </row>
    <row r="880" ht="15" customHeight="1">
      <c r="A880" t="inlineStr">
        <is>
          <t>A 28370-2026</t>
        </is>
      </c>
      <c r="B880" t="inlineStr">
        <is>
          <t>avverkningsanmälan</t>
        </is>
      </c>
      <c r="C880" t="inlineStr">
        <is>
          <t>Föryngringsavverkning</t>
        </is>
      </c>
      <c r="D880" s="1" t="n">
        <v>46196</v>
      </c>
      <c r="E880" s="1" t="n">
        <v>46309</v>
      </c>
      <c r="F880" t="inlineStr">
        <is>
          <t>GÄVLEBORGS LÄN</t>
        </is>
      </c>
      <c r="G880" t="inlineStr">
        <is>
          <t>NORDANSTIG</t>
        </is>
      </c>
      <c r="H880" t="inlineStr">
        <is>
          <t>Holmen skog AB</t>
        </is>
      </c>
      <c r="I880" t="n">
        <v>2.4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s="2" t="inlineStr"/>
    </row>
    <row r="881" ht="15" customHeight="1">
      <c r="A881" t="inlineStr">
        <is>
          <t>A 32622-2022</t>
        </is>
      </c>
      <c r="B881" t="inlineStr">
        <is>
          <t>avverkningsanmälan</t>
        </is>
      </c>
      <c r="C881" t="inlineStr">
        <is>
          <t>Föryngringsavverkning</t>
        </is>
      </c>
      <c r="D881" s="1" t="n">
        <v>44783</v>
      </c>
      <c r="E881" s="1" t="n">
        <v>46309</v>
      </c>
      <c r="F881" t="inlineStr">
        <is>
          <t>GÄVLEBORGS LÄN</t>
        </is>
      </c>
      <c r="G881" t="inlineStr">
        <is>
          <t>NORDANSTIG</t>
        </is>
      </c>
      <c r="I881" t="n">
        <v>2.7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s="2" t="inlineStr"/>
    </row>
    <row r="882" ht="15" customHeight="1">
      <c r="A882" t="inlineStr">
        <is>
          <t>A 28391-2026</t>
        </is>
      </c>
      <c r="B882" t="inlineStr">
        <is>
          <t>avverkningsanmälan</t>
        </is>
      </c>
      <c r="C882" t="inlineStr">
        <is>
          <t>Föryngringsavverkning</t>
        </is>
      </c>
      <c r="D882" s="1" t="n">
        <v>46196</v>
      </c>
      <c r="E882" s="1" t="n">
        <v>46309</v>
      </c>
      <c r="F882" t="inlineStr">
        <is>
          <t>GÄVLEBORGS LÄN</t>
        </is>
      </c>
      <c r="G882" t="inlineStr">
        <is>
          <t>NORDANSTIG</t>
        </is>
      </c>
      <c r="I882" t="n">
        <v>4.1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s="2" t="inlineStr"/>
    </row>
    <row r="883" ht="15" customHeight="1">
      <c r="A883" t="inlineStr">
        <is>
          <t>A 28226-2026</t>
        </is>
      </c>
      <c r="B883" t="inlineStr">
        <is>
          <t>avverkningsanmälan</t>
        </is>
      </c>
      <c r="C883" t="inlineStr">
        <is>
          <t>Föryngringsavverkning</t>
        </is>
      </c>
      <c r="D883" s="1" t="n">
        <v>46196</v>
      </c>
      <c r="E883" s="1" t="n">
        <v>46309</v>
      </c>
      <c r="F883" t="inlineStr">
        <is>
          <t>GÄVLEBORGS LÄN</t>
        </is>
      </c>
      <c r="G883" t="inlineStr">
        <is>
          <t>NORDANSTIG</t>
        </is>
      </c>
      <c r="H883" t="inlineStr">
        <is>
          <t>Holmen skog AB</t>
        </is>
      </c>
      <c r="I883" t="n">
        <v>1.3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s="2" t="inlineStr"/>
    </row>
    <row r="884" ht="15" customHeight="1">
      <c r="A884" t="inlineStr">
        <is>
          <t>A 25821-2026</t>
        </is>
      </c>
      <c r="B884" t="inlineStr">
        <is>
          <t>avverkningsanmälan</t>
        </is>
      </c>
      <c r="C884" t="inlineStr">
        <is>
          <t>Föryngringsavverkning</t>
        </is>
      </c>
      <c r="D884" s="1" t="n">
        <v>46178</v>
      </c>
      <c r="E884" s="1" t="n">
        <v>46309</v>
      </c>
      <c r="F884" t="inlineStr">
        <is>
          <t>GÄVLEBORGS LÄN</t>
        </is>
      </c>
      <c r="G884" t="inlineStr">
        <is>
          <t>NORDANSTIG</t>
        </is>
      </c>
      <c r="I884" t="n">
        <v>11.2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s="2" t="inlineStr"/>
    </row>
    <row r="885" ht="15" customHeight="1">
      <c r="A885" t="inlineStr">
        <is>
          <t>A 15226-2023</t>
        </is>
      </c>
      <c r="B885" t="inlineStr">
        <is>
          <t>avverkningsanmälan</t>
        </is>
      </c>
      <c r="C885" t="inlineStr">
        <is>
          <t>Föryngringsavverkning</t>
        </is>
      </c>
      <c r="D885" s="1" t="n">
        <v>45019</v>
      </c>
      <c r="E885" s="1" t="n">
        <v>46309</v>
      </c>
      <c r="F885" t="inlineStr">
        <is>
          <t>GÄVLEBORGS LÄN</t>
        </is>
      </c>
      <c r="G885" t="inlineStr">
        <is>
          <t>NORDANSTIG</t>
        </is>
      </c>
      <c r="I885" t="n">
        <v>0.6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s="2" t="inlineStr"/>
    </row>
    <row r="886" ht="15" customHeight="1">
      <c r="A886" t="inlineStr">
        <is>
          <t>A 28739-2026</t>
        </is>
      </c>
      <c r="B886" t="inlineStr">
        <is>
          <t>avverkningsanmälan</t>
        </is>
      </c>
      <c r="C886" t="inlineStr">
        <is>
          <t>Avverkning för annat ändamål</t>
        </is>
      </c>
      <c r="D886" s="1" t="n">
        <v>46198</v>
      </c>
      <c r="E886" s="1" t="n">
        <v>46309</v>
      </c>
      <c r="F886" t="inlineStr">
        <is>
          <t>GÄVLEBORGS LÄN</t>
        </is>
      </c>
      <c r="G886" t="inlineStr">
        <is>
          <t>NORDANSTIG</t>
        </is>
      </c>
      <c r="I886" t="n">
        <v>1.7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s="2" t="inlineStr"/>
    </row>
    <row r="887" ht="15" customHeight="1">
      <c r="A887" t="inlineStr">
        <is>
          <t>A 7436-2024</t>
        </is>
      </c>
      <c r="B887" t="inlineStr">
        <is>
          <t>avverkningsanmälan</t>
        </is>
      </c>
      <c r="C887" t="inlineStr">
        <is>
          <t>Föryngringsavverkning</t>
        </is>
      </c>
      <c r="D887" s="1" t="n">
        <v>45345</v>
      </c>
      <c r="E887" s="1" t="n">
        <v>46309</v>
      </c>
      <c r="F887" t="inlineStr">
        <is>
          <t>GÄVLEBORGS LÄN</t>
        </is>
      </c>
      <c r="G887" t="inlineStr">
        <is>
          <t>NORDANSTIG</t>
        </is>
      </c>
      <c r="H887" t="inlineStr">
        <is>
          <t>Holmen skog AB</t>
        </is>
      </c>
      <c r="I887" t="n">
        <v>62.5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s="2" t="inlineStr"/>
    </row>
    <row r="888" ht="15" customHeight="1">
      <c r="A888" t="inlineStr">
        <is>
          <t>A 7460-2024</t>
        </is>
      </c>
      <c r="B888" t="inlineStr">
        <is>
          <t>avverkningsanmälan</t>
        </is>
      </c>
      <c r="C888" t="inlineStr">
        <is>
          <t>Föryngringsavverkning</t>
        </is>
      </c>
      <c r="D888" s="1" t="n">
        <v>45345</v>
      </c>
      <c r="E888" s="1" t="n">
        <v>46309</v>
      </c>
      <c r="F888" t="inlineStr">
        <is>
          <t>GÄVLEBORGS LÄN</t>
        </is>
      </c>
      <c r="G888" t="inlineStr">
        <is>
          <t>NORDANSTIG</t>
        </is>
      </c>
      <c r="I888" t="n">
        <v>10.8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s="2" t="inlineStr"/>
    </row>
    <row r="889" ht="15" customHeight="1">
      <c r="A889" t="inlineStr">
        <is>
          <t>A 28724-2026</t>
        </is>
      </c>
      <c r="B889" t="inlineStr">
        <is>
          <t>avverkningsanmälan</t>
        </is>
      </c>
      <c r="C889" t="inlineStr">
        <is>
          <t>Föryngringsavverkning</t>
        </is>
      </c>
      <c r="D889" s="1" t="n">
        <v>46198</v>
      </c>
      <c r="E889" s="1" t="n">
        <v>46309</v>
      </c>
      <c r="F889" t="inlineStr">
        <is>
          <t>GÄVLEBORGS LÄN</t>
        </is>
      </c>
      <c r="G889" t="inlineStr">
        <is>
          <t>NORDANSTIG</t>
        </is>
      </c>
      <c r="H889" t="inlineStr">
        <is>
          <t>Holmen skog AB</t>
        </is>
      </c>
      <c r="I889" t="n">
        <v>6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s="2" t="inlineStr"/>
    </row>
    <row r="890" ht="15" customHeight="1">
      <c r="A890" t="inlineStr">
        <is>
          <t>A 28734-2026</t>
        </is>
      </c>
      <c r="B890" t="inlineStr">
        <is>
          <t>avverkningsanmälan</t>
        </is>
      </c>
      <c r="C890" t="inlineStr">
        <is>
          <t>Föryngringsavverkning</t>
        </is>
      </c>
      <c r="D890" s="1" t="n">
        <v>46198</v>
      </c>
      <c r="E890" s="1" t="n">
        <v>46309</v>
      </c>
      <c r="F890" t="inlineStr">
        <is>
          <t>GÄVLEBORGS LÄN</t>
        </is>
      </c>
      <c r="G890" t="inlineStr">
        <is>
          <t>NORDANSTIG</t>
        </is>
      </c>
      <c r="I890" t="n">
        <v>1.7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s="2" t="inlineStr"/>
    </row>
    <row r="891" ht="15" customHeight="1">
      <c r="A891" t="inlineStr">
        <is>
          <t>A 56586-2023</t>
        </is>
      </c>
      <c r="B891" t="inlineStr">
        <is>
          <t>avverkningsanmälan</t>
        </is>
      </c>
      <c r="C891" t="inlineStr">
        <is>
          <t>Föryngringsavverkning</t>
        </is>
      </c>
      <c r="D891" s="1" t="n">
        <v>45243</v>
      </c>
      <c r="E891" s="1" t="n">
        <v>46309</v>
      </c>
      <c r="F891" t="inlineStr">
        <is>
          <t>GÄVLEBORGS LÄN</t>
        </is>
      </c>
      <c r="G891" t="inlineStr">
        <is>
          <t>NORDANSTIG</t>
        </is>
      </c>
      <c r="I891" t="n">
        <v>1.4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s="2" t="inlineStr"/>
    </row>
    <row r="892" ht="15" customHeight="1">
      <c r="A892" t="inlineStr">
        <is>
          <t>A 51250-2022</t>
        </is>
      </c>
      <c r="B892" t="inlineStr">
        <is>
          <t>avverkningsanmälan</t>
        </is>
      </c>
      <c r="C892" t="inlineStr">
        <is>
          <t>Föryngringsavverkning</t>
        </is>
      </c>
      <c r="D892" s="1" t="n">
        <v>44868</v>
      </c>
      <c r="E892" s="1" t="n">
        <v>46309</v>
      </c>
      <c r="F892" t="inlineStr">
        <is>
          <t>GÄVLEBORGS LÄN</t>
        </is>
      </c>
      <c r="G892" t="inlineStr">
        <is>
          <t>NORDANSTIG</t>
        </is>
      </c>
      <c r="H892" t="inlineStr">
        <is>
          <t>Holmen skog AB</t>
        </is>
      </c>
      <c r="I892" t="n">
        <v>1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s="2" t="inlineStr"/>
    </row>
    <row r="893" ht="15" customHeight="1">
      <c r="A893" t="inlineStr">
        <is>
          <t>A 15088-2024</t>
        </is>
      </c>
      <c r="B893" t="inlineStr">
        <is>
          <t>avverkningsanmälan</t>
        </is>
      </c>
      <c r="C893" t="inlineStr">
        <is>
          <t>Föryngringsavverkning</t>
        </is>
      </c>
      <c r="D893" s="1" t="n">
        <v>45399</v>
      </c>
      <c r="E893" s="1" t="n">
        <v>46309</v>
      </c>
      <c r="F893" t="inlineStr">
        <is>
          <t>GÄVLEBORGS LÄN</t>
        </is>
      </c>
      <c r="G893" t="inlineStr">
        <is>
          <t>NORDANSTIG</t>
        </is>
      </c>
      <c r="I893" t="n">
        <v>3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s="2" t="inlineStr"/>
    </row>
    <row r="894" ht="15" customHeight="1">
      <c r="A894" t="inlineStr">
        <is>
          <t>A 19569-2024</t>
        </is>
      </c>
      <c r="B894" t="inlineStr">
        <is>
          <t>avverkningsanmälan</t>
        </is>
      </c>
      <c r="C894" t="inlineStr">
        <is>
          <t>Föryngringsavverkning</t>
        </is>
      </c>
      <c r="D894" s="1" t="n">
        <v>45429</v>
      </c>
      <c r="E894" s="1" t="n">
        <v>46309</v>
      </c>
      <c r="F894" t="inlineStr">
        <is>
          <t>GÄVLEBORGS LÄN</t>
        </is>
      </c>
      <c r="G894" t="inlineStr">
        <is>
          <t>NORDANSTIG</t>
        </is>
      </c>
      <c r="I894" t="n">
        <v>1.9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s="2" t="inlineStr"/>
    </row>
    <row r="895" ht="15" customHeight="1">
      <c r="A895" t="inlineStr">
        <is>
          <t>A 35765-2024</t>
        </is>
      </c>
      <c r="B895" t="inlineStr">
        <is>
          <t>avverkningsanmälan</t>
        </is>
      </c>
      <c r="C895" t="inlineStr">
        <is>
          <t>Föryngringsavverkning</t>
        </is>
      </c>
      <c r="D895" s="1" t="n">
        <v>45532</v>
      </c>
      <c r="E895" s="1" t="n">
        <v>46309</v>
      </c>
      <c r="F895" t="inlineStr">
        <is>
          <t>GÄVLEBORGS LÄN</t>
        </is>
      </c>
      <c r="G895" t="inlineStr">
        <is>
          <t>NORDANSTIG</t>
        </is>
      </c>
      <c r="I895" t="n">
        <v>2.6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s="2" t="inlineStr"/>
    </row>
    <row r="896" ht="15" customHeight="1">
      <c r="A896" t="inlineStr">
        <is>
          <t>A 18479-2024</t>
        </is>
      </c>
      <c r="B896" t="inlineStr">
        <is>
          <t>avverkningsanmälan</t>
        </is>
      </c>
      <c r="C896" t="inlineStr">
        <is>
          <t>Föryngringsavverkning</t>
        </is>
      </c>
      <c r="D896" s="1" t="n">
        <v>45425</v>
      </c>
      <c r="E896" s="1" t="n">
        <v>46309</v>
      </c>
      <c r="F896" t="inlineStr">
        <is>
          <t>GÄVLEBORGS LÄN</t>
        </is>
      </c>
      <c r="G896" t="inlineStr">
        <is>
          <t>NORDANSTIG</t>
        </is>
      </c>
      <c r="I896" t="n">
        <v>7.6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s="2" t="inlineStr"/>
    </row>
    <row r="897" ht="15" customHeight="1">
      <c r="A897" t="inlineStr">
        <is>
          <t>A 59912-2024</t>
        </is>
      </c>
      <c r="B897" t="inlineStr">
        <is>
          <t>avverkningsanmälan</t>
        </is>
      </c>
      <c r="C897" t="inlineStr">
        <is>
          <t>Avverkning för annat ändamål</t>
        </is>
      </c>
      <c r="D897" s="1" t="n">
        <v>45641</v>
      </c>
      <c r="E897" s="1" t="n">
        <v>46309</v>
      </c>
      <c r="F897" t="inlineStr">
        <is>
          <t>GÄVLEBORGS LÄN</t>
        </is>
      </c>
      <c r="G897" t="inlineStr">
        <is>
          <t>NORDANSTIG</t>
        </is>
      </c>
      <c r="I897" t="n">
        <v>0.8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s="2" t="inlineStr"/>
    </row>
    <row r="898" ht="15" customHeight="1">
      <c r="A898" t="inlineStr">
        <is>
          <t>A 29733-2026</t>
        </is>
      </c>
      <c r="B898" t="inlineStr">
        <is>
          <t>avverkningsanmälan</t>
        </is>
      </c>
      <c r="C898" t="inlineStr">
        <is>
          <t>Föryngringsavverkning</t>
        </is>
      </c>
      <c r="D898" s="1" t="n">
        <v>46204</v>
      </c>
      <c r="E898" s="1" t="n">
        <v>46309</v>
      </c>
      <c r="F898" t="inlineStr">
        <is>
          <t>GÄVLEBORGS LÄN</t>
        </is>
      </c>
      <c r="G898" t="inlineStr">
        <is>
          <t>NORDANSTIG</t>
        </is>
      </c>
      <c r="H898" t="inlineStr">
        <is>
          <t>Holmen skog AB</t>
        </is>
      </c>
      <c r="I898" t="n">
        <v>8.800000000000001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s="2" t="inlineStr"/>
    </row>
    <row r="899" ht="15" customHeight="1">
      <c r="A899" t="inlineStr">
        <is>
          <t>A 6324-2023</t>
        </is>
      </c>
      <c r="B899" t="inlineStr">
        <is>
          <t>avverkningsanmälan</t>
        </is>
      </c>
      <c r="C899" t="inlineStr">
        <is>
          <t>Föryngringsavverkning</t>
        </is>
      </c>
      <c r="D899" s="1" t="n">
        <v>44965</v>
      </c>
      <c r="E899" s="1" t="n">
        <v>46309</v>
      </c>
      <c r="F899" t="inlineStr">
        <is>
          <t>GÄVLEBORGS LÄN</t>
        </is>
      </c>
      <c r="G899" t="inlineStr">
        <is>
          <t>NORDANSTIG</t>
        </is>
      </c>
      <c r="I899" t="n">
        <v>0.8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s="2" t="inlineStr"/>
    </row>
    <row r="900" ht="15" customHeight="1">
      <c r="A900" t="inlineStr">
        <is>
          <t>A 14961-2025</t>
        </is>
      </c>
      <c r="B900" t="inlineStr">
        <is>
          <t>avverkningsanmälan</t>
        </is>
      </c>
      <c r="C900" t="inlineStr">
        <is>
          <t>Föryngringsavverkning</t>
        </is>
      </c>
      <c r="D900" s="1" t="n">
        <v>45743</v>
      </c>
      <c r="E900" s="1" t="n">
        <v>46309</v>
      </c>
      <c r="F900" t="inlineStr">
        <is>
          <t>GÄVLEBORGS LÄN</t>
        </is>
      </c>
      <c r="G900" t="inlineStr">
        <is>
          <t>NORDANSTIG</t>
        </is>
      </c>
      <c r="H900" t="inlineStr">
        <is>
          <t>Holmen skog AB</t>
        </is>
      </c>
      <c r="I900" t="n">
        <v>2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s="2" t="inlineStr"/>
    </row>
    <row r="901" ht="15" customHeight="1">
      <c r="A901" t="inlineStr">
        <is>
          <t>A 30428-2026</t>
        </is>
      </c>
      <c r="B901" t="inlineStr">
        <is>
          <t>avverkningsanmälan</t>
        </is>
      </c>
      <c r="C901" t="inlineStr">
        <is>
          <t>Föryngringsavverkning</t>
        </is>
      </c>
      <c r="D901" s="1" t="n">
        <v>46209</v>
      </c>
      <c r="E901" s="1" t="n">
        <v>46309</v>
      </c>
      <c r="F901" t="inlineStr">
        <is>
          <t>GÄVLEBORGS LÄN</t>
        </is>
      </c>
      <c r="G901" t="inlineStr">
        <is>
          <t>NORDANSTIG</t>
        </is>
      </c>
      <c r="I901" t="n">
        <v>1.7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s="2" t="inlineStr"/>
    </row>
    <row r="902" ht="15" customHeight="1">
      <c r="A902" t="inlineStr">
        <is>
          <t>A 30259-2026</t>
        </is>
      </c>
      <c r="B902" t="inlineStr">
        <is>
          <t>avverkningsanmälan</t>
        </is>
      </c>
      <c r="C902" t="inlineStr">
        <is>
          <t>Föryngringsavverkning</t>
        </is>
      </c>
      <c r="D902" s="1" t="n">
        <v>46206</v>
      </c>
      <c r="E902" s="1" t="n">
        <v>46309</v>
      </c>
      <c r="F902" t="inlineStr">
        <is>
          <t>GÄVLEBORGS LÄN</t>
        </is>
      </c>
      <c r="G902" t="inlineStr">
        <is>
          <t>NORDANSTIG</t>
        </is>
      </c>
      <c r="I902" t="n">
        <v>1.5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s="2" t="inlineStr"/>
    </row>
    <row r="903" ht="15" customHeight="1">
      <c r="A903" t="inlineStr">
        <is>
          <t>A 30267-2026</t>
        </is>
      </c>
      <c r="B903" t="inlineStr">
        <is>
          <t>avverkningsanmälan</t>
        </is>
      </c>
      <c r="C903" t="inlineStr">
        <is>
          <t>Föryngringsavverkning</t>
        </is>
      </c>
      <c r="D903" s="1" t="n">
        <v>46206</v>
      </c>
      <c r="E903" s="1" t="n">
        <v>46309</v>
      </c>
      <c r="F903" t="inlineStr">
        <is>
          <t>GÄVLEBORGS LÄN</t>
        </is>
      </c>
      <c r="G903" t="inlineStr">
        <is>
          <t>NORDANSTIG</t>
        </is>
      </c>
      <c r="I903" t="n">
        <v>8.1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s="2" t="inlineStr"/>
    </row>
    <row r="904" ht="15" customHeight="1">
      <c r="A904" t="inlineStr">
        <is>
          <t>A 30263-2026</t>
        </is>
      </c>
      <c r="B904" t="inlineStr">
        <is>
          <t>avverkningsanmälan</t>
        </is>
      </c>
      <c r="C904" t="inlineStr">
        <is>
          <t>Föryngringsavverkning</t>
        </is>
      </c>
      <c r="D904" s="1" t="n">
        <v>46206</v>
      </c>
      <c r="E904" s="1" t="n">
        <v>46309</v>
      </c>
      <c r="F904" t="inlineStr">
        <is>
          <t>GÄVLEBORGS LÄN</t>
        </is>
      </c>
      <c r="G904" t="inlineStr">
        <is>
          <t>NORDANSTIG</t>
        </is>
      </c>
      <c r="I904" t="n">
        <v>0.9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s="2" t="inlineStr"/>
    </row>
    <row r="905" ht="15" customHeight="1">
      <c r="A905" t="inlineStr">
        <is>
          <t>A 30390-2026</t>
        </is>
      </c>
      <c r="B905" t="inlineStr">
        <is>
          <t>avverkningsanmälan</t>
        </is>
      </c>
      <c r="C905" t="inlineStr">
        <is>
          <t>Föryngringsavverkning</t>
        </is>
      </c>
      <c r="D905" s="1" t="n">
        <v>46209</v>
      </c>
      <c r="E905" s="1" t="n">
        <v>46309</v>
      </c>
      <c r="F905" t="inlineStr">
        <is>
          <t>GÄVLEBORGS LÄN</t>
        </is>
      </c>
      <c r="G905" t="inlineStr">
        <is>
          <t>NORDANSTIG</t>
        </is>
      </c>
      <c r="I905" t="n">
        <v>9.199999999999999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s="2" t="inlineStr"/>
    </row>
    <row r="906" ht="15" customHeight="1">
      <c r="A906" t="inlineStr">
        <is>
          <t>A 30391-2026</t>
        </is>
      </c>
      <c r="B906" t="inlineStr">
        <is>
          <t>avverkningsanmälan</t>
        </is>
      </c>
      <c r="C906" t="inlineStr">
        <is>
          <t>Föryngringsavverkning</t>
        </is>
      </c>
      <c r="D906" s="1" t="n">
        <v>46209</v>
      </c>
      <c r="E906" s="1" t="n">
        <v>46309</v>
      </c>
      <c r="F906" t="inlineStr">
        <is>
          <t>GÄVLEBORGS LÄN</t>
        </is>
      </c>
      <c r="G906" t="inlineStr">
        <is>
          <t>NORDANSTIG</t>
        </is>
      </c>
      <c r="I906" t="n">
        <v>2.1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s="2" t="inlineStr"/>
    </row>
    <row r="907" ht="15" customHeight="1">
      <c r="A907" t="inlineStr">
        <is>
          <t>A 30130-2024</t>
        </is>
      </c>
      <c r="B907" t="inlineStr">
        <is>
          <t>avverkningsanmälan</t>
        </is>
      </c>
      <c r="C907" t="inlineStr">
        <is>
          <t>Föryngringsavverkning</t>
        </is>
      </c>
      <c r="D907" s="1" t="n">
        <v>45489</v>
      </c>
      <c r="E907" s="1" t="n">
        <v>46309</v>
      </c>
      <c r="F907" t="inlineStr">
        <is>
          <t>GÄVLEBORGS LÄN</t>
        </is>
      </c>
      <c r="G907" t="inlineStr">
        <is>
          <t>NORDANSTIG</t>
        </is>
      </c>
      <c r="H907" t="inlineStr">
        <is>
          <t>Holmen skog AB</t>
        </is>
      </c>
      <c r="I907" t="n">
        <v>3.9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s="2" t="inlineStr"/>
    </row>
    <row r="908" ht="15" customHeight="1">
      <c r="A908" t="inlineStr">
        <is>
          <t>A 30431-2026</t>
        </is>
      </c>
      <c r="B908" t="inlineStr">
        <is>
          <t>avverkningsanmälan</t>
        </is>
      </c>
      <c r="C908" t="inlineStr">
        <is>
          <t>Avverkning för annat ändamål</t>
        </is>
      </c>
      <c r="D908" s="1" t="n">
        <v>46209</v>
      </c>
      <c r="E908" s="1" t="n">
        <v>46309</v>
      </c>
      <c r="F908" t="inlineStr">
        <is>
          <t>GÄVLEBORGS LÄN</t>
        </is>
      </c>
      <c r="G908" t="inlineStr">
        <is>
          <t>NORDANSTIG</t>
        </is>
      </c>
      <c r="I908" t="n">
        <v>0.4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s="2" t="inlineStr"/>
    </row>
    <row r="909" ht="15" customHeight="1">
      <c r="A909" t="inlineStr">
        <is>
          <t>A 40798-2022</t>
        </is>
      </c>
      <c r="B909" t="inlineStr">
        <is>
          <t>avverkningsanmälan</t>
        </is>
      </c>
      <c r="C909" t="inlineStr">
        <is>
          <t>Föryngringsavverkning</t>
        </is>
      </c>
      <c r="D909" s="1" t="n">
        <v>44824</v>
      </c>
      <c r="E909" s="1" t="n">
        <v>46309</v>
      </c>
      <c r="F909" t="inlineStr">
        <is>
          <t>GÄVLEBORGS LÄN</t>
        </is>
      </c>
      <c r="G909" t="inlineStr">
        <is>
          <t>NORDANSTIG</t>
        </is>
      </c>
      <c r="I909" t="n">
        <v>2.2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s="2" t="inlineStr"/>
    </row>
    <row r="910" ht="15" customHeight="1">
      <c r="A910" t="inlineStr">
        <is>
          <t>A 37005-2022</t>
        </is>
      </c>
      <c r="B910" t="inlineStr">
        <is>
          <t>avverkningsanmälan</t>
        </is>
      </c>
      <c r="C910" t="inlineStr">
        <is>
          <t>Föryngringsavverkning</t>
        </is>
      </c>
      <c r="D910" s="1" t="n">
        <v>44806</v>
      </c>
      <c r="E910" s="1" t="n">
        <v>46309</v>
      </c>
      <c r="F910" t="inlineStr">
        <is>
          <t>GÄVLEBORGS LÄN</t>
        </is>
      </c>
      <c r="G910" t="inlineStr">
        <is>
          <t>NORDANSTIG</t>
        </is>
      </c>
      <c r="I910" t="n">
        <v>3.4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s="2" t="inlineStr"/>
    </row>
    <row r="911" ht="15" customHeight="1">
      <c r="A911" t="inlineStr">
        <is>
          <t>A 14415-2022</t>
        </is>
      </c>
      <c r="B911" t="inlineStr">
        <is>
          <t>avverkningsanmälan</t>
        </is>
      </c>
      <c r="C911" t="inlineStr">
        <is>
          <t>Avverkning för annat ändamål</t>
        </is>
      </c>
      <c r="D911" s="1" t="n">
        <v>44652</v>
      </c>
      <c r="E911" s="1" t="n">
        <v>46309</v>
      </c>
      <c r="F911" t="inlineStr">
        <is>
          <t>GÄVLEBORGS LÄN</t>
        </is>
      </c>
      <c r="G911" t="inlineStr">
        <is>
          <t>NORDANSTIG</t>
        </is>
      </c>
      <c r="I911" t="n">
        <v>0.6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s="2" t="inlineStr"/>
    </row>
    <row r="912" ht="15" customHeight="1">
      <c r="A912" t="inlineStr">
        <is>
          <t>A 43893-2023</t>
        </is>
      </c>
      <c r="B912" t="inlineStr">
        <is>
          <t>avverkningsanmälan</t>
        </is>
      </c>
      <c r="C912" t="inlineStr">
        <is>
          <t>Föryngringsavverkning</t>
        </is>
      </c>
      <c r="D912" s="1" t="n">
        <v>45187</v>
      </c>
      <c r="E912" s="1" t="n">
        <v>46309</v>
      </c>
      <c r="F912" t="inlineStr">
        <is>
          <t>GÄVLEBORGS LÄN</t>
        </is>
      </c>
      <c r="G912" t="inlineStr">
        <is>
          <t>NORDANSTIG</t>
        </is>
      </c>
      <c r="I912" t="n">
        <v>3.2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s="2" t="inlineStr"/>
    </row>
    <row r="913" ht="15" customHeight="1">
      <c r="A913" t="inlineStr">
        <is>
          <t>A 5999-2024</t>
        </is>
      </c>
      <c r="B913" t="inlineStr">
        <is>
          <t>avverkningsanmälan</t>
        </is>
      </c>
      <c r="C913" t="inlineStr">
        <is>
          <t>Föryngringsavverkning</t>
        </is>
      </c>
      <c r="D913" s="1" t="n">
        <v>45336</v>
      </c>
      <c r="E913" s="1" t="n">
        <v>46309</v>
      </c>
      <c r="F913" t="inlineStr">
        <is>
          <t>GÄVLEBORGS LÄN</t>
        </is>
      </c>
      <c r="G913" t="inlineStr">
        <is>
          <t>NORDANSTIG</t>
        </is>
      </c>
      <c r="I913" t="n">
        <v>1.7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s="2" t="inlineStr"/>
    </row>
    <row r="914" ht="15" customHeight="1">
      <c r="A914" t="inlineStr">
        <is>
          <t>A 8646-2026</t>
        </is>
      </c>
      <c r="B914" t="inlineStr">
        <is>
          <t>avverkningsanmälan</t>
        </is>
      </c>
      <c r="C914" t="inlineStr">
        <is>
          <t>Föryngringsavverkning</t>
        </is>
      </c>
      <c r="D914" s="1" t="n">
        <v>46066</v>
      </c>
      <c r="E914" s="1" t="n">
        <v>46309</v>
      </c>
      <c r="F914" t="inlineStr">
        <is>
          <t>GÄVLEBORGS LÄN</t>
        </is>
      </c>
      <c r="G914" t="inlineStr">
        <is>
          <t>NORDANSTIG</t>
        </is>
      </c>
      <c r="I914" t="n">
        <v>4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s="2" t="inlineStr"/>
    </row>
    <row r="915" ht="15" customHeight="1">
      <c r="A915" t="inlineStr">
        <is>
          <t>A 43465-2024</t>
        </is>
      </c>
      <c r="B915" t="inlineStr">
        <is>
          <t>avverkningsanmälan</t>
        </is>
      </c>
      <c r="C915" t="inlineStr">
        <is>
          <t>Föryngringsavverkning</t>
        </is>
      </c>
      <c r="D915" s="1" t="n">
        <v>45568</v>
      </c>
      <c r="E915" s="1" t="n">
        <v>46309</v>
      </c>
      <c r="F915" t="inlineStr">
        <is>
          <t>GÄVLEBORGS LÄN</t>
        </is>
      </c>
      <c r="G915" t="inlineStr">
        <is>
          <t>NORDANSTIG</t>
        </is>
      </c>
      <c r="I915" t="n">
        <v>1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s="2" t="inlineStr"/>
    </row>
    <row r="916" ht="15" customHeight="1">
      <c r="A916" t="inlineStr">
        <is>
          <t>A 31365-2026</t>
        </is>
      </c>
      <c r="B916" t="inlineStr">
        <is>
          <t>avverkningsanmälan</t>
        </is>
      </c>
      <c r="C916" t="inlineStr">
        <is>
          <t>Föryngringsavverkning</t>
        </is>
      </c>
      <c r="D916" s="1" t="n">
        <v>46213</v>
      </c>
      <c r="E916" s="1" t="n">
        <v>46309</v>
      </c>
      <c r="F916" t="inlineStr">
        <is>
          <t>GÄVLEBORGS LÄN</t>
        </is>
      </c>
      <c r="G916" t="inlineStr">
        <is>
          <t>NORDANSTIG</t>
        </is>
      </c>
      <c r="I916" t="n">
        <v>4.8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s="2" t="inlineStr"/>
    </row>
    <row r="917" ht="15" customHeight="1">
      <c r="A917" t="inlineStr">
        <is>
          <t>A 30899-2026</t>
        </is>
      </c>
      <c r="B917" t="inlineStr">
        <is>
          <t>avverkningsanmälan</t>
        </is>
      </c>
      <c r="C917" t="inlineStr">
        <is>
          <t>Avverkning för annat ändamål</t>
        </is>
      </c>
      <c r="D917" s="1" t="n">
        <v>46213</v>
      </c>
      <c r="E917" s="1" t="n">
        <v>46309</v>
      </c>
      <c r="F917" t="inlineStr">
        <is>
          <t>GÄVLEBORGS LÄN</t>
        </is>
      </c>
      <c r="G917" t="inlineStr">
        <is>
          <t>NORDANSTIG</t>
        </is>
      </c>
      <c r="I917" t="n">
        <v>1.3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s="2" t="inlineStr"/>
    </row>
    <row r="918" ht="15" customHeight="1">
      <c r="A918" t="inlineStr">
        <is>
          <t>A 3773-2026</t>
        </is>
      </c>
      <c r="B918" t="inlineStr">
        <is>
          <t>avverkningsanmälan</t>
        </is>
      </c>
      <c r="C918" t="inlineStr">
        <is>
          <t>Föryngringsavverkning</t>
        </is>
      </c>
      <c r="D918" s="1" t="n">
        <v>46043</v>
      </c>
      <c r="E918" s="1" t="n">
        <v>46309</v>
      </c>
      <c r="F918" t="inlineStr">
        <is>
          <t>GÄVLEBORGS LÄN</t>
        </is>
      </c>
      <c r="G918" t="inlineStr">
        <is>
          <t>NORDANSTIG</t>
        </is>
      </c>
      <c r="I918" t="n">
        <v>14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s="2" t="inlineStr"/>
    </row>
    <row r="919" ht="15" customHeight="1">
      <c r="A919" t="inlineStr">
        <is>
          <t>A 31366-2026</t>
        </is>
      </c>
      <c r="B919" t="inlineStr">
        <is>
          <t>avverkningsanmälan</t>
        </is>
      </c>
      <c r="C919" t="inlineStr">
        <is>
          <t>Föryngringsavverkning</t>
        </is>
      </c>
      <c r="D919" s="1" t="n">
        <v>46213</v>
      </c>
      <c r="E919" s="1" t="n">
        <v>46309</v>
      </c>
      <c r="F919" t="inlineStr">
        <is>
          <t>GÄVLEBORGS LÄN</t>
        </is>
      </c>
      <c r="G919" t="inlineStr">
        <is>
          <t>NORDANSTIG</t>
        </is>
      </c>
      <c r="I919" t="n">
        <v>9.6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s="2" t="inlineStr"/>
    </row>
    <row r="920" ht="15" customHeight="1">
      <c r="A920" t="inlineStr">
        <is>
          <t>A 57463-2023</t>
        </is>
      </c>
      <c r="B920" t="inlineStr">
        <is>
          <t>avverkningsanmälan</t>
        </is>
      </c>
      <c r="C920" t="inlineStr">
        <is>
          <t>Föryngringsavverkning</t>
        </is>
      </c>
      <c r="D920" s="1" t="n">
        <v>45246</v>
      </c>
      <c r="E920" s="1" t="n">
        <v>46309</v>
      </c>
      <c r="F920" t="inlineStr">
        <is>
          <t>GÄVLEBORGS LÄN</t>
        </is>
      </c>
      <c r="G920" t="inlineStr">
        <is>
          <t>NORDANSTIG</t>
        </is>
      </c>
      <c r="I920" t="n">
        <v>1.1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s="2" t="inlineStr"/>
    </row>
    <row r="921" ht="15" customHeight="1">
      <c r="A921" t="inlineStr">
        <is>
          <t>A 37217-2024</t>
        </is>
      </c>
      <c r="B921" t="inlineStr">
        <is>
          <t>avverkningsanmälan</t>
        </is>
      </c>
      <c r="C921" t="inlineStr">
        <is>
          <t>Föryngringsavverkning</t>
        </is>
      </c>
      <c r="D921" s="1" t="n">
        <v>45539</v>
      </c>
      <c r="E921" s="1" t="n">
        <v>46309</v>
      </c>
      <c r="F921" t="inlineStr">
        <is>
          <t>GÄVLEBORGS LÄN</t>
        </is>
      </c>
      <c r="G921" t="inlineStr">
        <is>
          <t>NORDANSTIG</t>
        </is>
      </c>
      <c r="I921" t="n">
        <v>2.1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s="2" t="inlineStr"/>
    </row>
    <row r="922" ht="15" customHeight="1">
      <c r="A922" t="inlineStr">
        <is>
          <t>A 51988-2024</t>
        </is>
      </c>
      <c r="B922" t="inlineStr">
        <is>
          <t>avverkningsanmälan</t>
        </is>
      </c>
      <c r="C922" t="inlineStr">
        <is>
          <t>Föryngringsavverkning</t>
        </is>
      </c>
      <c r="D922" s="1" t="n">
        <v>45607</v>
      </c>
      <c r="E922" s="1" t="n">
        <v>46309</v>
      </c>
      <c r="F922" t="inlineStr">
        <is>
          <t>GÄVLEBORGS LÄN</t>
        </is>
      </c>
      <c r="G922" t="inlineStr">
        <is>
          <t>NORDANSTIG</t>
        </is>
      </c>
      <c r="I922" t="n">
        <v>4.8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s="2" t="inlineStr"/>
    </row>
    <row r="923" ht="15" customHeight="1">
      <c r="A923" t="inlineStr">
        <is>
          <t>A 25665-2023</t>
        </is>
      </c>
      <c r="B923" t="inlineStr">
        <is>
          <t>avverkningsanmälan</t>
        </is>
      </c>
      <c r="C923" t="inlineStr">
        <is>
          <t>Föryngringsavverkning</t>
        </is>
      </c>
      <c r="D923" s="1" t="n">
        <v>45089</v>
      </c>
      <c r="E923" s="1" t="n">
        <v>46309</v>
      </c>
      <c r="F923" t="inlineStr">
        <is>
          <t>GÄVLEBORGS LÄN</t>
        </is>
      </c>
      <c r="G923" t="inlineStr">
        <is>
          <t>NORDANSTIG</t>
        </is>
      </c>
      <c r="I923" t="n">
        <v>1.1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s="2" t="inlineStr"/>
    </row>
    <row r="924" ht="15" customHeight="1">
      <c r="A924" t="inlineStr">
        <is>
          <t>A 26700-2026</t>
        </is>
      </c>
      <c r="B924" t="inlineStr">
        <is>
          <t>avverkningsanmälan</t>
        </is>
      </c>
      <c r="C924" t="inlineStr">
        <is>
          <t>Föryngringsavverkning</t>
        </is>
      </c>
      <c r="D924" s="1" t="n">
        <v>46184</v>
      </c>
      <c r="E924" s="1" t="n">
        <v>46309</v>
      </c>
      <c r="F924" t="inlineStr">
        <is>
          <t>GÄVLEBORGS LÄN</t>
        </is>
      </c>
      <c r="G924" t="inlineStr">
        <is>
          <t>NORDANSTIG</t>
        </is>
      </c>
      <c r="I924" t="n">
        <v>1.3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s="2" t="inlineStr"/>
    </row>
    <row r="925" ht="15" customHeight="1">
      <c r="A925" t="inlineStr">
        <is>
          <t>A 12764-2025</t>
        </is>
      </c>
      <c r="B925" t="inlineStr">
        <is>
          <t>avverkningsanmälan</t>
        </is>
      </c>
      <c r="C925" t="inlineStr">
        <is>
          <t>Föryngringsavverkning</t>
        </is>
      </c>
      <c r="D925" s="1" t="n">
        <v>45733</v>
      </c>
      <c r="E925" s="1" t="n">
        <v>46309</v>
      </c>
      <c r="F925" t="inlineStr">
        <is>
          <t>GÄVLEBORGS LÄN</t>
        </is>
      </c>
      <c r="G925" t="inlineStr">
        <is>
          <t>NORDANSTIG</t>
        </is>
      </c>
      <c r="H925" t="inlineStr">
        <is>
          <t>Holmen skog AB</t>
        </is>
      </c>
      <c r="I925" t="n">
        <v>4.4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s="2" t="inlineStr"/>
    </row>
    <row r="926" ht="15" customHeight="1">
      <c r="A926" t="inlineStr">
        <is>
          <t>A 26696-2026</t>
        </is>
      </c>
      <c r="B926" t="inlineStr">
        <is>
          <t>avverkningsanmälan</t>
        </is>
      </c>
      <c r="C926" t="inlineStr">
        <is>
          <t>Föryngringsavverkning</t>
        </is>
      </c>
      <c r="D926" s="1" t="n">
        <v>46184</v>
      </c>
      <c r="E926" s="1" t="n">
        <v>46309</v>
      </c>
      <c r="F926" t="inlineStr">
        <is>
          <t>GÄVLEBORGS LÄN</t>
        </is>
      </c>
      <c r="G926" t="inlineStr">
        <is>
          <t>NORDANSTIG</t>
        </is>
      </c>
      <c r="I926" t="n">
        <v>0.6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s="2" t="inlineStr"/>
    </row>
    <row r="927" ht="15" customHeight="1">
      <c r="A927" t="inlineStr">
        <is>
          <t>A 31385-2026</t>
        </is>
      </c>
      <c r="B927" t="inlineStr">
        <is>
          <t>avverkningsanmälan</t>
        </is>
      </c>
      <c r="C927" t="inlineStr">
        <is>
          <t>Föryngringsavverkning</t>
        </is>
      </c>
      <c r="D927" s="1" t="n">
        <v>46220</v>
      </c>
      <c r="E927" s="1" t="n">
        <v>46309</v>
      </c>
      <c r="F927" t="inlineStr">
        <is>
          <t>GÄVLEBORGS LÄN</t>
        </is>
      </c>
      <c r="G927" t="inlineStr">
        <is>
          <t>NORDANSTIG</t>
        </is>
      </c>
      <c r="H927" t="inlineStr">
        <is>
          <t>Holmen skog AB</t>
        </is>
      </c>
      <c r="I927" t="n">
        <v>0.7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s="2" t="inlineStr"/>
    </row>
    <row r="928" ht="15" customHeight="1">
      <c r="A928" t="inlineStr">
        <is>
          <t>A 31500-2026</t>
        </is>
      </c>
      <c r="B928" t="inlineStr">
        <is>
          <t>avverkningsanmälan</t>
        </is>
      </c>
      <c r="C928" t="inlineStr">
        <is>
          <t>Föryngringsavverkning</t>
        </is>
      </c>
      <c r="D928" s="1" t="n">
        <v>46223</v>
      </c>
      <c r="E928" s="1" t="n">
        <v>46309</v>
      </c>
      <c r="F928" t="inlineStr">
        <is>
          <t>GÄVLEBORGS LÄN</t>
        </is>
      </c>
      <c r="G928" t="inlineStr">
        <is>
          <t>NORDANSTIG</t>
        </is>
      </c>
      <c r="H928" t="inlineStr">
        <is>
          <t>Holmen skog AB</t>
        </is>
      </c>
      <c r="I928" t="n">
        <v>6.2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s="2" t="inlineStr"/>
    </row>
    <row r="929" ht="15" customHeight="1">
      <c r="A929" t="inlineStr">
        <is>
          <t>A 31422-2026</t>
        </is>
      </c>
      <c r="B929" t="inlineStr">
        <is>
          <t>avverkningsanmälan</t>
        </is>
      </c>
      <c r="C929" t="inlineStr">
        <is>
          <t>Föryngringsavverkning</t>
        </is>
      </c>
      <c r="D929" s="1" t="n">
        <v>46220</v>
      </c>
      <c r="E929" s="1" t="n">
        <v>46309</v>
      </c>
      <c r="F929" t="inlineStr">
        <is>
          <t>GÄVLEBORGS LÄN</t>
        </is>
      </c>
      <c r="G929" t="inlineStr">
        <is>
          <t>NORDANSTIG</t>
        </is>
      </c>
      <c r="I929" t="n">
        <v>3.8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s="2" t="inlineStr"/>
    </row>
    <row r="930" ht="15" customHeight="1">
      <c r="A930" t="inlineStr">
        <is>
          <t>A 37974-2024</t>
        </is>
      </c>
      <c r="B930" t="inlineStr">
        <is>
          <t>avverkningsanmälan</t>
        </is>
      </c>
      <c r="C930" t="inlineStr">
        <is>
          <t>Föryngringsavverkning</t>
        </is>
      </c>
      <c r="D930" s="1" t="n">
        <v>45544</v>
      </c>
      <c r="E930" s="1" t="n">
        <v>46309</v>
      </c>
      <c r="F930" t="inlineStr">
        <is>
          <t>GÄVLEBORGS LÄN</t>
        </is>
      </c>
      <c r="G930" t="inlineStr">
        <is>
          <t>NORDANSTIG</t>
        </is>
      </c>
      <c r="I930" t="n">
        <v>2.2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s="2" t="inlineStr"/>
    </row>
    <row r="931" ht="15" customHeight="1">
      <c r="A931" t="inlineStr">
        <is>
          <t>A 31406-2026</t>
        </is>
      </c>
      <c r="B931" t="inlineStr">
        <is>
          <t>avverkningsanmälan</t>
        </is>
      </c>
      <c r="C931" t="inlineStr">
        <is>
          <t>Föryngringsavverkning</t>
        </is>
      </c>
      <c r="D931" s="1" t="n">
        <v>46220</v>
      </c>
      <c r="E931" s="1" t="n">
        <v>46309</v>
      </c>
      <c r="F931" t="inlineStr">
        <is>
          <t>GÄVLEBORGS LÄN</t>
        </is>
      </c>
      <c r="G931" t="inlineStr">
        <is>
          <t>NORDANSTIG</t>
        </is>
      </c>
      <c r="H931" t="inlineStr">
        <is>
          <t>Holmen skog AB</t>
        </is>
      </c>
      <c r="I931" t="n">
        <v>0.6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s="2" t="inlineStr"/>
    </row>
    <row r="932" ht="15" customHeight="1">
      <c r="A932" t="inlineStr">
        <is>
          <t>A 31423-2026</t>
        </is>
      </c>
      <c r="B932" t="inlineStr">
        <is>
          <t>avverkningsanmälan</t>
        </is>
      </c>
      <c r="C932" t="inlineStr">
        <is>
          <t>Föryngringsavverkning</t>
        </is>
      </c>
      <c r="D932" s="1" t="n">
        <v>46220</v>
      </c>
      <c r="E932" s="1" t="n">
        <v>46309</v>
      </c>
      <c r="F932" t="inlineStr">
        <is>
          <t>GÄVLEBORGS LÄN</t>
        </is>
      </c>
      <c r="G932" t="inlineStr">
        <is>
          <t>NORDANSTIG</t>
        </is>
      </c>
      <c r="I932" t="n">
        <v>0.9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s="2" t="inlineStr"/>
    </row>
    <row r="933" ht="15" customHeight="1">
      <c r="A933" t="inlineStr">
        <is>
          <t>A 52006-2024</t>
        </is>
      </c>
      <c r="B933" t="inlineStr">
        <is>
          <t>avverkningsanmälan</t>
        </is>
      </c>
      <c r="C933" t="inlineStr">
        <is>
          <t>Föryngringsavverkning</t>
        </is>
      </c>
      <c r="D933" s="1" t="n">
        <v>45607</v>
      </c>
      <c r="E933" s="1" t="n">
        <v>46309</v>
      </c>
      <c r="F933" t="inlineStr">
        <is>
          <t>GÄVLEBORGS LÄN</t>
        </is>
      </c>
      <c r="G933" t="inlineStr">
        <is>
          <t>NORDANSTIG</t>
        </is>
      </c>
      <c r="I933" t="n">
        <v>6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s="2" t="inlineStr"/>
    </row>
    <row r="934" ht="15" customHeight="1">
      <c r="A934" t="inlineStr">
        <is>
          <t>A 62496-2025</t>
        </is>
      </c>
      <c r="B934" t="inlineStr">
        <is>
          <t>avverkningsanmälan</t>
        </is>
      </c>
      <c r="C934" t="inlineStr">
        <is>
          <t>Föryngringsavverkning</t>
        </is>
      </c>
      <c r="D934" s="1" t="n">
        <v>46007</v>
      </c>
      <c r="E934" s="1" t="n">
        <v>46309</v>
      </c>
      <c r="F934" t="inlineStr">
        <is>
          <t>GÄVLEBORGS LÄN</t>
        </is>
      </c>
      <c r="G934" t="inlineStr">
        <is>
          <t>NORDANSTIG</t>
        </is>
      </c>
      <c r="I934" t="n">
        <v>2.2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s="2" t="inlineStr"/>
    </row>
    <row r="935" ht="15" customHeight="1">
      <c r="A935" t="inlineStr">
        <is>
          <t>A 18988-2022</t>
        </is>
      </c>
      <c r="B935" t="inlineStr">
        <is>
          <t>avverkningsanmälan</t>
        </is>
      </c>
      <c r="C935" t="inlineStr">
        <is>
          <t>Föryngringsavverkning</t>
        </is>
      </c>
      <c r="D935" s="1" t="n">
        <v>44690</v>
      </c>
      <c r="E935" s="1" t="n">
        <v>46309</v>
      </c>
      <c r="F935" t="inlineStr">
        <is>
          <t>GÄVLEBORGS LÄN</t>
        </is>
      </c>
      <c r="G935" t="inlineStr">
        <is>
          <t>NORDANSTIG</t>
        </is>
      </c>
      <c r="I935" t="n">
        <v>9.300000000000001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s="2" t="inlineStr"/>
    </row>
    <row r="936" ht="15" customHeight="1">
      <c r="A936" t="inlineStr">
        <is>
          <t>A 62495-2025</t>
        </is>
      </c>
      <c r="B936" t="inlineStr">
        <is>
          <t>avverkningsanmälan</t>
        </is>
      </c>
      <c r="C936" t="inlineStr">
        <is>
          <t>Föryngringsavverkning</t>
        </is>
      </c>
      <c r="D936" s="1" t="n">
        <v>46007</v>
      </c>
      <c r="E936" s="1" t="n">
        <v>46309</v>
      </c>
      <c r="F936" t="inlineStr">
        <is>
          <t>GÄVLEBORGS LÄN</t>
        </is>
      </c>
      <c r="G936" t="inlineStr">
        <is>
          <t>NORDANSTIG</t>
        </is>
      </c>
      <c r="I936" t="n">
        <v>1.7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s="2" t="inlineStr"/>
    </row>
    <row r="937" ht="15" customHeight="1">
      <c r="A937" t="inlineStr">
        <is>
          <t>A 12607-2024</t>
        </is>
      </c>
      <c r="B937" t="inlineStr">
        <is>
          <t>avverkningsanmälan</t>
        </is>
      </c>
      <c r="C937" t="inlineStr">
        <is>
          <t>Föryngringsavverkning</t>
        </is>
      </c>
      <c r="D937" s="1" t="n">
        <v>45382</v>
      </c>
      <c r="E937" s="1" t="n">
        <v>46309</v>
      </c>
      <c r="F937" t="inlineStr">
        <is>
          <t>GÄVLEBORGS LÄN</t>
        </is>
      </c>
      <c r="G937" t="inlineStr">
        <is>
          <t>NORDANSTIG</t>
        </is>
      </c>
      <c r="I937" t="n">
        <v>0.4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s="2" t="inlineStr"/>
    </row>
    <row r="938" ht="15" customHeight="1">
      <c r="A938" t="inlineStr">
        <is>
          <t>A 18332-2024</t>
        </is>
      </c>
      <c r="B938" t="inlineStr">
        <is>
          <t>avverkningsanmälan</t>
        </is>
      </c>
      <c r="C938" t="inlineStr">
        <is>
          <t>Föryngringsavverkning</t>
        </is>
      </c>
      <c r="D938" s="1" t="n">
        <v>45422</v>
      </c>
      <c r="E938" s="1" t="n">
        <v>46309</v>
      </c>
      <c r="F938" t="inlineStr">
        <is>
          <t>GÄVLEBORGS LÄN</t>
        </is>
      </c>
      <c r="G938" t="inlineStr">
        <is>
          <t>NORDANSTIG</t>
        </is>
      </c>
      <c r="H938" t="inlineStr">
        <is>
          <t>Holmen skog AB</t>
        </is>
      </c>
      <c r="I938" t="n">
        <v>3.5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s="2" t="inlineStr"/>
    </row>
    <row r="939" ht="15" customHeight="1">
      <c r="A939" t="inlineStr">
        <is>
          <t>A 51387-2024</t>
        </is>
      </c>
      <c r="B939" t="inlineStr">
        <is>
          <t>avverkningsanmälan</t>
        </is>
      </c>
      <c r="C939" t="inlineStr">
        <is>
          <t>Föryngringsavverkning</t>
        </is>
      </c>
      <c r="D939" s="1" t="n">
        <v>45604</v>
      </c>
      <c r="E939" s="1" t="n">
        <v>46309</v>
      </c>
      <c r="F939" t="inlineStr">
        <is>
          <t>GÄVLEBORGS LÄN</t>
        </is>
      </c>
      <c r="G939" t="inlineStr">
        <is>
          <t>NORDANSTIG</t>
        </is>
      </c>
      <c r="H939" t="inlineStr">
        <is>
          <t>Holmen skog AB</t>
        </is>
      </c>
      <c r="I939" t="n">
        <v>1.3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s="2" t="inlineStr"/>
    </row>
    <row r="940" ht="15" customHeight="1">
      <c r="A940" t="inlineStr">
        <is>
          <t>A 38581-2024</t>
        </is>
      </c>
      <c r="B940" t="inlineStr">
        <is>
          <t>avverkningsanmälan</t>
        </is>
      </c>
      <c r="C940" t="inlineStr">
        <is>
          <t>Föryngringsavverkning</t>
        </is>
      </c>
      <c r="D940" s="1" t="n">
        <v>45546</v>
      </c>
      <c r="E940" s="1" t="n">
        <v>46309</v>
      </c>
      <c r="F940" t="inlineStr">
        <is>
          <t>GÄVLEBORGS LÄN</t>
        </is>
      </c>
      <c r="G940" t="inlineStr">
        <is>
          <t>NORDANSTIG</t>
        </is>
      </c>
      <c r="I940" t="n">
        <v>0.9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s="2" t="inlineStr"/>
    </row>
    <row r="941" ht="15" customHeight="1">
      <c r="A941" t="inlineStr">
        <is>
          <t>A 38589-2024</t>
        </is>
      </c>
      <c r="B941" t="inlineStr">
        <is>
          <t>avverkningsanmälan</t>
        </is>
      </c>
      <c r="C941" t="inlineStr">
        <is>
          <t>Föryngringsavverkning</t>
        </is>
      </c>
      <c r="D941" s="1" t="n">
        <v>45546</v>
      </c>
      <c r="E941" s="1" t="n">
        <v>46309</v>
      </c>
      <c r="F941" t="inlineStr">
        <is>
          <t>GÄVLEBORGS LÄN</t>
        </is>
      </c>
      <c r="G941" t="inlineStr">
        <is>
          <t>NORDANSTIG</t>
        </is>
      </c>
      <c r="I941" t="n">
        <v>0.4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s="2" t="inlineStr"/>
    </row>
    <row r="942" ht="15" customHeight="1">
      <c r="A942" t="inlineStr">
        <is>
          <t>A 40078-2024</t>
        </is>
      </c>
      <c r="B942" t="inlineStr">
        <is>
          <t>avverkningsanmälan</t>
        </is>
      </c>
      <c r="C942" t="inlineStr">
        <is>
          <t>Föryngringsavverkning</t>
        </is>
      </c>
      <c r="D942" s="1" t="n">
        <v>45554</v>
      </c>
      <c r="E942" s="1" t="n">
        <v>46309</v>
      </c>
      <c r="F942" t="inlineStr">
        <is>
          <t>GÄVLEBORGS LÄN</t>
        </is>
      </c>
      <c r="G942" t="inlineStr">
        <is>
          <t>NORDANSTIG</t>
        </is>
      </c>
      <c r="I942" t="n">
        <v>0.3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s="2" t="inlineStr"/>
    </row>
    <row r="943" ht="15" customHeight="1">
      <c r="A943" t="inlineStr">
        <is>
          <t>A 31708-2026</t>
        </is>
      </c>
      <c r="B943" t="inlineStr">
        <is>
          <t>avverkningsanmälan</t>
        </is>
      </c>
      <c r="C943" t="inlineStr">
        <is>
          <t>Föryngringsavverkning</t>
        </is>
      </c>
      <c r="D943" s="1" t="n">
        <v>46226</v>
      </c>
      <c r="E943" s="1" t="n">
        <v>46309</v>
      </c>
      <c r="F943" t="inlineStr">
        <is>
          <t>GÄVLEBORGS LÄN</t>
        </is>
      </c>
      <c r="G943" t="inlineStr">
        <is>
          <t>NORDANSTIG</t>
        </is>
      </c>
      <c r="I943" t="n">
        <v>2.8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s="2" t="inlineStr"/>
    </row>
    <row r="944" ht="15" customHeight="1">
      <c r="A944" t="inlineStr">
        <is>
          <t>A 36432-2026</t>
        </is>
      </c>
      <c r="B944" t="inlineStr">
        <is>
          <t>avverkningsanmälan</t>
        </is>
      </c>
      <c r="C944" t="inlineStr">
        <is>
          <t>Föryngringsavverkning</t>
        </is>
      </c>
      <c r="D944" s="1" t="n">
        <v>46269</v>
      </c>
      <c r="E944" s="1" t="n">
        <v>46309</v>
      </c>
      <c r="F944" t="inlineStr">
        <is>
          <t>GÄVLEBORGS LÄN</t>
        </is>
      </c>
      <c r="G944" t="inlineStr">
        <is>
          <t>NORDANSTIG</t>
        </is>
      </c>
      <c r="I944" t="n">
        <v>1.2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s="2" t="inlineStr"/>
    </row>
    <row r="945" ht="15" customHeight="1">
      <c r="A945" t="inlineStr">
        <is>
          <t>A 55704-2024</t>
        </is>
      </c>
      <c r="B945" t="inlineStr">
        <is>
          <t>avverkningsanmälan</t>
        </is>
      </c>
      <c r="C945" t="inlineStr">
        <is>
          <t>Föryngringsavverkning</t>
        </is>
      </c>
      <c r="D945" s="1" t="n">
        <v>45622</v>
      </c>
      <c r="E945" s="1" t="n">
        <v>46309</v>
      </c>
      <c r="F945" t="inlineStr">
        <is>
          <t>GÄVLEBORGS LÄN</t>
        </is>
      </c>
      <c r="G945" t="inlineStr">
        <is>
          <t>NORDANSTIG</t>
        </is>
      </c>
      <c r="H945" t="inlineStr">
        <is>
          <t>Holmen skog AB</t>
        </is>
      </c>
      <c r="I945" t="n">
        <v>2.3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s="2" t="inlineStr"/>
    </row>
    <row r="946" ht="15" customHeight="1">
      <c r="A946" t="inlineStr">
        <is>
          <t>A 19566-2025</t>
        </is>
      </c>
      <c r="B946" t="inlineStr">
        <is>
          <t>avverkningsanmälan</t>
        </is>
      </c>
      <c r="C946" t="inlineStr">
        <is>
          <t>Föryngringsavverkning</t>
        </is>
      </c>
      <c r="D946" s="1" t="n">
        <v>45770</v>
      </c>
      <c r="E946" s="1" t="n">
        <v>46309</v>
      </c>
      <c r="F946" t="inlineStr">
        <is>
          <t>GÄVLEBORGS LÄN</t>
        </is>
      </c>
      <c r="G946" t="inlineStr">
        <is>
          <t>NORDANSTIG</t>
        </is>
      </c>
      <c r="I946" t="n">
        <v>2.2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s="2" t="inlineStr"/>
    </row>
    <row r="947" ht="15" customHeight="1">
      <c r="A947" t="inlineStr">
        <is>
          <t>A 19569-2025</t>
        </is>
      </c>
      <c r="B947" t="inlineStr">
        <is>
          <t>avverkningsanmälan</t>
        </is>
      </c>
      <c r="C947" t="inlineStr">
        <is>
          <t>Föryngringsavverkning</t>
        </is>
      </c>
      <c r="D947" s="1" t="n">
        <v>45770</v>
      </c>
      <c r="E947" s="1" t="n">
        <v>46309</v>
      </c>
      <c r="F947" t="inlineStr">
        <is>
          <t>GÄVLEBORGS LÄN</t>
        </is>
      </c>
      <c r="G947" t="inlineStr">
        <is>
          <t>NORDANSTIG</t>
        </is>
      </c>
      <c r="I947" t="n">
        <v>0.8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s="2" t="inlineStr"/>
    </row>
    <row r="948" ht="15" customHeight="1">
      <c r="A948" t="inlineStr">
        <is>
          <t>A 36825-2026</t>
        </is>
      </c>
      <c r="B948" t="inlineStr">
        <is>
          <t>avverkningsanmälan</t>
        </is>
      </c>
      <c r="C948" t="inlineStr">
        <is>
          <t>Föryngringsavverkning</t>
        </is>
      </c>
      <c r="D948" s="1" t="n">
        <v>46272</v>
      </c>
      <c r="E948" s="1" t="n">
        <v>46309</v>
      </c>
      <c r="F948" t="inlineStr">
        <is>
          <t>GÄVLEBORGS LÄN</t>
        </is>
      </c>
      <c r="G948" t="inlineStr">
        <is>
          <t>NORDANSTIG</t>
        </is>
      </c>
      <c r="I948" t="n">
        <v>0.8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s="2" t="inlineStr"/>
    </row>
    <row r="949" ht="15" customHeight="1">
      <c r="A949" t="inlineStr">
        <is>
          <t>A 36714-2026</t>
        </is>
      </c>
      <c r="B949" t="inlineStr">
        <is>
          <t>avverkningsanmälan</t>
        </is>
      </c>
      <c r="C949" t="inlineStr">
        <is>
          <t>Föryngringsavverkning</t>
        </is>
      </c>
      <c r="D949" s="1" t="n">
        <v>46272</v>
      </c>
      <c r="E949" s="1" t="n">
        <v>46309</v>
      </c>
      <c r="F949" t="inlineStr">
        <is>
          <t>GÄVLEBORGS LÄN</t>
        </is>
      </c>
      <c r="G949" t="inlineStr">
        <is>
          <t>NORDANSTIG</t>
        </is>
      </c>
      <c r="I949" t="n">
        <v>3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s="2" t="inlineStr"/>
    </row>
    <row r="950" ht="15" customHeight="1">
      <c r="A950" t="inlineStr">
        <is>
          <t>A 31698-2026</t>
        </is>
      </c>
      <c r="B950" t="inlineStr">
        <is>
          <t>avverkningsanmälan</t>
        </is>
      </c>
      <c r="C950" t="inlineStr">
        <is>
          <t>Föryngringsavverkning</t>
        </is>
      </c>
      <c r="D950" s="1" t="n">
        <v>46226</v>
      </c>
      <c r="E950" s="1" t="n">
        <v>46309</v>
      </c>
      <c r="F950" t="inlineStr">
        <is>
          <t>GÄVLEBORGS LÄN</t>
        </is>
      </c>
      <c r="G950" t="inlineStr">
        <is>
          <t>NORDANSTIG</t>
        </is>
      </c>
      <c r="I950" t="n">
        <v>2.2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s="2" t="inlineStr"/>
    </row>
    <row r="951" ht="15" customHeight="1">
      <c r="A951" t="inlineStr">
        <is>
          <t>A 37241-2026</t>
        </is>
      </c>
      <c r="B951" t="inlineStr">
        <is>
          <t>avverkningsanmälan</t>
        </is>
      </c>
      <c r="C951" t="inlineStr">
        <is>
          <t>Föryngringsavverkning</t>
        </is>
      </c>
      <c r="D951" s="1" t="n">
        <v>46274</v>
      </c>
      <c r="E951" s="1" t="n">
        <v>46309</v>
      </c>
      <c r="F951" t="inlineStr">
        <is>
          <t>GÄVLEBORGS LÄN</t>
        </is>
      </c>
      <c r="G951" t="inlineStr">
        <is>
          <t>NORDANSTIG</t>
        </is>
      </c>
      <c r="I951" t="n">
        <v>0.7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s="2" t="inlineStr"/>
    </row>
    <row r="952" ht="15" customHeight="1">
      <c r="A952" t="inlineStr">
        <is>
          <t>A 37013-2026</t>
        </is>
      </c>
      <c r="B952" t="inlineStr">
        <is>
          <t>avverkningsanmälan</t>
        </is>
      </c>
      <c r="C952" t="inlineStr">
        <is>
          <t>Föryngringsavverkning</t>
        </is>
      </c>
      <c r="D952" s="1" t="n">
        <v>46273</v>
      </c>
      <c r="E952" s="1" t="n">
        <v>46309</v>
      </c>
      <c r="F952" t="inlineStr">
        <is>
          <t>GÄVLEBORGS LÄN</t>
        </is>
      </c>
      <c r="G952" t="inlineStr">
        <is>
          <t>NORDANSTIG</t>
        </is>
      </c>
      <c r="I952" t="n">
        <v>1.4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s="2" t="inlineStr"/>
    </row>
    <row r="953" ht="15" customHeight="1">
      <c r="A953" t="inlineStr">
        <is>
          <t>A 37028-2026</t>
        </is>
      </c>
      <c r="B953" t="inlineStr">
        <is>
          <t>avverkningsanmälan</t>
        </is>
      </c>
      <c r="C953" t="inlineStr">
        <is>
          <t>Föryngringsavverkning</t>
        </is>
      </c>
      <c r="D953" s="1" t="n">
        <v>46273</v>
      </c>
      <c r="E953" s="1" t="n">
        <v>46309</v>
      </c>
      <c r="F953" t="inlineStr">
        <is>
          <t>GÄVLEBORGS LÄN</t>
        </is>
      </c>
      <c r="G953" t="inlineStr">
        <is>
          <t>NORDANSTIG</t>
        </is>
      </c>
      <c r="H953" t="inlineStr">
        <is>
          <t>SCA</t>
        </is>
      </c>
      <c r="I953" t="n">
        <v>6.9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s="2" t="inlineStr"/>
    </row>
    <row r="954" ht="15" customHeight="1">
      <c r="A954" t="inlineStr">
        <is>
          <t>A 58870-2023</t>
        </is>
      </c>
      <c r="B954" t="inlineStr">
        <is>
          <t>avverkningsanmälan</t>
        </is>
      </c>
      <c r="C954" t="inlineStr">
        <is>
          <t>Föryngringsavverkning</t>
        </is>
      </c>
      <c r="D954" s="1" t="n">
        <v>45252</v>
      </c>
      <c r="E954" s="1" t="n">
        <v>46309</v>
      </c>
      <c r="F954" t="inlineStr">
        <is>
          <t>GÄVLEBORGS LÄN</t>
        </is>
      </c>
      <c r="G954" t="inlineStr">
        <is>
          <t>NORDANSTIG</t>
        </is>
      </c>
      <c r="I954" t="n">
        <v>1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s="2" t="inlineStr"/>
    </row>
    <row r="955" ht="15" customHeight="1">
      <c r="A955" t="inlineStr">
        <is>
          <t>A 37016-2026</t>
        </is>
      </c>
      <c r="B955" t="inlineStr">
        <is>
          <t>avverkningsanmälan</t>
        </is>
      </c>
      <c r="C955" t="inlineStr">
        <is>
          <t>Föryngringsavverkning</t>
        </is>
      </c>
      <c r="D955" s="1" t="n">
        <v>46273</v>
      </c>
      <c r="E955" s="1" t="n">
        <v>46309</v>
      </c>
      <c r="F955" t="inlineStr">
        <is>
          <t>GÄVLEBORGS LÄN</t>
        </is>
      </c>
      <c r="G955" t="inlineStr">
        <is>
          <t>NORDANSTIG</t>
        </is>
      </c>
      <c r="I955" t="n">
        <v>1.2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s="2" t="inlineStr"/>
    </row>
    <row r="956" ht="15" customHeight="1">
      <c r="A956" t="inlineStr">
        <is>
          <t>A 3404-2025</t>
        </is>
      </c>
      <c r="B956" t="inlineStr">
        <is>
          <t>avverkningsanmälan</t>
        </is>
      </c>
      <c r="C956" t="inlineStr">
        <is>
          <t>Föryngringsavverkning</t>
        </is>
      </c>
      <c r="D956" s="1" t="n">
        <v>45680</v>
      </c>
      <c r="E956" s="1" t="n">
        <v>46309</v>
      </c>
      <c r="F956" t="inlineStr">
        <is>
          <t>GÄVLEBORGS LÄN</t>
        </is>
      </c>
      <c r="G956" t="inlineStr">
        <is>
          <t>NORDANSTIG</t>
        </is>
      </c>
      <c r="I956" t="n">
        <v>2.8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s="2" t="inlineStr"/>
    </row>
    <row r="957" ht="15" customHeight="1">
      <c r="A957" t="inlineStr">
        <is>
          <t>A 37454-2026</t>
        </is>
      </c>
      <c r="B957" t="inlineStr">
        <is>
          <t>avverkningsanmälan</t>
        </is>
      </c>
      <c r="C957" t="inlineStr">
        <is>
          <t>Föryngringsavverkning</t>
        </is>
      </c>
      <c r="D957" s="1" t="n">
        <v>46275</v>
      </c>
      <c r="E957" s="1" t="n">
        <v>46309</v>
      </c>
      <c r="F957" t="inlineStr">
        <is>
          <t>GÄVLEBORGS LÄN</t>
        </is>
      </c>
      <c r="G957" t="inlineStr">
        <is>
          <t>NORDANSTIG</t>
        </is>
      </c>
      <c r="I957" t="n">
        <v>0.9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s="2" t="inlineStr"/>
    </row>
    <row r="958" ht="15" customHeight="1">
      <c r="A958" t="inlineStr">
        <is>
          <t>A 37135-2026</t>
        </is>
      </c>
      <c r="B958" t="inlineStr">
        <is>
          <t>avverkningsanmälan</t>
        </is>
      </c>
      <c r="C958" t="inlineStr">
        <is>
          <t>Föryngringsavverkning</t>
        </is>
      </c>
      <c r="D958" s="1" t="n">
        <v>46274</v>
      </c>
      <c r="E958" s="1" t="n">
        <v>46309</v>
      </c>
      <c r="F958" t="inlineStr">
        <is>
          <t>GÄVLEBORGS LÄN</t>
        </is>
      </c>
      <c r="G958" t="inlineStr">
        <is>
          <t>NORDANSTIG</t>
        </is>
      </c>
      <c r="I958" t="n">
        <v>1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s="2" t="inlineStr"/>
    </row>
    <row r="959" ht="15" customHeight="1">
      <c r="A959" t="inlineStr">
        <is>
          <t>A 17843-2023</t>
        </is>
      </c>
      <c r="B959" t="inlineStr">
        <is>
          <t>avverkningsanmälan</t>
        </is>
      </c>
      <c r="C959" t="inlineStr">
        <is>
          <t>Föryngringsavverkning</t>
        </is>
      </c>
      <c r="D959" s="1" t="n">
        <v>45037</v>
      </c>
      <c r="E959" s="1" t="n">
        <v>46309</v>
      </c>
      <c r="F959" t="inlineStr">
        <is>
          <t>GÄVLEBORGS LÄN</t>
        </is>
      </c>
      <c r="G959" t="inlineStr">
        <is>
          <t>NORDANSTIG</t>
        </is>
      </c>
      <c r="I959" t="n">
        <v>3.7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s="2" t="inlineStr"/>
    </row>
    <row r="960" ht="15" customHeight="1">
      <c r="A960" t="inlineStr">
        <is>
          <t>A 12815-2023</t>
        </is>
      </c>
      <c r="B960" t="inlineStr">
        <is>
          <t>avverkningsanmälan</t>
        </is>
      </c>
      <c r="C960" t="inlineStr">
        <is>
          <t>Föryngringsavverkning</t>
        </is>
      </c>
      <c r="D960" s="1" t="n">
        <v>45001</v>
      </c>
      <c r="E960" s="1" t="n">
        <v>46309</v>
      </c>
      <c r="F960" t="inlineStr">
        <is>
          <t>GÄVLEBORGS LÄN</t>
        </is>
      </c>
      <c r="G960" t="inlineStr">
        <is>
          <t>NORDANSTIG</t>
        </is>
      </c>
      <c r="I960" t="n">
        <v>1.4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s="2" t="inlineStr"/>
    </row>
    <row r="961" ht="15" customHeight="1">
      <c r="A961" t="inlineStr">
        <is>
          <t>A 20044-2024</t>
        </is>
      </c>
      <c r="B961" t="inlineStr">
        <is>
          <t>avverkningsanmälan</t>
        </is>
      </c>
      <c r="C961" t="inlineStr">
        <is>
          <t>Föryngringsavverkning</t>
        </is>
      </c>
      <c r="D961" s="1" t="n">
        <v>45434</v>
      </c>
      <c r="E961" s="1" t="n">
        <v>46309</v>
      </c>
      <c r="F961" t="inlineStr">
        <is>
          <t>GÄVLEBORGS LÄN</t>
        </is>
      </c>
      <c r="G961" t="inlineStr">
        <is>
          <t>NORDANSTIG</t>
        </is>
      </c>
      <c r="H961" t="inlineStr">
        <is>
          <t>Holmen skog AB</t>
        </is>
      </c>
      <c r="I961" t="n">
        <v>9.1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s="2" t="inlineStr"/>
    </row>
    <row r="962" ht="15" customHeight="1">
      <c r="A962" t="inlineStr">
        <is>
          <t>A 11599-2024</t>
        </is>
      </c>
      <c r="B962" t="inlineStr">
        <is>
          <t>avverkningsanmälan</t>
        </is>
      </c>
      <c r="C962" t="inlineStr">
        <is>
          <t>Föryngringsavverkning</t>
        </is>
      </c>
      <c r="D962" s="1" t="n">
        <v>45373</v>
      </c>
      <c r="E962" s="1" t="n">
        <v>46309</v>
      </c>
      <c r="F962" t="inlineStr">
        <is>
          <t>GÄVLEBORGS LÄN</t>
        </is>
      </c>
      <c r="G962" t="inlineStr">
        <is>
          <t>NORDANSTIG</t>
        </is>
      </c>
      <c r="H962" t="inlineStr">
        <is>
          <t>Holmen skog AB</t>
        </is>
      </c>
      <c r="I962" t="n">
        <v>3.4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s="2" t="inlineStr"/>
    </row>
    <row r="963" ht="15" customHeight="1">
      <c r="A963" t="inlineStr">
        <is>
          <t>A 37977-2026</t>
        </is>
      </c>
      <c r="B963" t="inlineStr">
        <is>
          <t>avverkningsanmälan</t>
        </is>
      </c>
      <c r="C963" t="inlineStr">
        <is>
          <t>Föryngringsavverkning</t>
        </is>
      </c>
      <c r="D963" s="1" t="n">
        <v>46280</v>
      </c>
      <c r="E963" s="1" t="n">
        <v>46309</v>
      </c>
      <c r="F963" t="inlineStr">
        <is>
          <t>GÄVLEBORGS LÄN</t>
        </is>
      </c>
      <c r="G963" t="inlineStr">
        <is>
          <t>NORDANSTIG</t>
        </is>
      </c>
      <c r="I963" t="n">
        <v>3.3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s="2" t="inlineStr"/>
    </row>
    <row r="964" ht="15" customHeight="1">
      <c r="A964" t="inlineStr">
        <is>
          <t>A 30842-2024</t>
        </is>
      </c>
      <c r="B964" t="inlineStr">
        <is>
          <t>avverkningsanmälan</t>
        </is>
      </c>
      <c r="C964" t="inlineStr">
        <is>
          <t>Föryngringsavverkning</t>
        </is>
      </c>
      <c r="D964" s="1" t="n">
        <v>45497</v>
      </c>
      <c r="E964" s="1" t="n">
        <v>46309</v>
      </c>
      <c r="F964" t="inlineStr">
        <is>
          <t>GÄVLEBORGS LÄN</t>
        </is>
      </c>
      <c r="G964" t="inlineStr">
        <is>
          <t>NORDANSTIG</t>
        </is>
      </c>
      <c r="H964" t="inlineStr">
        <is>
          <t>Holmen skog AB</t>
        </is>
      </c>
      <c r="I964" t="n">
        <v>6.9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s="2" t="inlineStr"/>
    </row>
    <row r="965" ht="15" customHeight="1">
      <c r="A965" t="inlineStr">
        <is>
          <t>A 39068-2023</t>
        </is>
      </c>
      <c r="B965" t="inlineStr">
        <is>
          <t>avverkningsanmälan</t>
        </is>
      </c>
      <c r="C965" t="inlineStr">
        <is>
          <t>Föryngringsavverkning</t>
        </is>
      </c>
      <c r="D965" s="1" t="n">
        <v>45163</v>
      </c>
      <c r="E965" s="1" t="n">
        <v>46309</v>
      </c>
      <c r="F965" t="inlineStr">
        <is>
          <t>GÄVLEBORGS LÄN</t>
        </is>
      </c>
      <c r="G965" t="inlineStr">
        <is>
          <t>NORDANSTIG</t>
        </is>
      </c>
      <c r="H965" t="inlineStr">
        <is>
          <t>SCA</t>
        </is>
      </c>
      <c r="I965" t="n">
        <v>11.8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s="2" t="inlineStr"/>
    </row>
    <row r="966" ht="15" customHeight="1">
      <c r="A966" t="inlineStr">
        <is>
          <t>A 19231-2024</t>
        </is>
      </c>
      <c r="B966" t="inlineStr">
        <is>
          <t>avverkningsanmälan</t>
        </is>
      </c>
      <c r="C966" t="inlineStr">
        <is>
          <t>Föryngringsavverkning</t>
        </is>
      </c>
      <c r="D966" s="1" t="n">
        <v>45428</v>
      </c>
      <c r="E966" s="1" t="n">
        <v>46309</v>
      </c>
      <c r="F966" t="inlineStr">
        <is>
          <t>GÄVLEBORGS LÄN</t>
        </is>
      </c>
      <c r="G966" t="inlineStr">
        <is>
          <t>NORDANSTIG</t>
        </is>
      </c>
      <c r="H966" t="inlineStr">
        <is>
          <t>Holmen skog AB</t>
        </is>
      </c>
      <c r="I966" t="n">
        <v>21.5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s="2" t="inlineStr"/>
    </row>
    <row r="967" ht="15" customHeight="1">
      <c r="A967" t="inlineStr">
        <is>
          <t>A 37979-2026</t>
        </is>
      </c>
      <c r="B967" t="inlineStr">
        <is>
          <t>avverkningsanmälan</t>
        </is>
      </c>
      <c r="C967" t="inlineStr">
        <is>
          <t>Föryngringsavverkning</t>
        </is>
      </c>
      <c r="D967" s="1" t="n">
        <v>46280</v>
      </c>
      <c r="E967" s="1" t="n">
        <v>46309</v>
      </c>
      <c r="F967" t="inlineStr">
        <is>
          <t>GÄVLEBORGS LÄN</t>
        </is>
      </c>
      <c r="G967" t="inlineStr">
        <is>
          <t>NORDANSTIG</t>
        </is>
      </c>
      <c r="I967" t="n">
        <v>6.5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s="2" t="inlineStr"/>
    </row>
    <row r="968" ht="15" customHeight="1">
      <c r="A968" t="inlineStr">
        <is>
          <t>A 32092-2026</t>
        </is>
      </c>
      <c r="B968" t="inlineStr">
        <is>
          <t>avverkningsanmälan</t>
        </is>
      </c>
      <c r="C968" t="inlineStr">
        <is>
          <t>Föryngringsavverkning</t>
        </is>
      </c>
      <c r="D968" s="1" t="n">
        <v>46234</v>
      </c>
      <c r="E968" s="1" t="n">
        <v>46309</v>
      </c>
      <c r="F968" t="inlineStr">
        <is>
          <t>GÄVLEBORGS LÄN</t>
        </is>
      </c>
      <c r="G968" t="inlineStr">
        <is>
          <t>NORDANSTIG</t>
        </is>
      </c>
      <c r="H968" t="inlineStr">
        <is>
          <t>Holmen skog AB</t>
        </is>
      </c>
      <c r="I968" t="n">
        <v>2.5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s="2" t="inlineStr"/>
    </row>
    <row r="969" ht="15" customHeight="1">
      <c r="A969" t="inlineStr">
        <is>
          <t>A 52746-2022</t>
        </is>
      </c>
      <c r="B969" t="inlineStr">
        <is>
          <t>avverkningsanmälan</t>
        </is>
      </c>
      <c r="C969" t="inlineStr">
        <is>
          <t>Föryngringsavverkning</t>
        </is>
      </c>
      <c r="D969" s="1" t="n">
        <v>44874</v>
      </c>
      <c r="E969" s="1" t="n">
        <v>46309</v>
      </c>
      <c r="F969" t="inlineStr">
        <is>
          <t>GÄVLEBORGS LÄN</t>
        </is>
      </c>
      <c r="G969" t="inlineStr">
        <is>
          <t>NORDANSTIG</t>
        </is>
      </c>
      <c r="H969" t="inlineStr">
        <is>
          <t>SCA</t>
        </is>
      </c>
      <c r="I969" t="n">
        <v>7.1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s="2" t="inlineStr"/>
    </row>
    <row r="970" ht="15" customHeight="1">
      <c r="A970" t="inlineStr">
        <is>
          <t>A 54524-2024</t>
        </is>
      </c>
      <c r="B970" t="inlineStr">
        <is>
          <t>avverkningsanmälan</t>
        </is>
      </c>
      <c r="C970" t="inlineStr">
        <is>
          <t>Föryngringsavverkning</t>
        </is>
      </c>
      <c r="D970" s="1" t="n">
        <v>45617</v>
      </c>
      <c r="E970" s="1" t="n">
        <v>46309</v>
      </c>
      <c r="F970" t="inlineStr">
        <is>
          <t>GÄVLEBORGS LÄN</t>
        </is>
      </c>
      <c r="G970" t="inlineStr">
        <is>
          <t>NORDANSTIG</t>
        </is>
      </c>
      <c r="H970" t="inlineStr">
        <is>
          <t>Holmen skog AB</t>
        </is>
      </c>
      <c r="I970" t="n">
        <v>1.2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s="2" t="inlineStr"/>
    </row>
    <row r="971" ht="15" customHeight="1">
      <c r="A971" t="inlineStr">
        <is>
          <t>A 8898-2024</t>
        </is>
      </c>
      <c r="B971" t="inlineStr">
        <is>
          <t>avverkningsanmälan</t>
        </is>
      </c>
      <c r="C971" t="inlineStr">
        <is>
          <t>Föryngringsavverkning</t>
        </is>
      </c>
      <c r="D971" s="1" t="n">
        <v>45357</v>
      </c>
      <c r="E971" s="1" t="n">
        <v>46309</v>
      </c>
      <c r="F971" t="inlineStr">
        <is>
          <t>GÄVLEBORGS LÄN</t>
        </is>
      </c>
      <c r="G971" t="inlineStr">
        <is>
          <t>NORDANSTIG</t>
        </is>
      </c>
      <c r="I971" t="n">
        <v>8.199999999999999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s="2" t="inlineStr"/>
    </row>
    <row r="972" ht="15" customHeight="1">
      <c r="A972" t="inlineStr">
        <is>
          <t>A 38380-2026</t>
        </is>
      </c>
      <c r="B972" t="inlineStr">
        <is>
          <t>avverkningsanmälan</t>
        </is>
      </c>
      <c r="C972" t="inlineStr">
        <is>
          <t>Föryngringsavverkning</t>
        </is>
      </c>
      <c r="D972" s="1" t="n">
        <v>46282</v>
      </c>
      <c r="E972" s="1" t="n">
        <v>46309</v>
      </c>
      <c r="F972" t="inlineStr">
        <is>
          <t>GÄVLEBORGS LÄN</t>
        </is>
      </c>
      <c r="G972" t="inlineStr">
        <is>
          <t>NORDANSTIG</t>
        </is>
      </c>
      <c r="I972" t="n">
        <v>3.5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s="2" t="inlineStr"/>
    </row>
    <row r="973" ht="15" customHeight="1">
      <c r="A973" t="inlineStr">
        <is>
          <t>A 41318-2024</t>
        </is>
      </c>
      <c r="B973" t="inlineStr">
        <is>
          <t>avverkningsanmälan</t>
        </is>
      </c>
      <c r="C973" t="inlineStr">
        <is>
          <t>Föryngringsavverkning</t>
        </is>
      </c>
      <c r="D973" s="1" t="n">
        <v>45559</v>
      </c>
      <c r="E973" s="1" t="n">
        <v>46309</v>
      </c>
      <c r="F973" t="inlineStr">
        <is>
          <t>GÄVLEBORGS LÄN</t>
        </is>
      </c>
      <c r="G973" t="inlineStr">
        <is>
          <t>NORDANSTIG</t>
        </is>
      </c>
      <c r="H973" t="inlineStr">
        <is>
          <t>Holmen skog AB</t>
        </is>
      </c>
      <c r="I973" t="n">
        <v>2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s="2" t="inlineStr"/>
    </row>
    <row r="974" ht="15" customHeight="1">
      <c r="A974" t="inlineStr">
        <is>
          <t>A 15385-2023</t>
        </is>
      </c>
      <c r="B974" t="inlineStr">
        <is>
          <t>avverkningsanmälan</t>
        </is>
      </c>
      <c r="C974" t="inlineStr">
        <is>
          <t>Föryngringsavverkning</t>
        </is>
      </c>
      <c r="D974" s="1" t="n">
        <v>45019</v>
      </c>
      <c r="E974" s="1" t="n">
        <v>46309</v>
      </c>
      <c r="F974" t="inlineStr">
        <is>
          <t>GÄVLEBORGS LÄN</t>
        </is>
      </c>
      <c r="G974" t="inlineStr">
        <is>
          <t>NORDANSTIG</t>
        </is>
      </c>
      <c r="I974" t="n">
        <v>5.9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s="2" t="inlineStr"/>
    </row>
    <row r="975" ht="15" customHeight="1">
      <c r="A975" t="inlineStr">
        <is>
          <t>A 1351-2024</t>
        </is>
      </c>
      <c r="B975" t="inlineStr">
        <is>
          <t>avverkningsanmälan</t>
        </is>
      </c>
      <c r="C975" t="inlineStr">
        <is>
          <t>Föryngringsavverkning</t>
        </is>
      </c>
      <c r="D975" s="1" t="n">
        <v>45303</v>
      </c>
      <c r="E975" s="1" t="n">
        <v>46309</v>
      </c>
      <c r="F975" t="inlineStr">
        <is>
          <t>GÄVLEBORGS LÄN</t>
        </is>
      </c>
      <c r="G975" t="inlineStr">
        <is>
          <t>NORDANSTIG</t>
        </is>
      </c>
      <c r="I975" t="n">
        <v>1.5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s="2" t="inlineStr"/>
    </row>
    <row r="976" ht="15" customHeight="1">
      <c r="A976" t="inlineStr">
        <is>
          <t>A 32340-2026</t>
        </is>
      </c>
      <c r="B976" t="inlineStr">
        <is>
          <t>avverkningsanmälan</t>
        </is>
      </c>
      <c r="C976" t="inlineStr">
        <is>
          <t>Föryngringsavverkning</t>
        </is>
      </c>
      <c r="D976" s="1" t="n">
        <v>46238</v>
      </c>
      <c r="E976" s="1" t="n">
        <v>46309</v>
      </c>
      <c r="F976" t="inlineStr">
        <is>
          <t>GÄVLEBORGS LÄN</t>
        </is>
      </c>
      <c r="G976" t="inlineStr">
        <is>
          <t>NORDANSTIG</t>
        </is>
      </c>
      <c r="I976" t="n">
        <v>2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s="2" t="inlineStr"/>
    </row>
    <row r="977" ht="15" customHeight="1">
      <c r="A977" t="inlineStr">
        <is>
          <t>A 1564-2025</t>
        </is>
      </c>
      <c r="B977" t="inlineStr">
        <is>
          <t>avverkningsanmälan</t>
        </is>
      </c>
      <c r="C977" t="inlineStr">
        <is>
          <t>Föryngringsavverkning</t>
        </is>
      </c>
      <c r="D977" s="1" t="n">
        <v>45667</v>
      </c>
      <c r="E977" s="1" t="n">
        <v>46309</v>
      </c>
      <c r="F977" t="inlineStr">
        <is>
          <t>GÄVLEBORGS LÄN</t>
        </is>
      </c>
      <c r="G977" t="inlineStr">
        <is>
          <t>NORDANSTIG</t>
        </is>
      </c>
      <c r="I977" t="n">
        <v>0.6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s="2" t="inlineStr"/>
    </row>
    <row r="978" ht="15" customHeight="1">
      <c r="A978" t="inlineStr">
        <is>
          <t>A 1576-2025</t>
        </is>
      </c>
      <c r="B978" t="inlineStr">
        <is>
          <t>avverkningsanmälan</t>
        </is>
      </c>
      <c r="C978" t="inlineStr">
        <is>
          <t>Föryngringsavverkning</t>
        </is>
      </c>
      <c r="D978" s="1" t="n">
        <v>45670</v>
      </c>
      <c r="E978" s="1" t="n">
        <v>46309</v>
      </c>
      <c r="F978" t="inlineStr">
        <is>
          <t>GÄVLEBORGS LÄN</t>
        </is>
      </c>
      <c r="G978" t="inlineStr">
        <is>
          <t>NORDANSTIG</t>
        </is>
      </c>
      <c r="H978" t="inlineStr">
        <is>
          <t>Holmen skog AB</t>
        </is>
      </c>
      <c r="I978" t="n">
        <v>5.6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s="2" t="inlineStr"/>
    </row>
    <row r="979" ht="15" customHeight="1">
      <c r="A979" t="inlineStr">
        <is>
          <t>A 1579-2025</t>
        </is>
      </c>
      <c r="B979" t="inlineStr">
        <is>
          <t>avverkningsanmälan</t>
        </is>
      </c>
      <c r="C979" t="inlineStr">
        <is>
          <t>Föryngringsavverkning</t>
        </is>
      </c>
      <c r="D979" s="1" t="n">
        <v>45670</v>
      </c>
      <c r="E979" s="1" t="n">
        <v>46309</v>
      </c>
      <c r="F979" t="inlineStr">
        <is>
          <t>GÄVLEBORGS LÄN</t>
        </is>
      </c>
      <c r="G979" t="inlineStr">
        <is>
          <t>NORDANSTIG</t>
        </is>
      </c>
      <c r="H979" t="inlineStr">
        <is>
          <t>Holmen skog AB</t>
        </is>
      </c>
      <c r="I979" t="n">
        <v>0.7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s="2" t="inlineStr"/>
    </row>
    <row r="980" ht="15" customHeight="1">
      <c r="A980" t="inlineStr">
        <is>
          <t>A 26684-2026</t>
        </is>
      </c>
      <c r="B980" t="inlineStr">
        <is>
          <t>avverkningsanmälan</t>
        </is>
      </c>
      <c r="C980" t="inlineStr">
        <is>
          <t>Föryngringsavverkning</t>
        </is>
      </c>
      <c r="D980" s="1" t="n">
        <v>46184</v>
      </c>
      <c r="E980" s="1" t="n">
        <v>46309</v>
      </c>
      <c r="F980" t="inlineStr">
        <is>
          <t>GÄVLEBORGS LÄN</t>
        </is>
      </c>
      <c r="G980" t="inlineStr">
        <is>
          <t>NORDANSTIG</t>
        </is>
      </c>
      <c r="I980" t="n">
        <v>2.6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s="2" t="inlineStr"/>
    </row>
    <row r="981" ht="15" customHeight="1">
      <c r="A981" t="inlineStr">
        <is>
          <t>A 2705-2025</t>
        </is>
      </c>
      <c r="B981" t="inlineStr">
        <is>
          <t>avverkningsanmälan</t>
        </is>
      </c>
      <c r="C981" t="inlineStr">
        <is>
          <t>Föryngringsavverkning</t>
        </is>
      </c>
      <c r="D981" s="1" t="n">
        <v>45677</v>
      </c>
      <c r="E981" s="1" t="n">
        <v>46309</v>
      </c>
      <c r="F981" t="inlineStr">
        <is>
          <t>GÄVLEBORGS LÄN</t>
        </is>
      </c>
      <c r="G981" t="inlineStr">
        <is>
          <t>NORDANSTIG</t>
        </is>
      </c>
      <c r="H981" t="inlineStr">
        <is>
          <t>Holmen skog AB</t>
        </is>
      </c>
      <c r="I981" t="n">
        <v>14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s="2" t="inlineStr"/>
    </row>
    <row r="982" ht="15" customHeight="1">
      <c r="A982" t="inlineStr">
        <is>
          <t>A 55276-2024</t>
        </is>
      </c>
      <c r="B982" t="inlineStr">
        <is>
          <t>avverkningsanmälan</t>
        </is>
      </c>
      <c r="C982" t="inlineStr">
        <is>
          <t>Föryngringsavverkning</t>
        </is>
      </c>
      <c r="D982" s="1" t="n">
        <v>45621</v>
      </c>
      <c r="E982" s="1" t="n">
        <v>46309</v>
      </c>
      <c r="F982" t="inlineStr">
        <is>
          <t>GÄVLEBORGS LÄN</t>
        </is>
      </c>
      <c r="G982" t="inlineStr">
        <is>
          <t>NORDANSTIG</t>
        </is>
      </c>
      <c r="H982" t="inlineStr">
        <is>
          <t>Holmen skog AB</t>
        </is>
      </c>
      <c r="I982" t="n">
        <v>1.3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s="2" t="inlineStr"/>
    </row>
    <row r="983" ht="15" customHeight="1">
      <c r="A983" t="inlineStr">
        <is>
          <t>A 58749-2024</t>
        </is>
      </c>
      <c r="B983" t="inlineStr">
        <is>
          <t>avverkningsanmälan</t>
        </is>
      </c>
      <c r="C983" t="inlineStr">
        <is>
          <t>Föryngringsavverkning</t>
        </is>
      </c>
      <c r="D983" s="1" t="n">
        <v>45635</v>
      </c>
      <c r="E983" s="1" t="n">
        <v>46309</v>
      </c>
      <c r="F983" t="inlineStr">
        <is>
          <t>GÄVLEBORGS LÄN</t>
        </is>
      </c>
      <c r="G983" t="inlineStr">
        <is>
          <t>NORDANSTIG</t>
        </is>
      </c>
      <c r="H983" t="inlineStr">
        <is>
          <t>Holmen skog AB</t>
        </is>
      </c>
      <c r="I983" t="n">
        <v>8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s="2" t="inlineStr"/>
    </row>
    <row r="984" ht="15" customHeight="1">
      <c r="A984" t="inlineStr">
        <is>
          <t>A 25631-2023</t>
        </is>
      </c>
      <c r="B984" t="inlineStr">
        <is>
          <t>avverkningsanmälan</t>
        </is>
      </c>
      <c r="C984" t="inlineStr">
        <is>
          <t>Föryngringsavverkning</t>
        </is>
      </c>
      <c r="D984" s="1" t="n">
        <v>45089</v>
      </c>
      <c r="E984" s="1" t="n">
        <v>46309</v>
      </c>
      <c r="F984" t="inlineStr">
        <is>
          <t>GÄVLEBORGS LÄN</t>
        </is>
      </c>
      <c r="G984" t="inlineStr">
        <is>
          <t>NORDANSTIG</t>
        </is>
      </c>
      <c r="I984" t="n">
        <v>2.8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s="2" t="inlineStr"/>
    </row>
    <row r="985" ht="15" customHeight="1">
      <c r="A985" t="inlineStr">
        <is>
          <t>A 26842-2026</t>
        </is>
      </c>
      <c r="B985" t="inlineStr">
        <is>
          <t>avverkningsanmälan</t>
        </is>
      </c>
      <c r="C985" t="inlineStr">
        <is>
          <t>Föryngringsavverkning</t>
        </is>
      </c>
      <c r="D985" s="1" t="n">
        <v>46185</v>
      </c>
      <c r="E985" s="1" t="n">
        <v>46309</v>
      </c>
      <c r="F985" t="inlineStr">
        <is>
          <t>GÄVLEBORGS LÄN</t>
        </is>
      </c>
      <c r="G985" t="inlineStr">
        <is>
          <t>NORDANSTIG</t>
        </is>
      </c>
      <c r="H985" t="inlineStr">
        <is>
          <t>Holmen skog AB</t>
        </is>
      </c>
      <c r="I985" t="n">
        <v>50.7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s="2" t="inlineStr"/>
    </row>
    <row r="986" ht="15" customHeight="1">
      <c r="A986" t="inlineStr">
        <is>
          <t>A 38548-2026</t>
        </is>
      </c>
      <c r="B986" t="inlineStr">
        <is>
          <t>avverkningsanmälan</t>
        </is>
      </c>
      <c r="C986" t="inlineStr">
        <is>
          <t>Föryngringsavverkning</t>
        </is>
      </c>
      <c r="D986" s="1" t="n">
        <v>46283</v>
      </c>
      <c r="E986" s="1" t="n">
        <v>46309</v>
      </c>
      <c r="F986" t="inlineStr">
        <is>
          <t>GÄVLEBORGS LÄN</t>
        </is>
      </c>
      <c r="G986" t="inlineStr">
        <is>
          <t>NORDANSTIG</t>
        </is>
      </c>
      <c r="I986" t="n">
        <v>0.7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s="2" t="inlineStr"/>
    </row>
    <row r="987" ht="15" customHeight="1">
      <c r="A987" t="inlineStr">
        <is>
          <t>A 32726-2026</t>
        </is>
      </c>
      <c r="B987" t="inlineStr">
        <is>
          <t>avverkningsanmälan</t>
        </is>
      </c>
      <c r="C987" t="inlineStr">
        <is>
          <t>Föryngringsavverkning</t>
        </is>
      </c>
      <c r="D987" s="1" t="n">
        <v>46241</v>
      </c>
      <c r="E987" s="1" t="n">
        <v>46309</v>
      </c>
      <c r="F987" t="inlineStr">
        <is>
          <t>GÄVLEBORGS LÄN</t>
        </is>
      </c>
      <c r="G987" t="inlineStr">
        <is>
          <t>NORDANSTIG</t>
        </is>
      </c>
      <c r="I987" t="n">
        <v>1.1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s="2" t="inlineStr"/>
    </row>
    <row r="988" ht="15" customHeight="1">
      <c r="A988" t="inlineStr">
        <is>
          <t>A 39314-2026</t>
        </is>
      </c>
      <c r="B988" t="inlineStr">
        <is>
          <t>avverkningsanmälan</t>
        </is>
      </c>
      <c r="C988" t="inlineStr">
        <is>
          <t>Föryngringsavverkning</t>
        </is>
      </c>
      <c r="D988" s="1" t="n">
        <v>46288</v>
      </c>
      <c r="E988" s="1" t="n">
        <v>46309</v>
      </c>
      <c r="F988" t="inlineStr">
        <is>
          <t>GÄVLEBORGS LÄN</t>
        </is>
      </c>
      <c r="G988" t="inlineStr">
        <is>
          <t>NORDANSTIG</t>
        </is>
      </c>
      <c r="H988" t="inlineStr">
        <is>
          <t>Holmen skog AB</t>
        </is>
      </c>
      <c r="I988" t="n">
        <v>14.6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s="2" t="inlineStr"/>
    </row>
    <row r="989" ht="15" customHeight="1">
      <c r="A989" t="inlineStr">
        <is>
          <t>A 51842-2024</t>
        </is>
      </c>
      <c r="B989" t="inlineStr">
        <is>
          <t>avverkningsanmälan</t>
        </is>
      </c>
      <c r="C989" t="inlineStr">
        <is>
          <t>Föryngringsavverkning</t>
        </is>
      </c>
      <c r="D989" s="1" t="n">
        <v>45607</v>
      </c>
      <c r="E989" s="1" t="n">
        <v>46309</v>
      </c>
      <c r="F989" t="inlineStr">
        <is>
          <t>GÄVLEBORGS LÄN</t>
        </is>
      </c>
      <c r="G989" t="inlineStr">
        <is>
          <t>NORDANSTIG</t>
        </is>
      </c>
      <c r="I989" t="n">
        <v>1.4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s="2" t="inlineStr"/>
    </row>
    <row r="990" ht="15" customHeight="1">
      <c r="A990" t="inlineStr">
        <is>
          <t>A 54401-2024</t>
        </is>
      </c>
      <c r="B990" t="inlineStr">
        <is>
          <t>avverkningsanmälan</t>
        </is>
      </c>
      <c r="C990" t="inlineStr">
        <is>
          <t>Föryngringsavverkning</t>
        </is>
      </c>
      <c r="D990" s="1" t="n">
        <v>45617</v>
      </c>
      <c r="E990" s="1" t="n">
        <v>46309</v>
      </c>
      <c r="F990" t="inlineStr">
        <is>
          <t>GÄVLEBORGS LÄN</t>
        </is>
      </c>
      <c r="G990" t="inlineStr">
        <is>
          <t>NORDANSTIG</t>
        </is>
      </c>
      <c r="H990" t="inlineStr">
        <is>
          <t>Holmen skog AB</t>
        </is>
      </c>
      <c r="I990" t="n">
        <v>1.8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s="2" t="inlineStr"/>
    </row>
    <row r="991" ht="15" customHeight="1">
      <c r="A991" t="inlineStr">
        <is>
          <t>A 17641-2025</t>
        </is>
      </c>
      <c r="B991" t="inlineStr">
        <is>
          <t>avverkningsanmälan</t>
        </is>
      </c>
      <c r="C991" t="inlineStr">
        <is>
          <t>Föryngringsavverkning</t>
        </is>
      </c>
      <c r="D991" s="1" t="n">
        <v>45758</v>
      </c>
      <c r="E991" s="1" t="n">
        <v>46309</v>
      </c>
      <c r="F991" t="inlineStr">
        <is>
          <t>GÄVLEBORGS LÄN</t>
        </is>
      </c>
      <c r="G991" t="inlineStr">
        <is>
          <t>NORDANSTIG</t>
        </is>
      </c>
      <c r="I991" t="n">
        <v>4.7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s="2" t="inlineStr"/>
    </row>
    <row r="992" ht="15" customHeight="1">
      <c r="A992" t="inlineStr">
        <is>
          <t>A 39376-2026</t>
        </is>
      </c>
      <c r="B992" t="inlineStr">
        <is>
          <t>avverkningsanmälan</t>
        </is>
      </c>
      <c r="C992" t="inlineStr">
        <is>
          <t>Föryngringsavverkning</t>
        </is>
      </c>
      <c r="D992" s="1" t="n">
        <v>46288</v>
      </c>
      <c r="E992" s="1" t="n">
        <v>46309</v>
      </c>
      <c r="F992" t="inlineStr">
        <is>
          <t>GÄVLEBORGS LÄN</t>
        </is>
      </c>
      <c r="G992" t="inlineStr">
        <is>
          <t>NORDANSTIG</t>
        </is>
      </c>
      <c r="H992" t="inlineStr">
        <is>
          <t>Holmen skog AB</t>
        </is>
      </c>
      <c r="I992" t="n">
        <v>2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s="2" t="inlineStr"/>
    </row>
    <row r="993" ht="15" customHeight="1">
      <c r="A993" t="inlineStr">
        <is>
          <t>A 32938-2026</t>
        </is>
      </c>
      <c r="B993" t="inlineStr">
        <is>
          <t>avverkningsanmälan</t>
        </is>
      </c>
      <c r="C993" t="inlineStr">
        <is>
          <t>Föryngringsavverkning</t>
        </is>
      </c>
      <c r="D993" s="1" t="n">
        <v>46244</v>
      </c>
      <c r="E993" s="1" t="n">
        <v>46309</v>
      </c>
      <c r="F993" t="inlineStr">
        <is>
          <t>GÄVLEBORGS LÄN</t>
        </is>
      </c>
      <c r="G993" t="inlineStr">
        <is>
          <t>NORDANSTIG</t>
        </is>
      </c>
      <c r="I993" t="n">
        <v>4.1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s="2" t="inlineStr"/>
    </row>
    <row r="994" ht="15" customHeight="1">
      <c r="A994" t="inlineStr">
        <is>
          <t>A 54200-2023</t>
        </is>
      </c>
      <c r="B994" t="inlineStr">
        <is>
          <t>avverkningsanmälan</t>
        </is>
      </c>
      <c r="C994" t="inlineStr">
        <is>
          <t>Föryngringsavverkning</t>
        </is>
      </c>
      <c r="D994" s="1" t="n">
        <v>45232</v>
      </c>
      <c r="E994" s="1" t="n">
        <v>46309</v>
      </c>
      <c r="F994" t="inlineStr">
        <is>
          <t>GÄVLEBORGS LÄN</t>
        </is>
      </c>
      <c r="G994" t="inlineStr">
        <is>
          <t>NORDANSTIG</t>
        </is>
      </c>
      <c r="I994" t="n">
        <v>1.9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s="2" t="inlineStr"/>
    </row>
    <row r="995" ht="15" customHeight="1">
      <c r="A995" t="inlineStr">
        <is>
          <t>A 59043-2024</t>
        </is>
      </c>
      <c r="B995" t="inlineStr">
        <is>
          <t>avverkningsanmälan</t>
        </is>
      </c>
      <c r="C995" t="inlineStr">
        <is>
          <t>Föryngringsavverkning</t>
        </is>
      </c>
      <c r="D995" s="1" t="n">
        <v>45636</v>
      </c>
      <c r="E995" s="1" t="n">
        <v>46309</v>
      </c>
      <c r="F995" t="inlineStr">
        <is>
          <t>GÄVLEBORGS LÄN</t>
        </is>
      </c>
      <c r="G995" t="inlineStr">
        <is>
          <t>NORDANSTIG</t>
        </is>
      </c>
      <c r="I995" t="n">
        <v>2.7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s="2" t="inlineStr"/>
    </row>
    <row r="996" ht="15" customHeight="1">
      <c r="A996" t="inlineStr">
        <is>
          <t>A 10069-2025</t>
        </is>
      </c>
      <c r="B996" t="inlineStr">
        <is>
          <t>avverkningsanmälan</t>
        </is>
      </c>
      <c r="C996" t="inlineStr">
        <is>
          <t>Föryngringsavverkning</t>
        </is>
      </c>
      <c r="D996" s="1" t="n">
        <v>45719</v>
      </c>
      <c r="E996" s="1" t="n">
        <v>46309</v>
      </c>
      <c r="F996" t="inlineStr">
        <is>
          <t>GÄVLEBORGS LÄN</t>
        </is>
      </c>
      <c r="G996" t="inlineStr">
        <is>
          <t>NORDANSTIG</t>
        </is>
      </c>
      <c r="H996" t="inlineStr">
        <is>
          <t>Holmen skog AB</t>
        </is>
      </c>
      <c r="I996" t="n">
        <v>4.6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s="2" t="inlineStr"/>
    </row>
    <row r="997" ht="15" customHeight="1">
      <c r="A997" t="inlineStr">
        <is>
          <t>A 40241-2023</t>
        </is>
      </c>
      <c r="B997" t="inlineStr">
        <is>
          <t>avverkningsanmälan</t>
        </is>
      </c>
      <c r="C997" t="inlineStr">
        <is>
          <t>Avverkning för att bevara och utveckla /försöksver</t>
        </is>
      </c>
      <c r="D997" s="1" t="n">
        <v>45169</v>
      </c>
      <c r="E997" s="1" t="n">
        <v>46309</v>
      </c>
      <c r="F997" t="inlineStr">
        <is>
          <t>GÄVLEBORGS LÄN</t>
        </is>
      </c>
      <c r="G997" t="inlineStr">
        <is>
          <t>NORDANSTIG</t>
        </is>
      </c>
      <c r="H997" t="inlineStr">
        <is>
          <t>Holmen skog AB</t>
        </is>
      </c>
      <c r="I997" t="n">
        <v>4.3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s="2" t="inlineStr"/>
    </row>
    <row r="998" ht="15" customHeight="1">
      <c r="A998" t="inlineStr">
        <is>
          <t>A 11394-2025</t>
        </is>
      </c>
      <c r="B998" t="inlineStr">
        <is>
          <t>avverkningsanmälan</t>
        </is>
      </c>
      <c r="C998" t="inlineStr">
        <is>
          <t>Föryngringsavverkning</t>
        </is>
      </c>
      <c r="D998" s="1" t="n">
        <v>45726</v>
      </c>
      <c r="E998" s="1" t="n">
        <v>46309</v>
      </c>
      <c r="F998" t="inlineStr">
        <is>
          <t>GÄVLEBORGS LÄN</t>
        </is>
      </c>
      <c r="G998" t="inlineStr">
        <is>
          <t>NORDANSTIG</t>
        </is>
      </c>
      <c r="I998" t="n">
        <v>0.7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s="2" t="inlineStr"/>
    </row>
    <row r="999" ht="15" customHeight="1">
      <c r="A999" t="inlineStr">
        <is>
          <t>A 55523-2024</t>
        </is>
      </c>
      <c r="B999" t="inlineStr">
        <is>
          <t>avverkningsanmälan</t>
        </is>
      </c>
      <c r="C999" t="inlineStr">
        <is>
          <t>Föryngringsavverkning</t>
        </is>
      </c>
      <c r="D999" s="1" t="n">
        <v>45622</v>
      </c>
      <c r="E999" s="1" t="n">
        <v>46309</v>
      </c>
      <c r="F999" t="inlineStr">
        <is>
          <t>GÄVLEBORGS LÄN</t>
        </is>
      </c>
      <c r="G999" t="inlineStr">
        <is>
          <t>NORDANSTIG</t>
        </is>
      </c>
      <c r="I999" t="n">
        <v>1.3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s="2" t="inlineStr"/>
    </row>
    <row r="1000" ht="15" customHeight="1">
      <c r="A1000" t="inlineStr">
        <is>
          <t>A 32917-2026</t>
        </is>
      </c>
      <c r="B1000" t="inlineStr">
        <is>
          <t>avverkningsanmälan</t>
        </is>
      </c>
      <c r="C1000" t="inlineStr">
        <is>
          <t>Föryngringsavverkning</t>
        </is>
      </c>
      <c r="D1000" s="1" t="n">
        <v>46244</v>
      </c>
      <c r="E1000" s="1" t="n">
        <v>46309</v>
      </c>
      <c r="F1000" t="inlineStr">
        <is>
          <t>GÄVLEBORGS LÄN</t>
        </is>
      </c>
      <c r="G1000" t="inlineStr">
        <is>
          <t>NORDANSTIG</t>
        </is>
      </c>
      <c r="I1000" t="n">
        <v>7.4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s="2" t="inlineStr"/>
    </row>
    <row r="1001" ht="15" customHeight="1">
      <c r="A1001" t="inlineStr">
        <is>
          <t>A 32350-2022</t>
        </is>
      </c>
      <c r="B1001" t="inlineStr">
        <is>
          <t>avverkningsanmälan</t>
        </is>
      </c>
      <c r="C1001" t="inlineStr">
        <is>
          <t>Föryngringsavverkning</t>
        </is>
      </c>
      <c r="D1001" s="1" t="n">
        <v>44781</v>
      </c>
      <c r="E1001" s="1" t="n">
        <v>46309</v>
      </c>
      <c r="F1001" t="inlineStr">
        <is>
          <t>GÄVLEBORGS LÄN</t>
        </is>
      </c>
      <c r="G1001" t="inlineStr">
        <is>
          <t>NORDANSTIG</t>
        </is>
      </c>
      <c r="I1001" t="n">
        <v>3.5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s="2" t="inlineStr"/>
    </row>
    <row r="1002" ht="15" customHeight="1">
      <c r="A1002" t="inlineStr">
        <is>
          <t>A 55948-2024</t>
        </is>
      </c>
      <c r="B1002" t="inlineStr">
        <is>
          <t>avverkningsanmälan</t>
        </is>
      </c>
      <c r="C1002" t="inlineStr">
        <is>
          <t>Avverkning för annat ändamål</t>
        </is>
      </c>
      <c r="D1002" s="1" t="n">
        <v>45623</v>
      </c>
      <c r="E1002" s="1" t="n">
        <v>46309</v>
      </c>
      <c r="F1002" t="inlineStr">
        <is>
          <t>GÄVLEBORGS LÄN</t>
        </is>
      </c>
      <c r="G1002" t="inlineStr">
        <is>
          <t>NORDANSTIG</t>
        </is>
      </c>
      <c r="I1002" t="n">
        <v>0.4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s="2" t="inlineStr"/>
    </row>
    <row r="1003" ht="15" customHeight="1">
      <c r="A1003" t="inlineStr">
        <is>
          <t>A 32827-2023</t>
        </is>
      </c>
      <c r="B1003" t="inlineStr">
        <is>
          <t>avverkningsanmälan</t>
        </is>
      </c>
      <c r="C1003" t="inlineStr">
        <is>
          <t>Föryngringsavverkning</t>
        </is>
      </c>
      <c r="D1003" s="1" t="n">
        <v>45124</v>
      </c>
      <c r="E1003" s="1" t="n">
        <v>46309</v>
      </c>
      <c r="F1003" t="inlineStr">
        <is>
          <t>GÄVLEBORGS LÄN</t>
        </is>
      </c>
      <c r="G1003" t="inlineStr">
        <is>
          <t>NORDANSTIG</t>
        </is>
      </c>
      <c r="I1003" t="n">
        <v>1.7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s="2" t="inlineStr"/>
    </row>
    <row r="1004" ht="15" customHeight="1">
      <c r="A1004" t="inlineStr">
        <is>
          <t>A 28697-2023</t>
        </is>
      </c>
      <c r="B1004" t="inlineStr">
        <is>
          <t>avverkningsanmälan</t>
        </is>
      </c>
      <c r="C1004" t="inlineStr">
        <is>
          <t>Föryngringsavverkning</t>
        </is>
      </c>
      <c r="D1004" s="1" t="n">
        <v>45103</v>
      </c>
      <c r="E1004" s="1" t="n">
        <v>46309</v>
      </c>
      <c r="F1004" t="inlineStr">
        <is>
          <t>GÄVLEBORGS LÄN</t>
        </is>
      </c>
      <c r="G1004" t="inlineStr">
        <is>
          <t>NORDANSTIG</t>
        </is>
      </c>
      <c r="H1004" t="inlineStr">
        <is>
          <t>Holmen skog AB</t>
        </is>
      </c>
      <c r="I1004" t="n">
        <v>0.5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s="2" t="inlineStr"/>
    </row>
    <row r="1005" ht="15" customHeight="1">
      <c r="A1005" t="inlineStr">
        <is>
          <t>A 39675-2026</t>
        </is>
      </c>
      <c r="B1005" t="inlineStr">
        <is>
          <t>avverkningsanmälan</t>
        </is>
      </c>
      <c r="C1005" t="inlineStr">
        <is>
          <t>Föryngringsavverkning</t>
        </is>
      </c>
      <c r="D1005" s="1" t="n">
        <v>46289</v>
      </c>
      <c r="E1005" s="1" t="n">
        <v>46309</v>
      </c>
      <c r="F1005" t="inlineStr">
        <is>
          <t>GÄVLEBORGS LÄN</t>
        </is>
      </c>
      <c r="G1005" t="inlineStr">
        <is>
          <t>NORDANSTIG</t>
        </is>
      </c>
      <c r="I1005" t="n">
        <v>1.1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s="2" t="inlineStr"/>
    </row>
    <row r="1006" ht="15" customHeight="1">
      <c r="A1006" t="inlineStr">
        <is>
          <t>A 1708-2023</t>
        </is>
      </c>
      <c r="B1006" t="inlineStr">
        <is>
          <t>avverkningsanmälan</t>
        </is>
      </c>
      <c r="C1006" t="inlineStr">
        <is>
          <t>Föryngringsavverkning</t>
        </is>
      </c>
      <c r="D1006" s="1" t="n">
        <v>44938</v>
      </c>
      <c r="E1006" s="1" t="n">
        <v>46309</v>
      </c>
      <c r="F1006" t="inlineStr">
        <is>
          <t>GÄVLEBORGS LÄN</t>
        </is>
      </c>
      <c r="G1006" t="inlineStr">
        <is>
          <t>NORDANSTIG</t>
        </is>
      </c>
      <c r="H1006" t="inlineStr">
        <is>
          <t>Holmen skog AB</t>
        </is>
      </c>
      <c r="I1006" t="n">
        <v>1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s="2" t="inlineStr"/>
    </row>
    <row r="1007" ht="15" customHeight="1">
      <c r="A1007" t="inlineStr">
        <is>
          <t>A 39584-2026</t>
        </is>
      </c>
      <c r="B1007" t="inlineStr">
        <is>
          <t>avverkningsanmälan</t>
        </is>
      </c>
      <c r="C1007" t="inlineStr">
        <is>
          <t>Föryngringsavverkning</t>
        </is>
      </c>
      <c r="D1007" s="1" t="n">
        <v>46289</v>
      </c>
      <c r="E1007" s="1" t="n">
        <v>46309</v>
      </c>
      <c r="F1007" t="inlineStr">
        <is>
          <t>GÄVLEBORGS LÄN</t>
        </is>
      </c>
      <c r="G1007" t="inlineStr">
        <is>
          <t>NORDANSTIG</t>
        </is>
      </c>
      <c r="H1007" t="inlineStr">
        <is>
          <t>Holmen skog AB</t>
        </is>
      </c>
      <c r="I1007" t="n">
        <v>1.4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s="2" t="inlineStr"/>
    </row>
    <row r="1008" ht="15" customHeight="1">
      <c r="A1008" t="inlineStr">
        <is>
          <t>A 59799-2022</t>
        </is>
      </c>
      <c r="B1008" t="inlineStr">
        <is>
          <t>avverkningsanmälan</t>
        </is>
      </c>
      <c r="C1008" t="inlineStr">
        <is>
          <t>Föryngringsavverkning</t>
        </is>
      </c>
      <c r="D1008" s="1" t="n">
        <v>44908</v>
      </c>
      <c r="E1008" s="1" t="n">
        <v>46309</v>
      </c>
      <c r="F1008" t="inlineStr">
        <is>
          <t>GÄVLEBORGS LÄN</t>
        </is>
      </c>
      <c r="G1008" t="inlineStr">
        <is>
          <t>NORDANSTIG</t>
        </is>
      </c>
      <c r="H1008" t="inlineStr">
        <is>
          <t>Holmen skog AB</t>
        </is>
      </c>
      <c r="I1008" t="n">
        <v>0.5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s="2" t="inlineStr"/>
    </row>
    <row r="1009" ht="15" customHeight="1">
      <c r="A1009" t="inlineStr">
        <is>
          <t>A 36525-2024</t>
        </is>
      </c>
      <c r="B1009" t="inlineStr">
        <is>
          <t>avverkningsanmälan</t>
        </is>
      </c>
      <c r="C1009" t="inlineStr">
        <is>
          <t>Föryngringsavverkning</t>
        </is>
      </c>
      <c r="D1009" s="1" t="n">
        <v>45537</v>
      </c>
      <c r="E1009" s="1" t="n">
        <v>46309</v>
      </c>
      <c r="F1009" t="inlineStr">
        <is>
          <t>GÄVLEBORGS LÄN</t>
        </is>
      </c>
      <c r="G1009" t="inlineStr">
        <is>
          <t>NORDANSTIG</t>
        </is>
      </c>
      <c r="H1009" t="inlineStr">
        <is>
          <t>Holmen skog AB</t>
        </is>
      </c>
      <c r="I1009" t="n">
        <v>2.6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s="2" t="inlineStr"/>
    </row>
    <row r="1010" ht="15" customHeight="1">
      <c r="A1010" t="inlineStr">
        <is>
          <t>A 59422-2022</t>
        </is>
      </c>
      <c r="B1010" t="inlineStr">
        <is>
          <t>avverkningsanmälan</t>
        </is>
      </c>
      <c r="C1010" t="inlineStr">
        <is>
          <t>Föryngringsavverkning</t>
        </is>
      </c>
      <c r="D1010" s="1" t="n">
        <v>44907</v>
      </c>
      <c r="E1010" s="1" t="n">
        <v>46309</v>
      </c>
      <c r="F1010" t="inlineStr">
        <is>
          <t>GÄVLEBORGS LÄN</t>
        </is>
      </c>
      <c r="G1010" t="inlineStr">
        <is>
          <t>NORDANSTIG</t>
        </is>
      </c>
      <c r="H1010" t="inlineStr">
        <is>
          <t>Holmen skog AB</t>
        </is>
      </c>
      <c r="I1010" t="n">
        <v>2.7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s="2" t="inlineStr"/>
    </row>
    <row r="1011" ht="15" customHeight="1">
      <c r="A1011" t="inlineStr">
        <is>
          <t>A 9031-2026</t>
        </is>
      </c>
      <c r="B1011" t="inlineStr">
        <is>
          <t>avverkningsanmälan</t>
        </is>
      </c>
      <c r="C1011" t="inlineStr">
        <is>
          <t>Föryngringsavverkning</t>
        </is>
      </c>
      <c r="D1011" s="1" t="n">
        <v>46069</v>
      </c>
      <c r="E1011" s="1" t="n">
        <v>46309</v>
      </c>
      <c r="F1011" t="inlineStr">
        <is>
          <t>GÄVLEBORGS LÄN</t>
        </is>
      </c>
      <c r="G1011" t="inlineStr">
        <is>
          <t>NORDANSTIG</t>
        </is>
      </c>
      <c r="I1011" t="n">
        <v>2.4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s="2" t="inlineStr"/>
    </row>
    <row r="1012" ht="15" customHeight="1">
      <c r="A1012" t="inlineStr">
        <is>
          <t>A 28777-2026</t>
        </is>
      </c>
      <c r="B1012" t="inlineStr">
        <is>
          <t>avverkningsanmälan</t>
        </is>
      </c>
      <c r="C1012" t="inlineStr">
        <is>
          <t>Föryngringsavverkning</t>
        </is>
      </c>
      <c r="D1012" s="1" t="n">
        <v>46198</v>
      </c>
      <c r="E1012" s="1" t="n">
        <v>46309</v>
      </c>
      <c r="F1012" t="inlineStr">
        <is>
          <t>GÄVLEBORGS LÄN</t>
        </is>
      </c>
      <c r="G1012" t="inlineStr">
        <is>
          <t>NORDANSTIG</t>
        </is>
      </c>
      <c r="H1012" t="inlineStr">
        <is>
          <t>Holmen skog AB</t>
        </is>
      </c>
      <c r="I1012" t="n">
        <v>0.6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s="2" t="inlineStr"/>
    </row>
    <row r="1013" ht="15" customHeight="1">
      <c r="A1013" t="inlineStr">
        <is>
          <t>A 22547-2022</t>
        </is>
      </c>
      <c r="B1013" t="inlineStr">
        <is>
          <t>avverkningsanmälan</t>
        </is>
      </c>
      <c r="C1013" t="inlineStr">
        <is>
          <t>Föryngringsavverkning</t>
        </is>
      </c>
      <c r="D1013" s="1" t="n">
        <v>44713</v>
      </c>
      <c r="E1013" s="1" t="n">
        <v>46309</v>
      </c>
      <c r="F1013" t="inlineStr">
        <is>
          <t>GÄVLEBORGS LÄN</t>
        </is>
      </c>
      <c r="G1013" t="inlineStr">
        <is>
          <t>NORDANSTIG</t>
        </is>
      </c>
      <c r="I1013" t="n">
        <v>1.7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s="2" t="inlineStr"/>
    </row>
    <row r="1014" ht="15" customHeight="1">
      <c r="A1014" t="inlineStr">
        <is>
          <t>A 38451-2024</t>
        </is>
      </c>
      <c r="B1014" t="inlineStr">
        <is>
          <t>avverkningsanmälan</t>
        </is>
      </c>
      <c r="C1014" t="inlineStr">
        <is>
          <t>Föryngringsavverkning</t>
        </is>
      </c>
      <c r="D1014" s="1" t="n">
        <v>45546</v>
      </c>
      <c r="E1014" s="1" t="n">
        <v>46309</v>
      </c>
      <c r="F1014" t="inlineStr">
        <is>
          <t>GÄVLEBORGS LÄN</t>
        </is>
      </c>
      <c r="G1014" t="inlineStr">
        <is>
          <t>NORDANSTIG</t>
        </is>
      </c>
      <c r="I1014" t="n">
        <v>0.8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s="2" t="inlineStr"/>
    </row>
    <row r="1015" ht="15" customHeight="1">
      <c r="A1015" t="inlineStr">
        <is>
          <t>A 31894-2026</t>
        </is>
      </c>
      <c r="B1015" t="inlineStr">
        <is>
          <t>avverkningsanmälan</t>
        </is>
      </c>
      <c r="C1015" t="inlineStr">
        <is>
          <t>Avverkning för annat ändamål</t>
        </is>
      </c>
      <c r="D1015" s="1" t="n">
        <v>46231</v>
      </c>
      <c r="E1015" s="1" t="n">
        <v>46309</v>
      </c>
      <c r="F1015" t="inlineStr">
        <is>
          <t>GÄVLEBORGS LÄN</t>
        </is>
      </c>
      <c r="G1015" t="inlineStr">
        <is>
          <t>NORDANSTIG</t>
        </is>
      </c>
      <c r="I1015" t="n">
        <v>0.7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s="2" t="inlineStr"/>
    </row>
    <row r="1016" ht="15" customHeight="1">
      <c r="A1016" t="inlineStr">
        <is>
          <t>A 40348-2026</t>
        </is>
      </c>
      <c r="B1016" t="inlineStr">
        <is>
          <t>avverkningsanmälan</t>
        </is>
      </c>
      <c r="C1016" t="inlineStr">
        <is>
          <t>Föryngringsavverkning</t>
        </is>
      </c>
      <c r="D1016" s="1" t="n">
        <v>46294</v>
      </c>
      <c r="E1016" s="1" t="n">
        <v>46309</v>
      </c>
      <c r="F1016" t="inlineStr">
        <is>
          <t>GÄVLEBORGS LÄN</t>
        </is>
      </c>
      <c r="G1016" t="inlineStr">
        <is>
          <t>NORDANSTIG</t>
        </is>
      </c>
      <c r="H1016" t="inlineStr">
        <is>
          <t>Holmen skog AB</t>
        </is>
      </c>
      <c r="I1016" t="n">
        <v>3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s="2" t="inlineStr"/>
    </row>
    <row r="1017" ht="15" customHeight="1">
      <c r="A1017" t="inlineStr">
        <is>
          <t>A 45551-2024</t>
        </is>
      </c>
      <c r="B1017" t="inlineStr">
        <is>
          <t>avverkningsanmälan</t>
        </is>
      </c>
      <c r="C1017" t="inlineStr">
        <is>
          <t>Föryngringsavverkning</t>
        </is>
      </c>
      <c r="D1017" s="1" t="n">
        <v>45579</v>
      </c>
      <c r="E1017" s="1" t="n">
        <v>46309</v>
      </c>
      <c r="F1017" t="inlineStr">
        <is>
          <t>GÄVLEBORGS LÄN</t>
        </is>
      </c>
      <c r="G1017" t="inlineStr">
        <is>
          <t>NORDANSTIG</t>
        </is>
      </c>
      <c r="I1017" t="n">
        <v>1.4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s="2" t="inlineStr"/>
    </row>
    <row r="1018" ht="15" customHeight="1">
      <c r="A1018" t="inlineStr">
        <is>
          <t>A 40110-2026</t>
        </is>
      </c>
      <c r="B1018" t="inlineStr">
        <is>
          <t>avverkningsanmälan</t>
        </is>
      </c>
      <c r="C1018" t="inlineStr">
        <is>
          <t>Föryngringsavverkning</t>
        </is>
      </c>
      <c r="D1018" s="1" t="n">
        <v>46293</v>
      </c>
      <c r="E1018" s="1" t="n">
        <v>46309</v>
      </c>
      <c r="F1018" t="inlineStr">
        <is>
          <t>GÄVLEBORGS LÄN</t>
        </is>
      </c>
      <c r="G1018" t="inlineStr">
        <is>
          <t>NORDANSTIG</t>
        </is>
      </c>
      <c r="H1018" t="inlineStr">
        <is>
          <t>Holmen skog AB</t>
        </is>
      </c>
      <c r="I1018" t="n">
        <v>13.5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s="2" t="inlineStr"/>
    </row>
    <row r="1019" ht="15" customHeight="1">
      <c r="A1019" t="inlineStr">
        <is>
          <t>A 14532-2026</t>
        </is>
      </c>
      <c r="B1019" t="inlineStr">
        <is>
          <t>avverkningsanmälan</t>
        </is>
      </c>
      <c r="C1019" t="inlineStr">
        <is>
          <t>Föryngringsavverkning</t>
        </is>
      </c>
      <c r="D1019" s="1" t="n">
        <v>46100</v>
      </c>
      <c r="E1019" s="1" t="n">
        <v>46309</v>
      </c>
      <c r="F1019" t="inlineStr">
        <is>
          <t>GÄVLEBORGS LÄN</t>
        </is>
      </c>
      <c r="G1019" t="inlineStr">
        <is>
          <t>NORDANSTIG</t>
        </is>
      </c>
      <c r="I1019" t="n">
        <v>0.9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s="2" t="inlineStr"/>
    </row>
    <row r="1020" ht="15" customHeight="1">
      <c r="A1020" t="inlineStr">
        <is>
          <t>A 58162-2024</t>
        </is>
      </c>
      <c r="B1020" t="inlineStr">
        <is>
          <t>avverkningsanmälan</t>
        </is>
      </c>
      <c r="C1020" t="inlineStr">
        <is>
          <t>Avverkning för annat ändamål</t>
        </is>
      </c>
      <c r="D1020" s="1" t="n">
        <v>45632</v>
      </c>
      <c r="E1020" s="1" t="n">
        <v>46309</v>
      </c>
      <c r="F1020" t="inlineStr">
        <is>
          <t>GÄVLEBORGS LÄN</t>
        </is>
      </c>
      <c r="G1020" t="inlineStr">
        <is>
          <t>NORDANSTIG</t>
        </is>
      </c>
      <c r="H1020" t="inlineStr">
        <is>
          <t>Kyrkan</t>
        </is>
      </c>
      <c r="I1020" t="n">
        <v>0.5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s="2" t="inlineStr"/>
    </row>
    <row r="1021" ht="15" customHeight="1">
      <c r="A1021" t="inlineStr">
        <is>
          <t>A 40172-2026</t>
        </is>
      </c>
      <c r="B1021" t="inlineStr">
        <is>
          <t>avverkningsanmälan</t>
        </is>
      </c>
      <c r="C1021" t="inlineStr">
        <is>
          <t>Föryngringsavverkning</t>
        </is>
      </c>
      <c r="D1021" s="1" t="n">
        <v>46293</v>
      </c>
      <c r="E1021" s="1" t="n">
        <v>46309</v>
      </c>
      <c r="F1021" t="inlineStr">
        <is>
          <t>GÄVLEBORGS LÄN</t>
        </is>
      </c>
      <c r="G1021" t="inlineStr">
        <is>
          <t>NORDANSTIG</t>
        </is>
      </c>
      <c r="H1021" t="inlineStr">
        <is>
          <t>Holmen skog AB</t>
        </is>
      </c>
      <c r="I1021" t="n">
        <v>4.7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s="2" t="inlineStr"/>
    </row>
    <row r="1022" ht="15" customHeight="1">
      <c r="A1022" t="inlineStr">
        <is>
          <t>A 14244-2026</t>
        </is>
      </c>
      <c r="B1022" t="inlineStr">
        <is>
          <t>avverkningsanmälan</t>
        </is>
      </c>
      <c r="C1022" t="inlineStr">
        <is>
          <t>Föryngringsavverkning</t>
        </is>
      </c>
      <c r="D1022" s="1" t="n">
        <v>46099</v>
      </c>
      <c r="E1022" s="1" t="n">
        <v>46309</v>
      </c>
      <c r="F1022" t="inlineStr">
        <is>
          <t>GÄVLEBORGS LÄN</t>
        </is>
      </c>
      <c r="G1022" t="inlineStr">
        <is>
          <t>NORDANSTIG</t>
        </is>
      </c>
      <c r="H1022" t="inlineStr">
        <is>
          <t>Holmen skog AB</t>
        </is>
      </c>
      <c r="I1022" t="n">
        <v>3.8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s="2" t="inlineStr"/>
    </row>
    <row r="1023" ht="15" customHeight="1">
      <c r="A1023" t="inlineStr">
        <is>
          <t>A 58876-2024</t>
        </is>
      </c>
      <c r="B1023" t="inlineStr">
        <is>
          <t>avverkningsanmälan</t>
        </is>
      </c>
      <c r="C1023" t="inlineStr">
        <is>
          <t>Föryngringsavverkning</t>
        </is>
      </c>
      <c r="D1023" s="1" t="n">
        <v>45636</v>
      </c>
      <c r="E1023" s="1" t="n">
        <v>46309</v>
      </c>
      <c r="F1023" t="inlineStr">
        <is>
          <t>GÄVLEBORGS LÄN</t>
        </is>
      </c>
      <c r="G1023" t="inlineStr">
        <is>
          <t>NORDANSTIG</t>
        </is>
      </c>
      <c r="I1023" t="n">
        <v>0.6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s="2" t="inlineStr"/>
    </row>
    <row r="1024" ht="15" customHeight="1">
      <c r="A1024" t="inlineStr">
        <is>
          <t>A 33884-2026</t>
        </is>
      </c>
      <c r="B1024" t="inlineStr">
        <is>
          <t>avverkningsanmälan</t>
        </is>
      </c>
      <c r="C1024" t="inlineStr">
        <is>
          <t>Föryngringsavverkning</t>
        </is>
      </c>
      <c r="D1024" s="1" t="n">
        <v>46251</v>
      </c>
      <c r="E1024" s="1" t="n">
        <v>46309</v>
      </c>
      <c r="F1024" t="inlineStr">
        <is>
          <t>GÄVLEBORGS LÄN</t>
        </is>
      </c>
      <c r="G1024" t="inlineStr">
        <is>
          <t>NORDANSTIG</t>
        </is>
      </c>
      <c r="H1024" t="inlineStr">
        <is>
          <t>Holmen skog AB</t>
        </is>
      </c>
      <c r="I1024" t="n">
        <v>0.7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s="2" t="inlineStr"/>
    </row>
    <row r="1025" ht="15" customHeight="1">
      <c r="A1025" t="inlineStr">
        <is>
          <t>A 34235-2026</t>
        </is>
      </c>
      <c r="B1025" t="inlineStr">
        <is>
          <t>avverkningsanmälan</t>
        </is>
      </c>
      <c r="C1025" t="inlineStr">
        <is>
          <t>Föryngringsavverkning</t>
        </is>
      </c>
      <c r="D1025" s="1" t="n">
        <v>46253</v>
      </c>
      <c r="E1025" s="1" t="n">
        <v>46309</v>
      </c>
      <c r="F1025" t="inlineStr">
        <is>
          <t>GÄVLEBORGS LÄN</t>
        </is>
      </c>
      <c r="G1025" t="inlineStr">
        <is>
          <t>NORDANSTIG</t>
        </is>
      </c>
      <c r="H1025" t="inlineStr">
        <is>
          <t>Holmen skog AB</t>
        </is>
      </c>
      <c r="I1025" t="n">
        <v>1.8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s="2" t="inlineStr"/>
    </row>
    <row r="1026" ht="15" customHeight="1">
      <c r="A1026" t="inlineStr">
        <is>
          <t>A 34212-2026</t>
        </is>
      </c>
      <c r="B1026" t="inlineStr">
        <is>
          <t>avverkningsanmälan</t>
        </is>
      </c>
      <c r="C1026" t="inlineStr">
        <is>
          <t>Föryngringsavverkning</t>
        </is>
      </c>
      <c r="D1026" s="1" t="n">
        <v>46253</v>
      </c>
      <c r="E1026" s="1" t="n">
        <v>46309</v>
      </c>
      <c r="F1026" t="inlineStr">
        <is>
          <t>GÄVLEBORGS LÄN</t>
        </is>
      </c>
      <c r="G1026" t="inlineStr">
        <is>
          <t>NORDANSTIG</t>
        </is>
      </c>
      <c r="I1026" t="n">
        <v>0.6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s="2" t="inlineStr"/>
    </row>
    <row r="1027" ht="15" customHeight="1">
      <c r="A1027" t="inlineStr">
        <is>
          <t>A 34248-2026</t>
        </is>
      </c>
      <c r="B1027" t="inlineStr">
        <is>
          <t>avverkningsanmälan</t>
        </is>
      </c>
      <c r="C1027" t="inlineStr">
        <is>
          <t>Föryngringsavverkning</t>
        </is>
      </c>
      <c r="D1027" s="1" t="n">
        <v>46253</v>
      </c>
      <c r="E1027" s="1" t="n">
        <v>46309</v>
      </c>
      <c r="F1027" t="inlineStr">
        <is>
          <t>GÄVLEBORGS LÄN</t>
        </is>
      </c>
      <c r="G1027" t="inlineStr">
        <is>
          <t>NORDANSTIG</t>
        </is>
      </c>
      <c r="H1027" t="inlineStr">
        <is>
          <t>Holmen skog AB</t>
        </is>
      </c>
      <c r="I1027" t="n">
        <v>1.1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s="2" t="inlineStr"/>
    </row>
    <row r="1028" ht="15" customHeight="1">
      <c r="A1028" t="inlineStr">
        <is>
          <t>A 20876-2025</t>
        </is>
      </c>
      <c r="B1028" t="inlineStr">
        <is>
          <t>avverkningsanmälan</t>
        </is>
      </c>
      <c r="C1028" t="inlineStr">
        <is>
          <t>Föryngringsavverkning</t>
        </is>
      </c>
      <c r="D1028" s="1" t="n">
        <v>45777</v>
      </c>
      <c r="E1028" s="1" t="n">
        <v>46309</v>
      </c>
      <c r="F1028" t="inlineStr">
        <is>
          <t>GÄVLEBORGS LÄN</t>
        </is>
      </c>
      <c r="G1028" t="inlineStr">
        <is>
          <t>NORDANSTIG</t>
        </is>
      </c>
      <c r="H1028" t="inlineStr">
        <is>
          <t>Holmen skog AB</t>
        </is>
      </c>
      <c r="I1028" t="n">
        <v>5.5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s="2" t="inlineStr"/>
    </row>
    <row r="1029" ht="15" customHeight="1">
      <c r="A1029" t="inlineStr">
        <is>
          <t>A 40723-2026</t>
        </is>
      </c>
      <c r="B1029" t="inlineStr">
        <is>
          <t>avverkningsanmälan</t>
        </is>
      </c>
      <c r="C1029" t="inlineStr">
        <is>
          <t>Föryngringsavverkning</t>
        </is>
      </c>
      <c r="D1029" s="1" t="n">
        <v>46296</v>
      </c>
      <c r="E1029" s="1" t="n">
        <v>46309</v>
      </c>
      <c r="F1029" t="inlineStr">
        <is>
          <t>GÄVLEBORGS LÄN</t>
        </is>
      </c>
      <c r="G1029" t="inlineStr">
        <is>
          <t>NORDANSTIG</t>
        </is>
      </c>
      <c r="H1029" t="inlineStr">
        <is>
          <t>Holmen skog AB</t>
        </is>
      </c>
      <c r="I1029" t="n">
        <v>1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s="2" t="inlineStr"/>
    </row>
    <row r="1030" ht="15" customHeight="1">
      <c r="A1030" t="inlineStr">
        <is>
          <t>A 21725-2025</t>
        </is>
      </c>
      <c r="B1030" t="inlineStr">
        <is>
          <t>avverkningsanmälan</t>
        </is>
      </c>
      <c r="C1030" t="inlineStr">
        <is>
          <t>Föryngringsavverkning</t>
        </is>
      </c>
      <c r="D1030" s="1" t="n">
        <v>45783</v>
      </c>
      <c r="E1030" s="1" t="n">
        <v>46309</v>
      </c>
      <c r="F1030" t="inlineStr">
        <is>
          <t>GÄVLEBORGS LÄN</t>
        </is>
      </c>
      <c r="G1030" t="inlineStr">
        <is>
          <t>NORDANSTIG</t>
        </is>
      </c>
      <c r="I1030" t="n">
        <v>6.4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s="2" t="inlineStr"/>
    </row>
    <row r="1031" ht="15" customHeight="1">
      <c r="A1031" t="inlineStr">
        <is>
          <t>A 18716-2025</t>
        </is>
      </c>
      <c r="B1031" t="inlineStr">
        <is>
          <t>avverkningsanmälan</t>
        </is>
      </c>
      <c r="C1031" t="inlineStr">
        <is>
          <t>Föryngringsavverkning</t>
        </is>
      </c>
      <c r="D1031" s="1" t="n">
        <v>45763</v>
      </c>
      <c r="E1031" s="1" t="n">
        <v>46309</v>
      </c>
      <c r="F1031" t="inlineStr">
        <is>
          <t>GÄVLEBORGS LÄN</t>
        </is>
      </c>
      <c r="G1031" t="inlineStr">
        <is>
          <t>NORDANSTIG</t>
        </is>
      </c>
      <c r="H1031" t="inlineStr">
        <is>
          <t>Holmen skog AB</t>
        </is>
      </c>
      <c r="I1031" t="n">
        <v>1.7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s="2" t="inlineStr"/>
    </row>
    <row r="1032" ht="15" customHeight="1">
      <c r="A1032" t="inlineStr">
        <is>
          <t>A 18707-2025</t>
        </is>
      </c>
      <c r="B1032" t="inlineStr">
        <is>
          <t>avverkningsanmälan</t>
        </is>
      </c>
      <c r="C1032" t="inlineStr">
        <is>
          <t>Föryngringsavverkning</t>
        </is>
      </c>
      <c r="D1032" s="1" t="n">
        <v>45763</v>
      </c>
      <c r="E1032" s="1" t="n">
        <v>46309</v>
      </c>
      <c r="F1032" t="inlineStr">
        <is>
          <t>GÄVLEBORGS LÄN</t>
        </is>
      </c>
      <c r="G1032" t="inlineStr">
        <is>
          <t>NORDANSTIG</t>
        </is>
      </c>
      <c r="H1032" t="inlineStr">
        <is>
          <t>Holmen skog AB</t>
        </is>
      </c>
      <c r="I1032" t="n">
        <v>1.8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s="2" t="inlineStr"/>
    </row>
    <row r="1033" ht="15" customHeight="1">
      <c r="A1033" t="inlineStr">
        <is>
          <t>A 12389-2023</t>
        </is>
      </c>
      <c r="B1033" t="inlineStr">
        <is>
          <t>avverkningsanmälan</t>
        </is>
      </c>
      <c r="C1033" t="inlineStr">
        <is>
          <t>Föryngringsavverkning</t>
        </is>
      </c>
      <c r="D1033" s="1" t="n">
        <v>44999</v>
      </c>
      <c r="E1033" s="1" t="n">
        <v>46309</v>
      </c>
      <c r="F1033" t="inlineStr">
        <is>
          <t>GÄVLEBORGS LÄN</t>
        </is>
      </c>
      <c r="G1033" t="inlineStr">
        <is>
          <t>NORDANSTIG</t>
        </is>
      </c>
      <c r="I1033" t="n">
        <v>1.3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s="2" t="inlineStr"/>
    </row>
    <row r="1034" ht="15" customHeight="1">
      <c r="A1034" t="inlineStr">
        <is>
          <t>A 21928-2025</t>
        </is>
      </c>
      <c r="B1034" t="inlineStr">
        <is>
          <t>avverkningsanmälan</t>
        </is>
      </c>
      <c r="C1034" t="inlineStr">
        <is>
          <t>Föryngringsavverkning</t>
        </is>
      </c>
      <c r="D1034" s="1" t="n">
        <v>45784</v>
      </c>
      <c r="E1034" s="1" t="n">
        <v>46309</v>
      </c>
      <c r="F1034" t="inlineStr">
        <is>
          <t>GÄVLEBORGS LÄN</t>
        </is>
      </c>
      <c r="G1034" t="inlineStr">
        <is>
          <t>NORDANSTIG</t>
        </is>
      </c>
      <c r="I1034" t="n">
        <v>2.8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s="2" t="inlineStr"/>
    </row>
    <row r="1035" ht="15" customHeight="1">
      <c r="A1035" t="inlineStr">
        <is>
          <t>A 30879-2024</t>
        </is>
      </c>
      <c r="B1035" t="inlineStr">
        <is>
          <t>avverkningsanmälan</t>
        </is>
      </c>
      <c r="C1035" t="inlineStr">
        <is>
          <t>Föryngringsavverkning</t>
        </is>
      </c>
      <c r="D1035" s="1" t="n">
        <v>45498</v>
      </c>
      <c r="E1035" s="1" t="n">
        <v>46309</v>
      </c>
      <c r="F1035" t="inlineStr">
        <is>
          <t>GÄVLEBORGS LÄN</t>
        </is>
      </c>
      <c r="G1035" t="inlineStr">
        <is>
          <t>NORDANSTIG</t>
        </is>
      </c>
      <c r="H1035" t="inlineStr">
        <is>
          <t>Holmen skog AB</t>
        </is>
      </c>
      <c r="I1035" t="n">
        <v>2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s="2" t="inlineStr"/>
    </row>
    <row r="1036" ht="15" customHeight="1">
      <c r="A1036" t="inlineStr">
        <is>
          <t>A 34229-2026</t>
        </is>
      </c>
      <c r="B1036" t="inlineStr">
        <is>
          <t>avverkningsanmälan</t>
        </is>
      </c>
      <c r="C1036" t="inlineStr">
        <is>
          <t>Föryngringsavverkning</t>
        </is>
      </c>
      <c r="D1036" s="1" t="n">
        <v>46253</v>
      </c>
      <c r="E1036" s="1" t="n">
        <v>46309</v>
      </c>
      <c r="F1036" t="inlineStr">
        <is>
          <t>GÄVLEBORGS LÄN</t>
        </is>
      </c>
      <c r="G1036" t="inlineStr">
        <is>
          <t>NORDANSTIG</t>
        </is>
      </c>
      <c r="H1036" t="inlineStr">
        <is>
          <t>Holmen skog AB</t>
        </is>
      </c>
      <c r="I1036" t="n">
        <v>1.1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s="2" t="inlineStr"/>
    </row>
    <row r="1037" ht="15" customHeight="1">
      <c r="A1037" t="inlineStr">
        <is>
          <t>A 32470-2023</t>
        </is>
      </c>
      <c r="B1037" t="inlineStr">
        <is>
          <t>avverkningsanmälan</t>
        </is>
      </c>
      <c r="C1037" t="inlineStr">
        <is>
          <t>Föryngringsavverkning</t>
        </is>
      </c>
      <c r="D1037" s="1" t="n">
        <v>45120</v>
      </c>
      <c r="E1037" s="1" t="n">
        <v>46309</v>
      </c>
      <c r="F1037" t="inlineStr">
        <is>
          <t>GÄVLEBORGS LÄN</t>
        </is>
      </c>
      <c r="G1037" t="inlineStr">
        <is>
          <t>NORDANSTIG</t>
        </is>
      </c>
      <c r="I1037" t="n">
        <v>1.6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s="2" t="inlineStr"/>
    </row>
    <row r="1038" ht="15" customHeight="1">
      <c r="A1038" t="inlineStr">
        <is>
          <t>A 36840-2026</t>
        </is>
      </c>
      <c r="B1038" t="inlineStr">
        <is>
          <t>avverkningsanmälan</t>
        </is>
      </c>
      <c r="C1038" t="inlineStr">
        <is>
          <t>Föryngringsavverkning</t>
        </is>
      </c>
      <c r="D1038" s="1" t="n">
        <v>46272</v>
      </c>
      <c r="E1038" s="1" t="n">
        <v>46309</v>
      </c>
      <c r="F1038" t="inlineStr">
        <is>
          <t>GÄVLEBORGS LÄN</t>
        </is>
      </c>
      <c r="G1038" t="inlineStr">
        <is>
          <t>NORDANSTIG</t>
        </is>
      </c>
      <c r="I1038" t="n">
        <v>1.8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s="2" t="inlineStr"/>
    </row>
    <row r="1039" ht="15" customHeight="1">
      <c r="A1039" t="inlineStr">
        <is>
          <t>A 29162-2026</t>
        </is>
      </c>
      <c r="B1039" t="inlineStr">
        <is>
          <t>avverkningsanmälan</t>
        </is>
      </c>
      <c r="C1039" t="inlineStr">
        <is>
          <t>Föryngringsavverkning</t>
        </is>
      </c>
      <c r="D1039" s="1" t="n">
        <v>46202</v>
      </c>
      <c r="E1039" s="1" t="n">
        <v>46309</v>
      </c>
      <c r="F1039" t="inlineStr">
        <is>
          <t>GÄVLEBORGS LÄN</t>
        </is>
      </c>
      <c r="G1039" t="inlineStr">
        <is>
          <t>NORDANSTIG</t>
        </is>
      </c>
      <c r="I1039" t="n">
        <v>3.5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s="2" t="inlineStr"/>
    </row>
    <row r="1040" ht="15" customHeight="1">
      <c r="A1040" t="inlineStr">
        <is>
          <t>A 22310-2025</t>
        </is>
      </c>
      <c r="B1040" t="inlineStr">
        <is>
          <t>avverkningsanmälan</t>
        </is>
      </c>
      <c r="C1040" t="inlineStr">
        <is>
          <t>Föryngringsavverkning</t>
        </is>
      </c>
      <c r="D1040" s="1" t="n">
        <v>45786</v>
      </c>
      <c r="E1040" s="1" t="n">
        <v>46309</v>
      </c>
      <c r="F1040" t="inlineStr">
        <is>
          <t>GÄVLEBORGS LÄN</t>
        </is>
      </c>
      <c r="G1040" t="inlineStr">
        <is>
          <t>NORDANSTIG</t>
        </is>
      </c>
      <c r="H1040" t="inlineStr">
        <is>
          <t>Holmen skog AB</t>
        </is>
      </c>
      <c r="I1040" t="n">
        <v>27.9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s="2" t="inlineStr"/>
    </row>
    <row r="1041" ht="15" customHeight="1">
      <c r="A1041" t="inlineStr">
        <is>
          <t>A 9425-2026</t>
        </is>
      </c>
      <c r="B1041" t="inlineStr">
        <is>
          <t>avverkningsanmälan</t>
        </is>
      </c>
      <c r="C1041" t="inlineStr">
        <is>
          <t>Föryngringsavverkning</t>
        </is>
      </c>
      <c r="D1041" s="1" t="n">
        <v>46071</v>
      </c>
      <c r="E1041" s="1" t="n">
        <v>46309</v>
      </c>
      <c r="F1041" t="inlineStr">
        <is>
          <t>GÄVLEBORGS LÄN</t>
        </is>
      </c>
      <c r="G1041" t="inlineStr">
        <is>
          <t>NORDANSTIG</t>
        </is>
      </c>
      <c r="I1041" t="n">
        <v>1.8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s="2" t="inlineStr"/>
    </row>
    <row r="1042" ht="15" customHeight="1">
      <c r="A1042" t="inlineStr">
        <is>
          <t>A 20133-2026</t>
        </is>
      </c>
      <c r="B1042" t="inlineStr">
        <is>
          <t>avverkningsanmälan</t>
        </is>
      </c>
      <c r="C1042" t="inlineStr">
        <is>
          <t>Föryngringsavverkning</t>
        </is>
      </c>
      <c r="D1042" s="1" t="n">
        <v>46136</v>
      </c>
      <c r="E1042" s="1" t="n">
        <v>46309</v>
      </c>
      <c r="F1042" t="inlineStr">
        <is>
          <t>GÄVLEBORGS LÄN</t>
        </is>
      </c>
      <c r="G1042" t="inlineStr">
        <is>
          <t>NORDANSTIG</t>
        </is>
      </c>
      <c r="I1042" t="n">
        <v>1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s="2" t="inlineStr"/>
    </row>
    <row r="1043" ht="15" customHeight="1">
      <c r="A1043" t="inlineStr">
        <is>
          <t>A 34542-2026</t>
        </is>
      </c>
      <c r="B1043" t="inlineStr">
        <is>
          <t>avverkningsanmälan</t>
        </is>
      </c>
      <c r="C1043" t="inlineStr">
        <is>
          <t>Föryngringsavverkning</t>
        </is>
      </c>
      <c r="D1043" s="1" t="n">
        <v>46255</v>
      </c>
      <c r="E1043" s="1" t="n">
        <v>46309</v>
      </c>
      <c r="F1043" t="inlineStr">
        <is>
          <t>GÄVLEBORGS LÄN</t>
        </is>
      </c>
      <c r="G1043" t="inlineStr">
        <is>
          <t>NORDANSTIG</t>
        </is>
      </c>
      <c r="I1043" t="n">
        <v>3.4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s="2" t="inlineStr"/>
    </row>
    <row r="1044" ht="15" customHeight="1">
      <c r="A1044" t="inlineStr">
        <is>
          <t>A 67879-2021</t>
        </is>
      </c>
      <c r="B1044" t="inlineStr">
        <is>
          <t>avverkningsanmälan</t>
        </is>
      </c>
      <c r="C1044" t="inlineStr">
        <is>
          <t>Föryngringsavverkning</t>
        </is>
      </c>
      <c r="D1044" s="1" t="n">
        <v>44525</v>
      </c>
      <c r="E1044" s="1" t="n">
        <v>46309</v>
      </c>
      <c r="F1044" t="inlineStr">
        <is>
          <t>GÄVLEBORGS LÄN</t>
        </is>
      </c>
      <c r="G1044" t="inlineStr">
        <is>
          <t>NORDANSTIG</t>
        </is>
      </c>
      <c r="H1044" t="inlineStr">
        <is>
          <t>Holmen skog AB</t>
        </is>
      </c>
      <c r="I1044" t="n">
        <v>1.4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s="2" t="inlineStr"/>
    </row>
    <row r="1045" ht="15" customHeight="1">
      <c r="A1045" t="inlineStr">
        <is>
          <t>A 34475-2026</t>
        </is>
      </c>
      <c r="B1045" t="inlineStr">
        <is>
          <t>avverkningsanmälan</t>
        </is>
      </c>
      <c r="C1045" t="inlineStr">
        <is>
          <t>Avverkning för annat ändamål</t>
        </is>
      </c>
      <c r="D1045" s="1" t="n">
        <v>46254</v>
      </c>
      <c r="E1045" s="1" t="n">
        <v>46309</v>
      </c>
      <c r="F1045" t="inlineStr">
        <is>
          <t>GÄVLEBORGS LÄN</t>
        </is>
      </c>
      <c r="G1045" t="inlineStr">
        <is>
          <t>NORDANSTIG</t>
        </is>
      </c>
      <c r="H1045" t="inlineStr">
        <is>
          <t>SCA</t>
        </is>
      </c>
      <c r="I1045" t="n">
        <v>1.7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s="2" t="inlineStr"/>
    </row>
    <row r="1046" ht="15" customHeight="1">
      <c r="A1046" t="inlineStr">
        <is>
          <t>A 16616-2025</t>
        </is>
      </c>
      <c r="B1046" t="inlineStr">
        <is>
          <t>avverkningsanmälan</t>
        </is>
      </c>
      <c r="C1046" t="inlineStr">
        <is>
          <t>Föryngringsavverkning</t>
        </is>
      </c>
      <c r="D1046" s="1" t="n">
        <v>45754</v>
      </c>
      <c r="E1046" s="1" t="n">
        <v>46309</v>
      </c>
      <c r="F1046" t="inlineStr">
        <is>
          <t>GÄVLEBORGS LÄN</t>
        </is>
      </c>
      <c r="G1046" t="inlineStr">
        <is>
          <t>NORDANSTIG</t>
        </is>
      </c>
      <c r="H1046" t="inlineStr">
        <is>
          <t>Holmen skog AB</t>
        </is>
      </c>
      <c r="I1046" t="n">
        <v>2.5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s="2" t="inlineStr"/>
    </row>
    <row r="1047" ht="15" customHeight="1">
      <c r="A1047" t="inlineStr">
        <is>
          <t>A 22319-2025</t>
        </is>
      </c>
      <c r="B1047" t="inlineStr">
        <is>
          <t>avverkningsanmälan</t>
        </is>
      </c>
      <c r="C1047" t="inlineStr">
        <is>
          <t>Föryngringsavverkning</t>
        </is>
      </c>
      <c r="D1047" s="1" t="n">
        <v>45786</v>
      </c>
      <c r="E1047" s="1" t="n">
        <v>46309</v>
      </c>
      <c r="F1047" t="inlineStr">
        <is>
          <t>GÄVLEBORGS LÄN</t>
        </is>
      </c>
      <c r="G1047" t="inlineStr">
        <is>
          <t>NORDANSTIG</t>
        </is>
      </c>
      <c r="H1047" t="inlineStr">
        <is>
          <t>Holmen skog AB</t>
        </is>
      </c>
      <c r="I1047" t="n">
        <v>4.3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s="2" t="inlineStr"/>
    </row>
    <row r="1048" ht="15" customHeight="1">
      <c r="A1048" t="inlineStr">
        <is>
          <t>A 41063-2026</t>
        </is>
      </c>
      <c r="B1048" t="inlineStr">
        <is>
          <t>avverkningsanmälan</t>
        </is>
      </c>
      <c r="C1048" t="inlineStr">
        <is>
          <t>Föryngringsavverkning</t>
        </is>
      </c>
      <c r="D1048" s="1" t="n">
        <v>46300</v>
      </c>
      <c r="E1048" s="1" t="n">
        <v>46309</v>
      </c>
      <c r="F1048" t="inlineStr">
        <is>
          <t>GÄVLEBORGS LÄN</t>
        </is>
      </c>
      <c r="G1048" t="inlineStr">
        <is>
          <t>NORDANSTIG</t>
        </is>
      </c>
      <c r="H1048" t="inlineStr">
        <is>
          <t>Holmen skog AB</t>
        </is>
      </c>
      <c r="I1048" t="n">
        <v>11.2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s="2" t="inlineStr"/>
    </row>
    <row r="1049" ht="15" customHeight="1">
      <c r="A1049" t="inlineStr">
        <is>
          <t>A 18531-2026</t>
        </is>
      </c>
      <c r="B1049" t="inlineStr">
        <is>
          <t>avverkningsanmälan</t>
        </is>
      </c>
      <c r="C1049" t="inlineStr">
        <is>
          <t>Föryngringsavverkning</t>
        </is>
      </c>
      <c r="D1049" s="1" t="n">
        <v>46127</v>
      </c>
      <c r="E1049" s="1" t="n">
        <v>46309</v>
      </c>
      <c r="F1049" t="inlineStr">
        <is>
          <t>GÄVLEBORGS LÄN</t>
        </is>
      </c>
      <c r="G1049" t="inlineStr">
        <is>
          <t>NORDANSTIG</t>
        </is>
      </c>
      <c r="I1049" t="n">
        <v>2.9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s="2" t="inlineStr"/>
    </row>
    <row r="1050" ht="15" customHeight="1">
      <c r="A1050" t="inlineStr">
        <is>
          <t>A 41169-2026</t>
        </is>
      </c>
      <c r="B1050" t="inlineStr">
        <is>
          <t>avverkningsanmälan</t>
        </is>
      </c>
      <c r="C1050" t="inlineStr">
        <is>
          <t>Föryngringsavverkning</t>
        </is>
      </c>
      <c r="D1050" s="1" t="n">
        <v>46300</v>
      </c>
      <c r="E1050" s="1" t="n">
        <v>46309</v>
      </c>
      <c r="F1050" t="inlineStr">
        <is>
          <t>GÄVLEBORGS LÄN</t>
        </is>
      </c>
      <c r="G1050" t="inlineStr">
        <is>
          <t>NORDANSTIG</t>
        </is>
      </c>
      <c r="H1050" t="inlineStr">
        <is>
          <t>Holmen skog AB</t>
        </is>
      </c>
      <c r="I1050" t="n">
        <v>0.8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s="2" t="inlineStr"/>
    </row>
    <row r="1051" ht="15" customHeight="1">
      <c r="A1051" t="inlineStr">
        <is>
          <t>A 41665-2026</t>
        </is>
      </c>
      <c r="B1051" t="inlineStr">
        <is>
          <t>avverkningsanmälan</t>
        </is>
      </c>
      <c r="C1051" t="inlineStr">
        <is>
          <t>Föryngringsavverkning</t>
        </is>
      </c>
      <c r="D1051" s="1" t="n">
        <v>46302</v>
      </c>
      <c r="E1051" s="1" t="n">
        <v>46309</v>
      </c>
      <c r="F1051" t="inlineStr">
        <is>
          <t>GÄVLEBORGS LÄN</t>
        </is>
      </c>
      <c r="G1051" t="inlineStr">
        <is>
          <t>NORDANSTIG</t>
        </is>
      </c>
      <c r="I1051" t="n">
        <v>3.3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s="2" t="inlineStr"/>
    </row>
    <row r="1052" ht="15" customHeight="1">
      <c r="A1052" t="inlineStr">
        <is>
          <t>A 34999-2026</t>
        </is>
      </c>
      <c r="B1052" t="inlineStr">
        <is>
          <t>avverkningsanmälan</t>
        </is>
      </c>
      <c r="C1052" t="inlineStr">
        <is>
          <t>Föryngringsavverkning</t>
        </is>
      </c>
      <c r="D1052" s="1" t="n">
        <v>46259</v>
      </c>
      <c r="E1052" s="1" t="n">
        <v>46309</v>
      </c>
      <c r="F1052" t="inlineStr">
        <is>
          <t>GÄVLEBORGS LÄN</t>
        </is>
      </c>
      <c r="G1052" t="inlineStr">
        <is>
          <t>NORDANSTIG</t>
        </is>
      </c>
      <c r="I1052" t="n">
        <v>2.8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s="2" t="inlineStr"/>
    </row>
    <row r="1053" ht="15" customHeight="1">
      <c r="A1053" t="inlineStr">
        <is>
          <t>A 10680-2026</t>
        </is>
      </c>
      <c r="B1053" t="inlineStr">
        <is>
          <t>avverkningsanmälan</t>
        </is>
      </c>
      <c r="C1053" t="inlineStr">
        <is>
          <t>Föryngringsavverkning</t>
        </is>
      </c>
      <c r="D1053" s="1" t="n">
        <v>46078</v>
      </c>
      <c r="E1053" s="1" t="n">
        <v>46309</v>
      </c>
      <c r="F1053" t="inlineStr">
        <is>
          <t>GÄVLEBORGS LÄN</t>
        </is>
      </c>
      <c r="G1053" t="inlineStr">
        <is>
          <t>NORDANSTIG</t>
        </is>
      </c>
      <c r="I1053" t="n">
        <v>10.9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s="2" t="inlineStr"/>
    </row>
    <row r="1054" ht="15" customHeight="1">
      <c r="A1054" t="inlineStr">
        <is>
          <t>A 26671-2026</t>
        </is>
      </c>
      <c r="B1054" t="inlineStr">
        <is>
          <t>avverkningsanmälan</t>
        </is>
      </c>
      <c r="C1054" t="inlineStr">
        <is>
          <t>Föryngringsavverkning</t>
        </is>
      </c>
      <c r="D1054" s="1" t="n">
        <v>46184</v>
      </c>
      <c r="E1054" s="1" t="n">
        <v>46309</v>
      </c>
      <c r="F1054" t="inlineStr">
        <is>
          <t>GÄVLEBORGS LÄN</t>
        </is>
      </c>
      <c r="G1054" t="inlineStr">
        <is>
          <t>NORDANSTIG</t>
        </is>
      </c>
      <c r="I1054" t="n">
        <v>1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s="2" t="inlineStr"/>
    </row>
    <row r="1055" ht="15" customHeight="1">
      <c r="A1055" t="inlineStr">
        <is>
          <t>A 34693-2026</t>
        </is>
      </c>
      <c r="B1055" t="inlineStr">
        <is>
          <t>avverkningsanmälan</t>
        </is>
      </c>
      <c r="C1055" t="inlineStr">
        <is>
          <t>Föryngringsavverkning</t>
        </is>
      </c>
      <c r="D1055" s="1" t="n">
        <v>46258</v>
      </c>
      <c r="E1055" s="1" t="n">
        <v>46309</v>
      </c>
      <c r="F1055" t="inlineStr">
        <is>
          <t>GÄVLEBORGS LÄN</t>
        </is>
      </c>
      <c r="G1055" t="inlineStr">
        <is>
          <t>NORDANSTIG</t>
        </is>
      </c>
      <c r="I1055" t="n">
        <v>9.199999999999999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s="2" t="inlineStr"/>
    </row>
    <row r="1056" ht="15" customHeight="1">
      <c r="A1056" t="inlineStr">
        <is>
          <t>A 34998-2026</t>
        </is>
      </c>
      <c r="B1056" t="inlineStr">
        <is>
          <t>avverkningsanmälan</t>
        </is>
      </c>
      <c r="C1056" t="inlineStr">
        <is>
          <t>Föryngringsavverkning</t>
        </is>
      </c>
      <c r="D1056" s="1" t="n">
        <v>46259</v>
      </c>
      <c r="E1056" s="1" t="n">
        <v>46309</v>
      </c>
      <c r="F1056" t="inlineStr">
        <is>
          <t>GÄVLEBORGS LÄN</t>
        </is>
      </c>
      <c r="G1056" t="inlineStr">
        <is>
          <t>NORDANSTIG</t>
        </is>
      </c>
      <c r="H1056" t="inlineStr">
        <is>
          <t>Holmen skog AB</t>
        </is>
      </c>
      <c r="I1056" t="n">
        <v>4.6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s="2" t="inlineStr"/>
    </row>
    <row r="1057" ht="15" customHeight="1">
      <c r="A1057" t="inlineStr">
        <is>
          <t>A 11113-2026</t>
        </is>
      </c>
      <c r="B1057" t="inlineStr">
        <is>
          <t>avverkningsanmälan</t>
        </is>
      </c>
      <c r="C1057" t="inlineStr">
        <is>
          <t>Avverkning för annat ändamål</t>
        </is>
      </c>
      <c r="D1057" s="1" t="n">
        <v>46079</v>
      </c>
      <c r="E1057" s="1" t="n">
        <v>46309</v>
      </c>
      <c r="F1057" t="inlineStr">
        <is>
          <t>GÄVLEBORGS LÄN</t>
        </is>
      </c>
      <c r="G1057" t="inlineStr">
        <is>
          <t>NORDANSTIG</t>
        </is>
      </c>
      <c r="I1057" t="n">
        <v>0.9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s="2" t="inlineStr"/>
    </row>
    <row r="1058" ht="15" customHeight="1">
      <c r="A1058" t="inlineStr">
        <is>
          <t>A 41666-2026</t>
        </is>
      </c>
      <c r="B1058" t="inlineStr">
        <is>
          <t>avverkningsanmälan</t>
        </is>
      </c>
      <c r="C1058" t="inlineStr">
        <is>
          <t>Föryngringsavverkning</t>
        </is>
      </c>
      <c r="D1058" s="1" t="n">
        <v>46302</v>
      </c>
      <c r="E1058" s="1" t="n">
        <v>46309</v>
      </c>
      <c r="F1058" t="inlineStr">
        <is>
          <t>GÄVLEBORGS LÄN</t>
        </is>
      </c>
      <c r="G1058" t="inlineStr">
        <is>
          <t>NORDANSTIG</t>
        </is>
      </c>
      <c r="H1058" t="inlineStr">
        <is>
          <t>Holmen skog AB</t>
        </is>
      </c>
      <c r="I1058" t="n">
        <v>5.6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s="2" t="inlineStr"/>
    </row>
    <row r="1059" ht="15" customHeight="1">
      <c r="A1059" t="inlineStr">
        <is>
          <t>A 41658-2026</t>
        </is>
      </c>
      <c r="B1059" t="inlineStr">
        <is>
          <t>avverkningsanmälan</t>
        </is>
      </c>
      <c r="C1059" t="inlineStr">
        <is>
          <t>Föryngringsavverkning</t>
        </is>
      </c>
      <c r="D1059" s="1" t="n">
        <v>46302</v>
      </c>
      <c r="E1059" s="1" t="n">
        <v>46309</v>
      </c>
      <c r="F1059" t="inlineStr">
        <is>
          <t>GÄVLEBORGS LÄN</t>
        </is>
      </c>
      <c r="G1059" t="inlineStr">
        <is>
          <t>NORDANSTIG</t>
        </is>
      </c>
      <c r="H1059" t="inlineStr">
        <is>
          <t>Holmen skog AB</t>
        </is>
      </c>
      <c r="I1059" t="n">
        <v>4.7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s="2" t="inlineStr"/>
    </row>
    <row r="1060" ht="15" customHeight="1">
      <c r="A1060" t="inlineStr">
        <is>
          <t>A 41626-2026</t>
        </is>
      </c>
      <c r="B1060" t="inlineStr">
        <is>
          <t>avverkningsanmälan</t>
        </is>
      </c>
      <c r="C1060" t="inlineStr">
        <is>
          <t>Föryngringsavverkning</t>
        </is>
      </c>
      <c r="D1060" s="1" t="n">
        <v>46302</v>
      </c>
      <c r="E1060" s="1" t="n">
        <v>46309</v>
      </c>
      <c r="F1060" t="inlineStr">
        <is>
          <t>GÄVLEBORGS LÄN</t>
        </is>
      </c>
      <c r="G1060" t="inlineStr">
        <is>
          <t>NORDANSTIG</t>
        </is>
      </c>
      <c r="I1060" t="n">
        <v>4.9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s="2" t="inlineStr"/>
    </row>
    <row r="1061" ht="15" customHeight="1">
      <c r="A1061" t="inlineStr">
        <is>
          <t>A 35342-2026</t>
        </is>
      </c>
      <c r="B1061" t="inlineStr">
        <is>
          <t>avverkningsanmälan</t>
        </is>
      </c>
      <c r="C1061" t="inlineStr">
        <is>
          <t>Föryngringsavverkning</t>
        </is>
      </c>
      <c r="D1061" s="1" t="n">
        <v>46261</v>
      </c>
      <c r="E1061" s="1" t="n">
        <v>46309</v>
      </c>
      <c r="F1061" t="inlineStr">
        <is>
          <t>GÄVLEBORGS LÄN</t>
        </is>
      </c>
      <c r="G1061" t="inlineStr">
        <is>
          <t>NORDANSTIG</t>
        </is>
      </c>
      <c r="I1061" t="n">
        <v>2.6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s="2" t="inlineStr"/>
    </row>
    <row r="1062" ht="15" customHeight="1">
      <c r="A1062" t="inlineStr">
        <is>
          <t>A 31732-2026</t>
        </is>
      </c>
      <c r="B1062" t="inlineStr">
        <is>
          <t>avverkningsanmälan</t>
        </is>
      </c>
      <c r="C1062" t="inlineStr">
        <is>
          <t>Föryngringsavverkning</t>
        </is>
      </c>
      <c r="D1062" s="1" t="n">
        <v>46227</v>
      </c>
      <c r="E1062" s="1" t="n">
        <v>46309</v>
      </c>
      <c r="F1062" t="inlineStr">
        <is>
          <t>GÄVLEBORGS LÄN</t>
        </is>
      </c>
      <c r="G1062" t="inlineStr">
        <is>
          <t>NORDANSTIG</t>
        </is>
      </c>
      <c r="I1062" t="n">
        <v>5.1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s="2" t="inlineStr"/>
    </row>
    <row r="1063" ht="15" customHeight="1">
      <c r="A1063" t="inlineStr">
        <is>
          <t>A 1230-2026</t>
        </is>
      </c>
      <c r="B1063" t="inlineStr">
        <is>
          <t>avverkningsanmälan</t>
        </is>
      </c>
      <c r="C1063" t="inlineStr">
        <is>
          <t>Föryngringsavverkning</t>
        </is>
      </c>
      <c r="D1063" s="1" t="n">
        <v>46031</v>
      </c>
      <c r="E1063" s="1" t="n">
        <v>46309</v>
      </c>
      <c r="F1063" t="inlineStr">
        <is>
          <t>GÄVLEBORGS LÄN</t>
        </is>
      </c>
      <c r="G1063" t="inlineStr">
        <is>
          <t>NORDANSTIG</t>
        </is>
      </c>
      <c r="I1063" t="n">
        <v>1.3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s="2" t="inlineStr"/>
    </row>
    <row r="1064" ht="15" customHeight="1">
      <c r="A1064" t="inlineStr">
        <is>
          <t>A 35546-2026</t>
        </is>
      </c>
      <c r="B1064" t="inlineStr">
        <is>
          <t>avverkningsanmälan</t>
        </is>
      </c>
      <c r="C1064" t="inlineStr">
        <is>
          <t>Föryngringsavverkning</t>
        </is>
      </c>
      <c r="D1064" s="1" t="n">
        <v>46262</v>
      </c>
      <c r="E1064" s="1" t="n">
        <v>46309</v>
      </c>
      <c r="F1064" t="inlineStr">
        <is>
          <t>GÄVLEBORGS LÄN</t>
        </is>
      </c>
      <c r="G1064" t="inlineStr">
        <is>
          <t>NORDANSTIG</t>
        </is>
      </c>
      <c r="I1064" t="n">
        <v>1.1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s="2" t="inlineStr"/>
    </row>
    <row r="1065" ht="15" customHeight="1">
      <c r="A1065" t="inlineStr">
        <is>
          <t>A 42385-2026</t>
        </is>
      </c>
      <c r="B1065" t="inlineStr">
        <is>
          <t>avverkningsanmälan</t>
        </is>
      </c>
      <c r="C1065" t="inlineStr">
        <is>
          <t>Föryngringsavverkning</t>
        </is>
      </c>
      <c r="D1065" s="1" t="n">
        <v>46307</v>
      </c>
      <c r="E1065" s="1" t="n">
        <v>46309</v>
      </c>
      <c r="F1065" t="inlineStr">
        <is>
          <t>GÄVLEBORGS LÄN</t>
        </is>
      </c>
      <c r="G1065" t="inlineStr">
        <is>
          <t>NORDANSTIG</t>
        </is>
      </c>
      <c r="H1065" t="inlineStr">
        <is>
          <t>Holmen skog AB</t>
        </is>
      </c>
      <c r="I1065" t="n">
        <v>2.1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s="2" t="inlineStr"/>
    </row>
    <row r="1066" ht="15" customHeight="1">
      <c r="A1066" t="inlineStr">
        <is>
          <t>A 35782-2026</t>
        </is>
      </c>
      <c r="B1066" t="inlineStr">
        <is>
          <t>avverkningsanmälan</t>
        </is>
      </c>
      <c r="C1066" t="inlineStr">
        <is>
          <t>Föryngringsavverkning</t>
        </is>
      </c>
      <c r="D1066" s="1" t="n">
        <v>46265</v>
      </c>
      <c r="E1066" s="1" t="n">
        <v>46309</v>
      </c>
      <c r="F1066" t="inlineStr">
        <is>
          <t>GÄVLEBORGS LÄN</t>
        </is>
      </c>
      <c r="G1066" t="inlineStr">
        <is>
          <t>NORDANSTIG</t>
        </is>
      </c>
      <c r="H1066" t="inlineStr">
        <is>
          <t>Holmen skog AB</t>
        </is>
      </c>
      <c r="I1066" t="n">
        <v>0.5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s="2" t="inlineStr"/>
    </row>
    <row r="1067" ht="15" customHeight="1">
      <c r="A1067" t="inlineStr">
        <is>
          <t>S 3999-2023</t>
        </is>
      </c>
      <c r="B1067" t="inlineStr">
        <is>
          <t>samrådsanmälan</t>
        </is>
      </c>
      <c r="C1067" t="inlineStr">
        <is>
          <t>Skogsgödsling</t>
        </is>
      </c>
      <c r="D1067" s="1" t="n">
        <v>45238</v>
      </c>
      <c r="E1067" s="1" t="n">
        <v>46309</v>
      </c>
      <c r="F1067" t="inlineStr">
        <is>
          <t>GÄVLEBORGS LÄN</t>
        </is>
      </c>
      <c r="G1067" t="inlineStr">
        <is>
          <t>NORDANSTIG</t>
        </is>
      </c>
      <c r="H1067" t="inlineStr">
        <is>
          <t>Holmen skog AB</t>
        </is>
      </c>
      <c r="I1067" t="n">
        <v>39.7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s="2" t="inlineStr"/>
    </row>
    <row r="1068" ht="15" customHeight="1">
      <c r="A1068" t="inlineStr">
        <is>
          <t>S 3990-2023</t>
        </is>
      </c>
      <c r="B1068" t="inlineStr">
        <is>
          <t>samrådsanmälan</t>
        </is>
      </c>
      <c r="C1068" t="inlineStr">
        <is>
          <t>Skogsgödsling</t>
        </is>
      </c>
      <c r="D1068" s="1" t="n">
        <v>45238</v>
      </c>
      <c r="E1068" s="1" t="n">
        <v>46309</v>
      </c>
      <c r="F1068" t="inlineStr">
        <is>
          <t>GÄVLEBORGS LÄN</t>
        </is>
      </c>
      <c r="G1068" t="inlineStr">
        <is>
          <t>NORDANSTIG</t>
        </is>
      </c>
      <c r="H1068" t="inlineStr">
        <is>
          <t>Holmen skog AB</t>
        </is>
      </c>
      <c r="I1068" t="n">
        <v>79.5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s="2" t="inlineStr"/>
    </row>
    <row r="1069" ht="15" customHeight="1">
      <c r="A1069" t="inlineStr">
        <is>
          <t>S 10130-2021</t>
        </is>
      </c>
      <c r="B1069" t="inlineStr">
        <is>
          <t>samrådsanmälan</t>
        </is>
      </c>
      <c r="C1069" t="inlineStr">
        <is>
          <t>Skogsgödsling</t>
        </is>
      </c>
      <c r="D1069" s="1" t="n">
        <v>44538</v>
      </c>
      <c r="E1069" s="1" t="n">
        <v>46309</v>
      </c>
      <c r="F1069" t="inlineStr">
        <is>
          <t>GÄVLEBORGS LÄN</t>
        </is>
      </c>
      <c r="G1069" t="inlineStr">
        <is>
          <t>NORDANSTIG</t>
        </is>
      </c>
      <c r="H1069" t="inlineStr">
        <is>
          <t>Holmen skog AB</t>
        </is>
      </c>
      <c r="I1069" t="n">
        <v>281.2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s="2" t="inlineStr"/>
    </row>
    <row r="1070" ht="15" customHeight="1">
      <c r="A1070" t="inlineStr">
        <is>
          <t>S 3983-2023</t>
        </is>
      </c>
      <c r="B1070" t="inlineStr">
        <is>
          <t>samrådsanmälan</t>
        </is>
      </c>
      <c r="C1070" t="inlineStr">
        <is>
          <t>Skogsgödsling</t>
        </is>
      </c>
      <c r="D1070" s="1" t="n">
        <v>45238</v>
      </c>
      <c r="E1070" s="1" t="n">
        <v>46309</v>
      </c>
      <c r="F1070" t="inlineStr">
        <is>
          <t>GÄVLEBORGS LÄN</t>
        </is>
      </c>
      <c r="G1070" t="inlineStr">
        <is>
          <t>NORDANSTIG</t>
        </is>
      </c>
      <c r="H1070" t="inlineStr">
        <is>
          <t>Holmen skog AB</t>
        </is>
      </c>
      <c r="I1070" t="n">
        <v>73.3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s="2" t="inlineStr"/>
    </row>
    <row r="1071" ht="15" customHeight="1">
      <c r="A1071" t="inlineStr">
        <is>
          <t>S 131-2025</t>
        </is>
      </c>
      <c r="B1071" t="inlineStr">
        <is>
          <t>samrådsanmälan</t>
        </is>
      </c>
      <c r="C1071" t="inlineStr">
        <is>
          <t>Skogsgödsling</t>
        </is>
      </c>
      <c r="D1071" s="1" t="n">
        <v>45670</v>
      </c>
      <c r="E1071" s="1" t="n">
        <v>46309</v>
      </c>
      <c r="F1071" t="inlineStr">
        <is>
          <t>GÄVLEBORGS LÄN</t>
        </is>
      </c>
      <c r="G1071" t="inlineStr">
        <is>
          <t>NORDANSTIG</t>
        </is>
      </c>
      <c r="H1071" t="inlineStr">
        <is>
          <t>Holmen skog AB</t>
        </is>
      </c>
      <c r="I1071" t="n">
        <v>14.6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s="2" t="inlineStr"/>
    </row>
    <row r="1072" ht="15" customHeight="1">
      <c r="A1072" t="inlineStr">
        <is>
          <t>S 3986-2023</t>
        </is>
      </c>
      <c r="B1072" t="inlineStr">
        <is>
          <t>samrådsanmälan</t>
        </is>
      </c>
      <c r="C1072" t="inlineStr">
        <is>
          <t>Skogsgödsling</t>
        </is>
      </c>
      <c r="D1072" s="1" t="n">
        <v>45238</v>
      </c>
      <c r="E1072" s="1" t="n">
        <v>46309</v>
      </c>
      <c r="F1072" t="inlineStr">
        <is>
          <t>GÄVLEBORGS LÄN</t>
        </is>
      </c>
      <c r="G1072" t="inlineStr">
        <is>
          <t>NORDANSTIG</t>
        </is>
      </c>
      <c r="H1072" t="inlineStr">
        <is>
          <t>Holmen skog AB</t>
        </is>
      </c>
      <c r="I1072" t="n">
        <v>131.6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s="2" t="inlineStr"/>
    </row>
    <row r="1073" ht="15" customHeight="1">
      <c r="A1073" t="inlineStr">
        <is>
          <t>S 117-2025</t>
        </is>
      </c>
      <c r="B1073" t="inlineStr">
        <is>
          <t>samrådsanmälan</t>
        </is>
      </c>
      <c r="C1073" t="inlineStr">
        <is>
          <t>Skogsgödsling</t>
        </is>
      </c>
      <c r="D1073" s="1" t="n">
        <v>45670</v>
      </c>
      <c r="E1073" s="1" t="n">
        <v>46309</v>
      </c>
      <c r="F1073" t="inlineStr">
        <is>
          <t>GÄVLEBORGS LÄN</t>
        </is>
      </c>
      <c r="G1073" t="inlineStr">
        <is>
          <t>NORDANSTIG</t>
        </is>
      </c>
      <c r="H1073" t="inlineStr">
        <is>
          <t>Holmen skog AB</t>
        </is>
      </c>
      <c r="I1073" t="n">
        <v>68.7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s="2" t="inlineStr"/>
    </row>
    <row r="1074" ht="15" customHeight="1">
      <c r="A1074" t="inlineStr">
        <is>
          <t>S 3987-2023</t>
        </is>
      </c>
      <c r="B1074" t="inlineStr">
        <is>
          <t>samrådsanmälan</t>
        </is>
      </c>
      <c r="C1074" t="inlineStr">
        <is>
          <t>Skogsgödsling</t>
        </is>
      </c>
      <c r="D1074" s="1" t="n">
        <v>45238</v>
      </c>
      <c r="E1074" s="1" t="n">
        <v>46309</v>
      </c>
      <c r="F1074" t="inlineStr">
        <is>
          <t>GÄVLEBORGS LÄN</t>
        </is>
      </c>
      <c r="G1074" t="inlineStr">
        <is>
          <t>NORDANSTIG</t>
        </is>
      </c>
      <c r="H1074" t="inlineStr">
        <is>
          <t>Holmen skog AB</t>
        </is>
      </c>
      <c r="I1074" t="n">
        <v>28.1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s="2" t="inlineStr"/>
    </row>
    <row r="1075" ht="15" customHeight="1">
      <c r="A1075" t="inlineStr">
        <is>
          <t>S 25-2023</t>
        </is>
      </c>
      <c r="B1075" t="inlineStr">
        <is>
          <t>samrådsanmälan</t>
        </is>
      </c>
      <c r="C1075" t="inlineStr">
        <is>
          <t>Skogsgödsling</t>
        </is>
      </c>
      <c r="D1075" s="1" t="n">
        <v>44929</v>
      </c>
      <c r="E1075" s="1" t="n">
        <v>46309</v>
      </c>
      <c r="F1075" t="inlineStr">
        <is>
          <t>GÄVLEBORGS LÄN</t>
        </is>
      </c>
      <c r="G1075" t="inlineStr">
        <is>
          <t>NORDANSTIG</t>
        </is>
      </c>
      <c r="H1075" t="inlineStr">
        <is>
          <t>Holmen skog AB</t>
        </is>
      </c>
      <c r="I1075" t="n">
        <v>119.5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s="2" t="inlineStr"/>
    </row>
    <row r="1076" ht="15" customHeight="1">
      <c r="A1076" t="inlineStr">
        <is>
          <t>S 3996-2023</t>
        </is>
      </c>
      <c r="B1076" t="inlineStr">
        <is>
          <t>samrådsanmälan</t>
        </is>
      </c>
      <c r="C1076" t="inlineStr">
        <is>
          <t>Skogsgödsling</t>
        </is>
      </c>
      <c r="D1076" s="1" t="n">
        <v>45238</v>
      </c>
      <c r="E1076" s="1" t="n">
        <v>46309</v>
      </c>
      <c r="F1076" t="inlineStr">
        <is>
          <t>GÄVLEBORGS LÄN</t>
        </is>
      </c>
      <c r="G1076" t="inlineStr">
        <is>
          <t>NORDANSTIG</t>
        </is>
      </c>
      <c r="H1076" t="inlineStr">
        <is>
          <t>Holmen skog AB</t>
        </is>
      </c>
      <c r="I1076" t="n">
        <v>52.3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s="2" t="inlineStr"/>
    </row>
    <row r="1077" ht="15" customHeight="1">
      <c r="A1077" t="inlineStr">
        <is>
          <t>S 1008-2024</t>
        </is>
      </c>
      <c r="B1077" t="inlineStr">
        <is>
          <t>samrådsanmälan</t>
        </is>
      </c>
      <c r="C1077" t="inlineStr">
        <is>
          <t>Skogsgödsling</t>
        </is>
      </c>
      <c r="D1077" s="1" t="n">
        <v>45386</v>
      </c>
      <c r="E1077" s="1" t="n">
        <v>46309</v>
      </c>
      <c r="F1077" t="inlineStr">
        <is>
          <t>GÄVLEBORGS LÄN</t>
        </is>
      </c>
      <c r="G1077" t="inlineStr">
        <is>
          <t>NORDANSTIG</t>
        </is>
      </c>
      <c r="I1077" t="n">
        <v>6.8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s="2" t="inlineStr"/>
    </row>
    <row r="1078" ht="15" customHeight="1">
      <c r="A1078" t="inlineStr">
        <is>
          <t>S 3989-2023</t>
        </is>
      </c>
      <c r="B1078" t="inlineStr">
        <is>
          <t>samrådsanmälan</t>
        </is>
      </c>
      <c r="C1078" t="inlineStr">
        <is>
          <t>Skogsgödsling</t>
        </is>
      </c>
      <c r="D1078" s="1" t="n">
        <v>45238</v>
      </c>
      <c r="E1078" s="1" t="n">
        <v>46309</v>
      </c>
      <c r="F1078" t="inlineStr">
        <is>
          <t>GÄVLEBORGS LÄN</t>
        </is>
      </c>
      <c r="G1078" t="inlineStr">
        <is>
          <t>NORDANSTIG</t>
        </is>
      </c>
      <c r="H1078" t="inlineStr">
        <is>
          <t>Holmen skog AB</t>
        </is>
      </c>
      <c r="I1078" t="n">
        <v>28.4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s="2" t="inlineStr"/>
    </row>
    <row r="1079" ht="15" customHeight="1">
      <c r="A1079" t="inlineStr">
        <is>
          <t>S 3994-2023</t>
        </is>
      </c>
      <c r="B1079" t="inlineStr">
        <is>
          <t>samrådsanmälan</t>
        </is>
      </c>
      <c r="C1079" t="inlineStr">
        <is>
          <t>Skogsgödsling</t>
        </is>
      </c>
      <c r="D1079" s="1" t="n">
        <v>45238</v>
      </c>
      <c r="E1079" s="1" t="n">
        <v>46309</v>
      </c>
      <c r="F1079" t="inlineStr">
        <is>
          <t>GÄVLEBORGS LÄN</t>
        </is>
      </c>
      <c r="G1079" t="inlineStr">
        <is>
          <t>NORDANSTIG</t>
        </is>
      </c>
      <c r="H1079" t="inlineStr">
        <is>
          <t>Holmen skog AB</t>
        </is>
      </c>
      <c r="I1079" t="n">
        <v>57.5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s="2" t="inlineStr"/>
    </row>
    <row r="1080" ht="15" customHeight="1">
      <c r="A1080" t="inlineStr">
        <is>
          <t>S 127-2025</t>
        </is>
      </c>
      <c r="B1080" t="inlineStr">
        <is>
          <t>samrådsanmälan</t>
        </is>
      </c>
      <c r="C1080" t="inlineStr">
        <is>
          <t>Skogsgödsling</t>
        </is>
      </c>
      <c r="D1080" s="1" t="n">
        <v>45670</v>
      </c>
      <c r="E1080" s="1" t="n">
        <v>46309</v>
      </c>
      <c r="F1080" t="inlineStr">
        <is>
          <t>GÄVLEBORGS LÄN</t>
        </is>
      </c>
      <c r="G1080" t="inlineStr">
        <is>
          <t>NORDANSTIG</t>
        </is>
      </c>
      <c r="H1080" t="inlineStr">
        <is>
          <t>Holmen skog AB</t>
        </is>
      </c>
      <c r="I1080" t="n">
        <v>42.5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s="2" t="inlineStr"/>
    </row>
    <row r="1081" ht="15" customHeight="1">
      <c r="A1081" t="inlineStr">
        <is>
          <t>S 3991-2023</t>
        </is>
      </c>
      <c r="B1081" t="inlineStr">
        <is>
          <t>samrådsanmälan</t>
        </is>
      </c>
      <c r="C1081" t="inlineStr">
        <is>
          <t>Skogsgödsling</t>
        </is>
      </c>
      <c r="D1081" s="1" t="n">
        <v>45238</v>
      </c>
      <c r="E1081" s="1" t="n">
        <v>46309</v>
      </c>
      <c r="F1081" t="inlineStr">
        <is>
          <t>GÄVLEBORGS LÄN</t>
        </is>
      </c>
      <c r="G1081" t="inlineStr">
        <is>
          <t>NORDANSTIG</t>
        </is>
      </c>
      <c r="H1081" t="inlineStr">
        <is>
          <t>Holmen skog AB</t>
        </is>
      </c>
      <c r="I1081" t="n">
        <v>4.6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s="2" t="inlineStr"/>
    </row>
    <row r="1082" ht="15" customHeight="1">
      <c r="A1082" t="inlineStr">
        <is>
          <t>S 3997-2023</t>
        </is>
      </c>
      <c r="B1082" t="inlineStr">
        <is>
          <t>samrådsanmälan</t>
        </is>
      </c>
      <c r="C1082" t="inlineStr">
        <is>
          <t>Skogsgödsling</t>
        </is>
      </c>
      <c r="D1082" s="1" t="n">
        <v>45238</v>
      </c>
      <c r="E1082" s="1" t="n">
        <v>46309</v>
      </c>
      <c r="F1082" t="inlineStr">
        <is>
          <t>GÄVLEBORGS LÄN</t>
        </is>
      </c>
      <c r="G1082" t="inlineStr">
        <is>
          <t>NORDANSTIG</t>
        </is>
      </c>
      <c r="H1082" t="inlineStr">
        <is>
          <t>Holmen skog AB</t>
        </is>
      </c>
      <c r="I1082" t="n">
        <v>12.1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s="2" t="inlineStr"/>
    </row>
    <row r="1083" ht="15" customHeight="1">
      <c r="A1083" t="inlineStr">
        <is>
          <t>S 3992-2023</t>
        </is>
      </c>
      <c r="B1083" t="inlineStr">
        <is>
          <t>samrådsanmälan</t>
        </is>
      </c>
      <c r="C1083" t="inlineStr">
        <is>
          <t>Skogsgödsling</t>
        </is>
      </c>
      <c r="D1083" s="1" t="n">
        <v>45238</v>
      </c>
      <c r="E1083" s="1" t="n">
        <v>46309</v>
      </c>
      <c r="F1083" t="inlineStr">
        <is>
          <t>GÄVLEBORGS LÄN</t>
        </is>
      </c>
      <c r="G1083" t="inlineStr">
        <is>
          <t>NORDANSTIG</t>
        </is>
      </c>
      <c r="H1083" t="inlineStr">
        <is>
          <t>Holmen skog AB</t>
        </is>
      </c>
      <c r="I1083" t="n">
        <v>130.4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s="2" t="inlineStr"/>
    </row>
    <row r="1084" ht="15" customHeight="1">
      <c r="A1084" t="inlineStr">
        <is>
          <t>S 138-2025</t>
        </is>
      </c>
      <c r="B1084" t="inlineStr">
        <is>
          <t>samrådsanmälan</t>
        </is>
      </c>
      <c r="C1084" t="inlineStr">
        <is>
          <t>Skogsgödsling</t>
        </is>
      </c>
      <c r="D1084" s="1" t="n">
        <v>45670</v>
      </c>
      <c r="E1084" s="1" t="n">
        <v>46309</v>
      </c>
      <c r="F1084" t="inlineStr">
        <is>
          <t>GÄVLEBORGS LÄN</t>
        </is>
      </c>
      <c r="G1084" t="inlineStr">
        <is>
          <t>NORDANSTIG</t>
        </is>
      </c>
      <c r="H1084" t="inlineStr">
        <is>
          <t>Holmen skog AB</t>
        </is>
      </c>
      <c r="I1084" t="n">
        <v>49.7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s="2" t="inlineStr"/>
    </row>
    <row r="1085" ht="15" customHeight="1">
      <c r="A1085" t="inlineStr">
        <is>
          <t>S 3988-2023</t>
        </is>
      </c>
      <c r="B1085" t="inlineStr">
        <is>
          <t>samrådsanmälan</t>
        </is>
      </c>
      <c r="C1085" t="inlineStr">
        <is>
          <t>Skogsgödsling</t>
        </is>
      </c>
      <c r="D1085" s="1" t="n">
        <v>45238</v>
      </c>
      <c r="E1085" s="1" t="n">
        <v>46309</v>
      </c>
      <c r="F1085" t="inlineStr">
        <is>
          <t>GÄVLEBORGS LÄN</t>
        </is>
      </c>
      <c r="G1085" t="inlineStr">
        <is>
          <t>NORDANSTIG</t>
        </is>
      </c>
      <c r="H1085" t="inlineStr">
        <is>
          <t>Holmen skog AB</t>
        </is>
      </c>
      <c r="I1085" t="n">
        <v>150.6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s="2" t="inlineStr"/>
    </row>
    <row r="1086" ht="15" customHeight="1">
      <c r="A1086" t="inlineStr">
        <is>
          <t>S 128-2025</t>
        </is>
      </c>
      <c r="B1086" t="inlineStr">
        <is>
          <t>samrådsanmälan</t>
        </is>
      </c>
      <c r="C1086" t="inlineStr">
        <is>
          <t>Skogsgödsling</t>
        </is>
      </c>
      <c r="D1086" s="1" t="n">
        <v>45670</v>
      </c>
      <c r="E1086" s="1" t="n">
        <v>46309</v>
      </c>
      <c r="F1086" t="inlineStr">
        <is>
          <t>GÄVLEBORGS LÄN</t>
        </is>
      </c>
      <c r="G1086" t="inlineStr">
        <is>
          <t>NORDANSTIG</t>
        </is>
      </c>
      <c r="H1086" t="inlineStr">
        <is>
          <t>Holmen skog AB</t>
        </is>
      </c>
      <c r="I1086" t="n">
        <v>47.5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s="2" t="inlineStr"/>
    </row>
    <row r="1087" ht="15" customHeight="1">
      <c r="A1087" t="inlineStr">
        <is>
          <t>S 122-2025</t>
        </is>
      </c>
      <c r="B1087" t="inlineStr">
        <is>
          <t>samrådsanmälan</t>
        </is>
      </c>
      <c r="C1087" t="inlineStr">
        <is>
          <t>Skogsgödsling</t>
        </is>
      </c>
      <c r="D1087" s="1" t="n">
        <v>45670</v>
      </c>
      <c r="E1087" s="1" t="n">
        <v>46309</v>
      </c>
      <c r="F1087" t="inlineStr">
        <is>
          <t>GÄVLEBORGS LÄN</t>
        </is>
      </c>
      <c r="G1087" t="inlineStr">
        <is>
          <t>NORDANSTIG</t>
        </is>
      </c>
      <c r="H1087" t="inlineStr">
        <is>
          <t>Holmen skog AB</t>
        </is>
      </c>
      <c r="I1087" t="n">
        <v>128.2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s="2" t="inlineStr"/>
      <c r="Z1087">
        <f>HYPERLINK("https://klasma.github.io/Logging_2132/knärot/S 122-2025 karta knärot.png", "S 122-2025")</f>
        <v/>
      </c>
      <c r="AA1087">
        <f>HYPERLINK("https://klasma.github.io/Logging_2132/klagomål/S 122-2025 FSC-klagomål.docx", "S 122-2025")</f>
        <v/>
      </c>
      <c r="AB1087">
        <f>HYPERLINK("https://klasma.github.io/Logging_2132/klagomålsmail/S 122-2025 FSC-klagomål mail.docx", "S 122-2025")</f>
        <v/>
      </c>
      <c r="AC1087">
        <f>HYPERLINK("https://klasma.github.io/Logging_2132/tillsyn/S 122-2025 tillsynsbegäran.docx", "S 122-2025")</f>
        <v/>
      </c>
      <c r="AD1087">
        <f>HYPERLINK("https://klasma.github.io/Logging_2132/tillsynsmail/S 122-2025 tillsynsbegäran mail.docx", "S 122-2025")</f>
        <v/>
      </c>
    </row>
    <row r="1088" ht="15" customHeight="1">
      <c r="A1088" t="inlineStr">
        <is>
          <t>S 573-2026</t>
        </is>
      </c>
      <c r="B1088" t="inlineStr">
        <is>
          <t>samrådsanmälan</t>
        </is>
      </c>
      <c r="C1088" t="inlineStr">
        <is>
          <t>Skogsgödsling</t>
        </is>
      </c>
      <c r="D1088" s="1" t="n">
        <v>46083</v>
      </c>
      <c r="E1088" s="1" t="n">
        <v>46309</v>
      </c>
      <c r="F1088" t="inlineStr">
        <is>
          <t>GÄVLEBORGS LÄN</t>
        </is>
      </c>
      <c r="G1088" t="inlineStr">
        <is>
          <t>NORDANSTIG</t>
        </is>
      </c>
      <c r="H1088" t="inlineStr">
        <is>
          <t>SCA</t>
        </is>
      </c>
      <c r="I1088" t="n">
        <v>64.3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s="2" t="inlineStr"/>
    </row>
    <row r="1089">
      <c r="A1089" t="inlineStr">
        <is>
          <t>S 8-2025</t>
        </is>
      </c>
      <c r="B1089" t="inlineStr">
        <is>
          <t>samrådsanmälan</t>
        </is>
      </c>
      <c r="C1089" t="inlineStr">
        <is>
          <t>Annan skogsbruksåtgärd</t>
        </is>
      </c>
      <c r="D1089" s="1" t="n">
        <v>45650</v>
      </c>
      <c r="E1089" s="1" t="n">
        <v>46309</v>
      </c>
      <c r="F1089" t="inlineStr">
        <is>
          <t>GÄVLEBORGS LÄN</t>
        </is>
      </c>
      <c r="G1089" t="inlineStr">
        <is>
          <t>NORDANSTIG</t>
        </is>
      </c>
      <c r="I1089" t="n">
        <v>0.2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2026-10-14T02:04:09Z</dcterms:created>
  <dcterms:modified xmlns:dcterms="http://purl.org/dc/terms/" xmlns:xsi="http://www.w3.org/2001/XMLSchema-instance" xsi:type="dcterms:W3CDTF">2026-10-14T02:04:10Z</dcterms:modified>
</cp:coreProperties>
</file>