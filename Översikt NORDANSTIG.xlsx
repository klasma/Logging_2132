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45513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45513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45513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45513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45513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45513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45513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45513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45513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45513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45513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45513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45513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45513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45513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45513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45513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45513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45513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45513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45513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45513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45513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24130-2020</t>
        </is>
      </c>
      <c r="B25" s="1" t="n">
        <v>43973</v>
      </c>
      <c r="C25" s="1" t="n">
        <v>45513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HYPERLINK("https://klasma.github.io/Logging_2132/artfynd/A 24130-2020 artfynd.xlsx", "A 24130-2020")</f>
        <v/>
      </c>
      <c r="T25">
        <f>HYPERLINK("https://klasma.github.io/Logging_2132/kartor/A 24130-2020 karta.png", "A 24130-2020")</f>
        <v/>
      </c>
      <c r="V25">
        <f>HYPERLINK("https://klasma.github.io/Logging_2132/klagomål/A 24130-2020 FSC-klagomål.docx", "A 24130-2020")</f>
        <v/>
      </c>
      <c r="W25">
        <f>HYPERLINK("https://klasma.github.io/Logging_2132/klagomålsmail/A 24130-2020 FSC-klagomål mail.docx", "A 24130-2020")</f>
        <v/>
      </c>
      <c r="X25">
        <f>HYPERLINK("https://klasma.github.io/Logging_2132/tillsyn/A 24130-2020 tillsynsbegäran.docx", "A 24130-2020")</f>
        <v/>
      </c>
      <c r="Y25">
        <f>HYPERLINK("https://klasma.github.io/Logging_2132/tillsynsmail/A 24130-2020 tillsynsbegäran mail.docx", "A 24130-2020")</f>
        <v/>
      </c>
      <c r="Z25">
        <f>HYPERLINK("https://klasma.github.io/Logging_2132/fåglar/A 24130-2020 prioriterade fågelarter.docx", "A 24130-2020")</f>
        <v/>
      </c>
    </row>
    <row r="26" ht="15" customHeight="1">
      <c r="A26" t="inlineStr">
        <is>
          <t>A 58828-2021</t>
        </is>
      </c>
      <c r="B26" s="1" t="n">
        <v>44489</v>
      </c>
      <c r="C26" s="1" t="n">
        <v>45513</v>
      </c>
      <c r="D26" t="inlineStr">
        <is>
          <t>GÄVLEBORGS LÄN</t>
        </is>
      </c>
      <c r="E26" t="inlineStr">
        <is>
          <t>NORDANSTIG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58828-2021 artfynd.xlsx", "A 58828-2021")</f>
        <v/>
      </c>
      <c r="T26">
        <f>HYPERLINK("https://klasma.github.io/Logging_2132/kartor/A 58828-2021 karta.png", "A 58828-2021")</f>
        <v/>
      </c>
      <c r="V26">
        <f>HYPERLINK("https://klasma.github.io/Logging_2132/klagomål/A 58828-2021 FSC-klagomål.docx", "A 58828-2021")</f>
        <v/>
      </c>
      <c r="W26">
        <f>HYPERLINK("https://klasma.github.io/Logging_2132/klagomålsmail/A 58828-2021 FSC-klagomål mail.docx", "A 58828-2021")</f>
        <v/>
      </c>
      <c r="X26">
        <f>HYPERLINK("https://klasma.github.io/Logging_2132/tillsyn/A 58828-2021 tillsynsbegäran.docx", "A 58828-2021")</f>
        <v/>
      </c>
      <c r="Y26">
        <f>HYPERLINK("https://klasma.github.io/Logging_2132/tillsynsmail/A 58828-2021 tillsynsbegäran mail.docx", "A 58828-2021")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45513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20782-2022</t>
        </is>
      </c>
      <c r="B28" s="1" t="n">
        <v>44701</v>
      </c>
      <c r="C28" s="1" t="n">
        <v>45513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HYPERLINK("https://klasma.github.io/Logging_2132/artfynd/A 20782-2022 artfynd.xlsx", "A 20782-2022")</f>
        <v/>
      </c>
      <c r="T28">
        <f>HYPERLINK("https://klasma.github.io/Logging_2132/kartor/A 20782-2022 karta.png", "A 20782-2022")</f>
        <v/>
      </c>
      <c r="U28">
        <f>HYPERLINK("https://klasma.github.io/Logging_2132/knärot/A 20782-2022 karta knärot.png", "A 20782-2022")</f>
        <v/>
      </c>
      <c r="V28">
        <f>HYPERLINK("https://klasma.github.io/Logging_2132/klagomål/A 20782-2022 FSC-klagomål.docx", "A 20782-2022")</f>
        <v/>
      </c>
      <c r="W28">
        <f>HYPERLINK("https://klasma.github.io/Logging_2132/klagomålsmail/A 20782-2022 FSC-klagomål mail.docx", "A 20782-2022")</f>
        <v/>
      </c>
      <c r="X28">
        <f>HYPERLINK("https://klasma.github.io/Logging_2132/tillsyn/A 20782-2022 tillsynsbegäran.docx", "A 20782-2022")</f>
        <v/>
      </c>
      <c r="Y28">
        <f>HYPERLINK("https://klasma.github.io/Logging_2132/tillsynsmail/A 20782-2022 tillsynsbegäran mail.docx", "A 20782-2022")</f>
        <v/>
      </c>
    </row>
    <row r="29" ht="15" customHeight="1">
      <c r="A29" t="inlineStr">
        <is>
          <t>A 38159-2022</t>
        </is>
      </c>
      <c r="B29" s="1" t="n">
        <v>44812</v>
      </c>
      <c r="C29" s="1" t="n">
        <v>45513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62767-2022</t>
        </is>
      </c>
      <c r="B30" s="1" t="n">
        <v>44884</v>
      </c>
      <c r="C30" s="1" t="n">
        <v>45513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13.3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HYPERLINK("https://klasma.github.io/Logging_2132/artfynd/A 62767-2022 artfynd.xlsx", "A 62767-2022")</f>
        <v/>
      </c>
      <c r="T30">
        <f>HYPERLINK("https://klasma.github.io/Logging_2132/kartor/A 62767-2022 karta.png", "A 62767-2022")</f>
        <v/>
      </c>
      <c r="V30">
        <f>HYPERLINK("https://klasma.github.io/Logging_2132/klagomål/A 62767-2022 FSC-klagomål.docx", "A 62767-2022")</f>
        <v/>
      </c>
      <c r="W30">
        <f>HYPERLINK("https://klasma.github.io/Logging_2132/klagomålsmail/A 62767-2022 FSC-klagomål mail.docx", "A 62767-2022")</f>
        <v/>
      </c>
      <c r="X30">
        <f>HYPERLINK("https://klasma.github.io/Logging_2132/tillsyn/A 62767-2022 tillsynsbegäran.docx", "A 62767-2022")</f>
        <v/>
      </c>
      <c r="Y30">
        <f>HYPERLINK("https://klasma.github.io/Logging_2132/tillsynsmail/A 62767-2022 tillsynsbegäran mail.docx", "A 62767-2022")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45513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9312-2023</t>
        </is>
      </c>
      <c r="B32" s="1" t="n">
        <v>44980</v>
      </c>
      <c r="C32" s="1" t="n">
        <v>45513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HYPERLINK("https://klasma.github.io/Logging_2132/artfynd/A 9312-2023 artfynd.xlsx", "A 9312-2023")</f>
        <v/>
      </c>
      <c r="T32">
        <f>HYPERLINK("https://klasma.github.io/Logging_2132/kartor/A 9312-2023 karta.png", "A 9312-2023")</f>
        <v/>
      </c>
      <c r="V32">
        <f>HYPERLINK("https://klasma.github.io/Logging_2132/klagomål/A 9312-2023 FSC-klagomål.docx", "A 9312-2023")</f>
        <v/>
      </c>
      <c r="W32">
        <f>HYPERLINK("https://klasma.github.io/Logging_2132/klagomålsmail/A 9312-2023 FSC-klagomål mail.docx", "A 9312-2023")</f>
        <v/>
      </c>
      <c r="X32">
        <f>HYPERLINK("https://klasma.github.io/Logging_2132/tillsyn/A 9312-2023 tillsynsbegäran.docx", "A 9312-2023")</f>
        <v/>
      </c>
      <c r="Y32">
        <f>HYPERLINK("https://klasma.github.io/Logging_2132/tillsynsmail/A 9312-2023 tillsynsbegäran mail.docx", "A 9312-2023")</f>
        <v/>
      </c>
    </row>
    <row r="33" ht="15" customHeight="1">
      <c r="A33" t="inlineStr">
        <is>
          <t>A 27637-2023</t>
        </is>
      </c>
      <c r="B33" s="1" t="n">
        <v>45097</v>
      </c>
      <c r="C33" s="1" t="n">
        <v>45513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HYPERLINK("https://klasma.github.io/Logging_2132/artfynd/A 27637-2023 artfynd.xlsx", "A 27637-2023")</f>
        <v/>
      </c>
      <c r="T33">
        <f>HYPERLINK("https://klasma.github.io/Logging_2132/kartor/A 27637-2023 karta.png", "A 27637-2023")</f>
        <v/>
      </c>
      <c r="V33">
        <f>HYPERLINK("https://klasma.github.io/Logging_2132/klagomål/A 27637-2023 FSC-klagomål.docx", "A 27637-2023")</f>
        <v/>
      </c>
      <c r="W33">
        <f>HYPERLINK("https://klasma.github.io/Logging_2132/klagomålsmail/A 27637-2023 FSC-klagomål mail.docx", "A 27637-2023")</f>
        <v/>
      </c>
      <c r="X33">
        <f>HYPERLINK("https://klasma.github.io/Logging_2132/tillsyn/A 27637-2023 tillsynsbegäran.docx", "A 27637-2023")</f>
        <v/>
      </c>
      <c r="Y33">
        <f>HYPERLINK("https://klasma.github.io/Logging_2132/tillsynsmail/A 27637-2023 tillsynsbegäran mail.docx", "A 27637-2023")</f>
        <v/>
      </c>
    </row>
    <row r="34" ht="15" customHeight="1">
      <c r="A34" t="inlineStr">
        <is>
          <t>A 29578-2023</t>
        </is>
      </c>
      <c r="B34" s="1" t="n">
        <v>45106</v>
      </c>
      <c r="C34" s="1" t="n">
        <v>45513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29578-2023 artfynd.xlsx", "A 29578-2023")</f>
        <v/>
      </c>
      <c r="T34">
        <f>HYPERLINK("https://klasma.github.io/Logging_2132/kartor/A 29578-2023 karta.png", "A 29578-2023")</f>
        <v/>
      </c>
      <c r="V34">
        <f>HYPERLINK("https://klasma.github.io/Logging_2132/klagomål/A 29578-2023 FSC-klagomål.docx", "A 29578-2023")</f>
        <v/>
      </c>
      <c r="W34">
        <f>HYPERLINK("https://klasma.github.io/Logging_2132/klagomålsmail/A 29578-2023 FSC-klagomål mail.docx", "A 29578-2023")</f>
        <v/>
      </c>
      <c r="X34">
        <f>HYPERLINK("https://klasma.github.io/Logging_2132/tillsyn/A 29578-2023 tillsynsbegäran.docx", "A 29578-2023")</f>
        <v/>
      </c>
      <c r="Y34">
        <f>HYPERLINK("https://klasma.github.io/Logging_2132/tillsynsmail/A 29578-2023 tillsynsbegäran mail.docx", "A 29578-2023")</f>
        <v/>
      </c>
    </row>
    <row r="35" ht="15" customHeight="1">
      <c r="A35" t="inlineStr">
        <is>
          <t>A 44032-2023</t>
        </is>
      </c>
      <c r="B35" s="1" t="n">
        <v>45188</v>
      </c>
      <c r="C35" s="1" t="n">
        <v>45513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53392-2023</t>
        </is>
      </c>
      <c r="B36" s="1" t="n">
        <v>45229</v>
      </c>
      <c r="C36" s="1" t="n">
        <v>45513</v>
      </c>
      <c r="D36" t="inlineStr">
        <is>
          <t>GÄVLEBORGS LÄN</t>
        </is>
      </c>
      <c r="E36" t="inlineStr">
        <is>
          <t>NORDANSTIG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53392-2023 artfynd.xlsx", "A 53392-2023")</f>
        <v/>
      </c>
      <c r="T36">
        <f>HYPERLINK("https://klasma.github.io/Logging_2132/kartor/A 53392-2023 karta.png", "A 53392-2023")</f>
        <v/>
      </c>
      <c r="V36">
        <f>HYPERLINK("https://klasma.github.io/Logging_2132/klagomål/A 53392-2023 FSC-klagomål.docx", "A 53392-2023")</f>
        <v/>
      </c>
      <c r="W36">
        <f>HYPERLINK("https://klasma.github.io/Logging_2132/klagomålsmail/A 53392-2023 FSC-klagomål mail.docx", "A 53392-2023")</f>
        <v/>
      </c>
      <c r="X36">
        <f>HYPERLINK("https://klasma.github.io/Logging_2132/tillsyn/A 53392-2023 tillsynsbegäran.docx", "A 53392-2023")</f>
        <v/>
      </c>
      <c r="Y36">
        <f>HYPERLINK("https://klasma.github.io/Logging_2132/tillsynsmail/A 53392-2023 tillsynsbegäran mail.docx", "A 53392-2023")</f>
        <v/>
      </c>
    </row>
    <row r="37" ht="15" customHeight="1">
      <c r="A37" t="inlineStr">
        <is>
          <t>A 60157-2023</t>
        </is>
      </c>
      <c r="B37" s="1" t="n">
        <v>45258</v>
      </c>
      <c r="C37" s="1" t="n">
        <v>45513</v>
      </c>
      <c r="D37" t="inlineStr">
        <is>
          <t>GÄVLEBORGS LÄN</t>
        </is>
      </c>
      <c r="E37" t="inlineStr">
        <is>
          <t>NORDANSTIG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60157-2023 artfynd.xlsx", "A 60157-2023")</f>
        <v/>
      </c>
      <c r="T37">
        <f>HYPERLINK("https://klasma.github.io/Logging_2132/kartor/A 60157-2023 karta.png", "A 60157-2023")</f>
        <v/>
      </c>
      <c r="V37">
        <f>HYPERLINK("https://klasma.github.io/Logging_2132/klagomål/A 60157-2023 FSC-klagomål.docx", "A 60157-2023")</f>
        <v/>
      </c>
      <c r="W37">
        <f>HYPERLINK("https://klasma.github.io/Logging_2132/klagomålsmail/A 60157-2023 FSC-klagomål mail.docx", "A 60157-2023")</f>
        <v/>
      </c>
      <c r="X37">
        <f>HYPERLINK("https://klasma.github.io/Logging_2132/tillsyn/A 60157-2023 tillsynsbegäran.docx", "A 60157-2023")</f>
        <v/>
      </c>
      <c r="Y37">
        <f>HYPERLINK("https://klasma.github.io/Logging_2132/tillsynsmail/A 60157-2023 tillsynsbegäran mail.docx", "A 60157-2023")</f>
        <v/>
      </c>
    </row>
    <row r="38" ht="15" customHeight="1">
      <c r="A38" t="inlineStr">
        <is>
          <t>A 470-2024</t>
        </is>
      </c>
      <c r="B38" s="1" t="n">
        <v>45297</v>
      </c>
      <c r="C38" s="1" t="n">
        <v>45513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3387-2024</t>
        </is>
      </c>
      <c r="B39" s="1" t="n">
        <v>45317</v>
      </c>
      <c r="C39" s="1" t="n">
        <v>45513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3387-2024 artfynd.xlsx", "A 3387-2024")</f>
        <v/>
      </c>
      <c r="T39">
        <f>HYPERLINK("https://klasma.github.io/Logging_2132/kartor/A 3387-2024 karta.png", "A 3387-2024")</f>
        <v/>
      </c>
      <c r="V39">
        <f>HYPERLINK("https://klasma.github.io/Logging_2132/klagomål/A 3387-2024 FSC-klagomål.docx", "A 3387-2024")</f>
        <v/>
      </c>
      <c r="W39">
        <f>HYPERLINK("https://klasma.github.io/Logging_2132/klagomålsmail/A 3387-2024 FSC-klagomål mail.docx", "A 3387-2024")</f>
        <v/>
      </c>
      <c r="X39">
        <f>HYPERLINK("https://klasma.github.io/Logging_2132/tillsyn/A 3387-2024 tillsynsbegäran.docx", "A 3387-2024")</f>
        <v/>
      </c>
      <c r="Y39">
        <f>HYPERLINK("https://klasma.github.io/Logging_2132/tillsynsmail/A 3387-2024 tillsynsbegäran mail.docx", "A 3387-2024")</f>
        <v/>
      </c>
    </row>
    <row r="40" ht="15" customHeight="1">
      <c r="A40" t="inlineStr">
        <is>
          <t>A 14194-2024</t>
        </is>
      </c>
      <c r="B40" s="1" t="n">
        <v>45393</v>
      </c>
      <c r="C40" s="1" t="n">
        <v>45513</v>
      </c>
      <c r="D40" t="inlineStr">
        <is>
          <t>GÄVLEBORGS LÄN</t>
        </is>
      </c>
      <c r="E40" t="inlineStr">
        <is>
          <t>NORDANSTIG</t>
        </is>
      </c>
      <c r="G40" t="n">
        <v>20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14194-2024 artfynd.xlsx", "A 14194-2024")</f>
        <v/>
      </c>
      <c r="T40">
        <f>HYPERLINK("https://klasma.github.io/Logging_2132/kartor/A 14194-2024 karta.png", "A 14194-2024")</f>
        <v/>
      </c>
      <c r="V40">
        <f>HYPERLINK("https://klasma.github.io/Logging_2132/klagomål/A 14194-2024 FSC-klagomål.docx", "A 14194-2024")</f>
        <v/>
      </c>
      <c r="W40">
        <f>HYPERLINK("https://klasma.github.io/Logging_2132/klagomålsmail/A 14194-2024 FSC-klagomål mail.docx", "A 14194-2024")</f>
        <v/>
      </c>
      <c r="X40">
        <f>HYPERLINK("https://klasma.github.io/Logging_2132/tillsyn/A 14194-2024 tillsynsbegäran.docx", "A 14194-2024")</f>
        <v/>
      </c>
      <c r="Y40">
        <f>HYPERLINK("https://klasma.github.io/Logging_2132/tillsynsmail/A 14194-2024 tillsynsbegäran mail.docx", "A 14194-2024")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45513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31053-2024</t>
        </is>
      </c>
      <c r="B42" s="1" t="n">
        <v>45502</v>
      </c>
      <c r="C42" s="1" t="n">
        <v>45513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Smal svampklubba</t>
        </is>
      </c>
      <c r="S42">
        <f>HYPERLINK("https://klasma.github.io/Logging_2132/artfynd/A 31053-2024 artfynd.xlsx", "A 31053-2024")</f>
        <v/>
      </c>
      <c r="T42">
        <f>HYPERLINK("https://klasma.github.io/Logging_2132/kartor/A 31053-2024 karta.png", "A 31053-2024")</f>
        <v/>
      </c>
      <c r="V42">
        <f>HYPERLINK("https://klasma.github.io/Logging_2132/klagomål/A 31053-2024 FSC-klagomål.docx", "A 31053-2024")</f>
        <v/>
      </c>
      <c r="W42">
        <f>HYPERLINK("https://klasma.github.io/Logging_2132/klagomålsmail/A 31053-2024 FSC-klagomål mail.docx", "A 31053-2024")</f>
        <v/>
      </c>
      <c r="X42">
        <f>HYPERLINK("https://klasma.github.io/Logging_2132/tillsyn/A 31053-2024 tillsynsbegäran.docx", "A 31053-2024")</f>
        <v/>
      </c>
      <c r="Y42">
        <f>HYPERLINK("https://klasma.github.io/Logging_2132/tillsynsmail/A 31053-2024 tillsynsbegäran mail.docx", "A 31053-2024")</f>
        <v/>
      </c>
    </row>
    <row r="43" ht="15" customHeight="1">
      <c r="A43" t="inlineStr">
        <is>
          <t>A 17929-2019</t>
        </is>
      </c>
      <c r="B43" s="1" t="n">
        <v>43557</v>
      </c>
      <c r="C43" s="1" t="n">
        <v>45513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19187-2019</t>
        </is>
      </c>
      <c r="B44" s="1" t="n">
        <v>43564</v>
      </c>
      <c r="C44" s="1" t="n">
        <v>45513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20889-2019</t>
        </is>
      </c>
      <c r="B45" s="1" t="n">
        <v>43578</v>
      </c>
      <c r="C45" s="1" t="n">
        <v>45513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21796-2019</t>
        </is>
      </c>
      <c r="B46" s="1" t="n">
        <v>43581</v>
      </c>
      <c r="C46" s="1" t="n">
        <v>45513</v>
      </c>
      <c r="D46" t="inlineStr">
        <is>
          <t>GÄVLEBORGS LÄN</t>
        </is>
      </c>
      <c r="E46" t="inlineStr">
        <is>
          <t>NORDANSTIG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22162-2019</t>
        </is>
      </c>
      <c r="B47" s="1" t="n">
        <v>43585</v>
      </c>
      <c r="C47" s="1" t="n">
        <v>45513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22161-2019</t>
        </is>
      </c>
      <c r="B48" s="1" t="n">
        <v>43585</v>
      </c>
      <c r="C48" s="1" t="n">
        <v>45513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24158-2019</t>
        </is>
      </c>
      <c r="B49" s="1" t="n">
        <v>43598</v>
      </c>
      <c r="C49" s="1" t="n">
        <v>45513</v>
      </c>
      <c r="D49" t="inlineStr">
        <is>
          <t>GÄVLEBORGS LÄN</t>
        </is>
      </c>
      <c r="E49" t="inlineStr">
        <is>
          <t>NORDANSTIG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25756-2019</t>
        </is>
      </c>
      <c r="B50" s="1" t="n">
        <v>43608</v>
      </c>
      <c r="C50" s="1" t="n">
        <v>45513</v>
      </c>
      <c r="D50" t="inlineStr">
        <is>
          <t>GÄVLEBORGS LÄN</t>
        </is>
      </c>
      <c r="E50" t="inlineStr">
        <is>
          <t>NORDANSTIG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25928-2019</t>
        </is>
      </c>
      <c r="B51" s="1" t="n">
        <v>43608</v>
      </c>
      <c r="C51" s="1" t="n">
        <v>45513</v>
      </c>
      <c r="D51" t="inlineStr">
        <is>
          <t>GÄVLEBORGS LÄN</t>
        </is>
      </c>
      <c r="E51" t="inlineStr">
        <is>
          <t>NORDANSTIG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26013-2019</t>
        </is>
      </c>
      <c r="B52" s="1" t="n">
        <v>43608</v>
      </c>
      <c r="C52" s="1" t="n">
        <v>45513</v>
      </c>
      <c r="D52" t="inlineStr">
        <is>
          <t>GÄVLEBORGS LÄN</t>
        </is>
      </c>
      <c r="E52" t="inlineStr">
        <is>
          <t>NORDANSTIG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27176-2019</t>
        </is>
      </c>
      <c r="B53" s="1" t="n">
        <v>43614</v>
      </c>
      <c r="C53" s="1" t="n">
        <v>45513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27455-2019</t>
        </is>
      </c>
      <c r="B54" s="1" t="n">
        <v>43618</v>
      </c>
      <c r="C54" s="1" t="n">
        <v>45513</v>
      </c>
      <c r="D54" t="inlineStr">
        <is>
          <t>GÄVLEBORGS LÄN</t>
        </is>
      </c>
      <c r="E54" t="inlineStr">
        <is>
          <t>NORDANSTIG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27456-2019</t>
        </is>
      </c>
      <c r="B55" s="1" t="n">
        <v>43618</v>
      </c>
      <c r="C55" s="1" t="n">
        <v>45513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27457-2019</t>
        </is>
      </c>
      <c r="B56" s="1" t="n">
        <v>43618</v>
      </c>
      <c r="C56" s="1" t="n">
        <v>45513</v>
      </c>
      <c r="D56" t="inlineStr">
        <is>
          <t>GÄVLEBORGS LÄN</t>
        </is>
      </c>
      <c r="E56" t="inlineStr">
        <is>
          <t>NORDANSTIG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27453-2019</t>
        </is>
      </c>
      <c r="B57" s="1" t="n">
        <v>43618</v>
      </c>
      <c r="C57" s="1" t="n">
        <v>45513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29453-2019</t>
        </is>
      </c>
      <c r="B58" s="1" t="n">
        <v>43626</v>
      </c>
      <c r="C58" s="1" t="n">
        <v>45513</v>
      </c>
      <c r="D58" t="inlineStr">
        <is>
          <t>GÄVLEBORGS LÄN</t>
        </is>
      </c>
      <c r="E58" t="inlineStr">
        <is>
          <t>NORDANSTIG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31776-2019</t>
        </is>
      </c>
      <c r="B59" s="1" t="n">
        <v>43626</v>
      </c>
      <c r="C59" s="1" t="n">
        <v>45513</v>
      </c>
      <c r="D59" t="inlineStr">
        <is>
          <t>GÄVLEBORGS LÄN</t>
        </is>
      </c>
      <c r="E59" t="inlineStr">
        <is>
          <t>NORDANSTIG</t>
        </is>
      </c>
      <c r="G59" t="n">
        <v>90.09999999999999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30256-2019</t>
        </is>
      </c>
      <c r="B60" s="1" t="n">
        <v>43634</v>
      </c>
      <c r="C60" s="1" t="n">
        <v>45513</v>
      </c>
      <c r="D60" t="inlineStr">
        <is>
          <t>GÄVLEBORGS LÄN</t>
        </is>
      </c>
      <c r="E60" t="inlineStr">
        <is>
          <t>NORDANSTIG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30607-2019</t>
        </is>
      </c>
      <c r="B61" s="1" t="n">
        <v>43635</v>
      </c>
      <c r="C61" s="1" t="n">
        <v>45513</v>
      </c>
      <c r="D61" t="inlineStr">
        <is>
          <t>GÄVLEBORGS LÄN</t>
        </is>
      </c>
      <c r="E61" t="inlineStr">
        <is>
          <t>NORDANSTIG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31934-2019</t>
        </is>
      </c>
      <c r="B62" s="1" t="n">
        <v>43642</v>
      </c>
      <c r="C62" s="1" t="n">
        <v>45513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32092-2019</t>
        </is>
      </c>
      <c r="B63" s="1" t="n">
        <v>43643</v>
      </c>
      <c r="C63" s="1" t="n">
        <v>45513</v>
      </c>
      <c r="D63" t="inlineStr">
        <is>
          <t>GÄVLEBORGS LÄN</t>
        </is>
      </c>
      <c r="E63" t="inlineStr">
        <is>
          <t>NORDANSTIG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32551-2019</t>
        </is>
      </c>
      <c r="B64" s="1" t="n">
        <v>43647</v>
      </c>
      <c r="C64" s="1" t="n">
        <v>45513</v>
      </c>
      <c r="D64" t="inlineStr">
        <is>
          <t>GÄVLEBORGS LÄN</t>
        </is>
      </c>
      <c r="E64" t="inlineStr">
        <is>
          <t>NORDANSTIG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32880-2019</t>
        </is>
      </c>
      <c r="B65" s="1" t="n">
        <v>43648</v>
      </c>
      <c r="C65" s="1" t="n">
        <v>45513</v>
      </c>
      <c r="D65" t="inlineStr">
        <is>
          <t>GÄVLEBORGS LÄN</t>
        </is>
      </c>
      <c r="E65" t="inlineStr">
        <is>
          <t>NORDANSTIG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32912-2019</t>
        </is>
      </c>
      <c r="B66" s="1" t="n">
        <v>43648</v>
      </c>
      <c r="C66" s="1" t="n">
        <v>45513</v>
      </c>
      <c r="D66" t="inlineStr">
        <is>
          <t>GÄVLEBORGS LÄN</t>
        </is>
      </c>
      <c r="E66" t="inlineStr">
        <is>
          <t>NORDANSTIG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38945-2019</t>
        </is>
      </c>
      <c r="B67" s="1" t="n">
        <v>43689</v>
      </c>
      <c r="C67" s="1" t="n">
        <v>45513</v>
      </c>
      <c r="D67" t="inlineStr">
        <is>
          <t>GÄVLEBORGS LÄN</t>
        </is>
      </c>
      <c r="E67" t="inlineStr">
        <is>
          <t>NORDANSTIG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38978-2019</t>
        </is>
      </c>
      <c r="B68" s="1" t="n">
        <v>43689</v>
      </c>
      <c r="C68" s="1" t="n">
        <v>45513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38983-2019</t>
        </is>
      </c>
      <c r="B69" s="1" t="n">
        <v>43689</v>
      </c>
      <c r="C69" s="1" t="n">
        <v>45513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41620-2019</t>
        </is>
      </c>
      <c r="B70" s="1" t="n">
        <v>43699</v>
      </c>
      <c r="C70" s="1" t="n">
        <v>45513</v>
      </c>
      <c r="D70" t="inlineStr">
        <is>
          <t>GÄVLEBORGS LÄN</t>
        </is>
      </c>
      <c r="E70" t="inlineStr">
        <is>
          <t>NORDANSTIG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42018-2019</t>
        </is>
      </c>
      <c r="B71" s="1" t="n">
        <v>43700</v>
      </c>
      <c r="C71" s="1" t="n">
        <v>45513</v>
      </c>
      <c r="D71" t="inlineStr">
        <is>
          <t>GÄVLEBORGS LÄN</t>
        </is>
      </c>
      <c r="E71" t="inlineStr">
        <is>
          <t>NORDANSTIG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41843-2019</t>
        </is>
      </c>
      <c r="B72" s="1" t="n">
        <v>43700</v>
      </c>
      <c r="C72" s="1" t="n">
        <v>45513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42038-2019</t>
        </is>
      </c>
      <c r="B73" s="1" t="n">
        <v>43700</v>
      </c>
      <c r="C73" s="1" t="n">
        <v>45513</v>
      </c>
      <c r="D73" t="inlineStr">
        <is>
          <t>GÄVLEBORGS LÄN</t>
        </is>
      </c>
      <c r="E73" t="inlineStr">
        <is>
          <t>NORDANSTIG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42026-2019</t>
        </is>
      </c>
      <c r="B74" s="1" t="n">
        <v>43700</v>
      </c>
      <c r="C74" s="1" t="n">
        <v>45513</v>
      </c>
      <c r="D74" t="inlineStr">
        <is>
          <t>GÄVLEBORGS LÄN</t>
        </is>
      </c>
      <c r="E74" t="inlineStr">
        <is>
          <t>NORDANSTIG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42987-2019</t>
        </is>
      </c>
      <c r="B75" s="1" t="n">
        <v>43705</v>
      </c>
      <c r="C75" s="1" t="n">
        <v>45513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44897-2019</t>
        </is>
      </c>
      <c r="B76" s="1" t="n">
        <v>43713</v>
      </c>
      <c r="C76" s="1" t="n">
        <v>45513</v>
      </c>
      <c r="D76" t="inlineStr">
        <is>
          <t>GÄVLEBORGS LÄN</t>
        </is>
      </c>
      <c r="E76" t="inlineStr">
        <is>
          <t>NORDANSTIG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45419-2019</t>
        </is>
      </c>
      <c r="B77" s="1" t="n">
        <v>43714</v>
      </c>
      <c r="C77" s="1" t="n">
        <v>45513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45749-2019</t>
        </is>
      </c>
      <c r="B78" s="1" t="n">
        <v>43717</v>
      </c>
      <c r="C78" s="1" t="n">
        <v>45513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46294-2019</t>
        </is>
      </c>
      <c r="B79" s="1" t="n">
        <v>43718</v>
      </c>
      <c r="C79" s="1" t="n">
        <v>45513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48019-2019</t>
        </is>
      </c>
      <c r="B80" s="1" t="n">
        <v>43725</v>
      </c>
      <c r="C80" s="1" t="n">
        <v>45513</v>
      </c>
      <c r="D80" t="inlineStr">
        <is>
          <t>GÄVLEBORGS LÄN</t>
        </is>
      </c>
      <c r="E80" t="inlineStr">
        <is>
          <t>NORDANSTIG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47907-2019</t>
        </is>
      </c>
      <c r="B81" s="1" t="n">
        <v>43725</v>
      </c>
      <c r="C81" s="1" t="n">
        <v>45513</v>
      </c>
      <c r="D81" t="inlineStr">
        <is>
          <t>GÄVLEBORGS LÄN</t>
        </is>
      </c>
      <c r="E81" t="inlineStr">
        <is>
          <t>NORDANSTIG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48139-2019</t>
        </is>
      </c>
      <c r="B82" s="1" t="n">
        <v>43725</v>
      </c>
      <c r="C82" s="1" t="n">
        <v>45513</v>
      </c>
      <c r="D82" t="inlineStr">
        <is>
          <t>GÄVLEBORGS LÄN</t>
        </is>
      </c>
      <c r="E82" t="inlineStr">
        <is>
          <t>NORDANSTIG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50150-2019</t>
        </is>
      </c>
      <c r="B83" s="1" t="n">
        <v>43734</v>
      </c>
      <c r="C83" s="1" t="n">
        <v>45513</v>
      </c>
      <c r="D83" t="inlineStr">
        <is>
          <t>GÄVLEBORGS LÄN</t>
        </is>
      </c>
      <c r="E83" t="inlineStr">
        <is>
          <t>NORDANSTIG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51904-2019</t>
        </is>
      </c>
      <c r="B84" s="1" t="n">
        <v>43741</v>
      </c>
      <c r="C84" s="1" t="n">
        <v>45513</v>
      </c>
      <c r="D84" t="inlineStr">
        <is>
          <t>GÄVLEBORGS LÄN</t>
        </is>
      </c>
      <c r="E84" t="inlineStr">
        <is>
          <t>NORDANSTIG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52795-2019</t>
        </is>
      </c>
      <c r="B85" s="1" t="n">
        <v>43746</v>
      </c>
      <c r="C85" s="1" t="n">
        <v>45513</v>
      </c>
      <c r="D85" t="inlineStr">
        <is>
          <t>GÄVLEBORGS LÄN</t>
        </is>
      </c>
      <c r="E85" t="inlineStr">
        <is>
          <t>NORDANSTIG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53361-2019</t>
        </is>
      </c>
      <c r="B86" s="1" t="n">
        <v>43748</v>
      </c>
      <c r="C86" s="1" t="n">
        <v>45513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53198-2019</t>
        </is>
      </c>
      <c r="B87" s="1" t="n">
        <v>43748</v>
      </c>
      <c r="C87" s="1" t="n">
        <v>45513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54670-2019</t>
        </is>
      </c>
      <c r="B88" s="1" t="n">
        <v>43754</v>
      </c>
      <c r="C88" s="1" t="n">
        <v>45513</v>
      </c>
      <c r="D88" t="inlineStr">
        <is>
          <t>GÄVLEBORGS LÄN</t>
        </is>
      </c>
      <c r="E88" t="inlineStr">
        <is>
          <t>NORDANSTIG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56151-2019</t>
        </is>
      </c>
      <c r="B89" s="1" t="n">
        <v>43761</v>
      </c>
      <c r="C89" s="1" t="n">
        <v>45513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57348-2019</t>
        </is>
      </c>
      <c r="B90" s="1" t="n">
        <v>43767</v>
      </c>
      <c r="C90" s="1" t="n">
        <v>45513</v>
      </c>
      <c r="D90" t="inlineStr">
        <is>
          <t>GÄVLEBORGS LÄN</t>
        </is>
      </c>
      <c r="E90" t="inlineStr">
        <is>
          <t>NORDANSTIG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58424-2019</t>
        </is>
      </c>
      <c r="B91" s="1" t="n">
        <v>43773</v>
      </c>
      <c r="C91" s="1" t="n">
        <v>45513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59090-2019</t>
        </is>
      </c>
      <c r="B92" s="1" t="n">
        <v>43774</v>
      </c>
      <c r="C92" s="1" t="n">
        <v>45513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59808-2019</t>
        </is>
      </c>
      <c r="B93" s="1" t="n">
        <v>43775</v>
      </c>
      <c r="C93" s="1" t="n">
        <v>45513</v>
      </c>
      <c r="D93" t="inlineStr">
        <is>
          <t>GÄVLEBORGS LÄN</t>
        </is>
      </c>
      <c r="E93" t="inlineStr">
        <is>
          <t>NORDANSTIG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60499-2019</t>
        </is>
      </c>
      <c r="B94" s="1" t="n">
        <v>43780</v>
      </c>
      <c r="C94" s="1" t="n">
        <v>45513</v>
      </c>
      <c r="D94" t="inlineStr">
        <is>
          <t>GÄVLEBORGS LÄN</t>
        </is>
      </c>
      <c r="E94" t="inlineStr">
        <is>
          <t>NORDANSTIG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62388-2019</t>
        </is>
      </c>
      <c r="B95" s="1" t="n">
        <v>43788</v>
      </c>
      <c r="C95" s="1" t="n">
        <v>45513</v>
      </c>
      <c r="D95" t="inlineStr">
        <is>
          <t>GÄVLEBORGS LÄN</t>
        </is>
      </c>
      <c r="E95" t="inlineStr">
        <is>
          <t>NORDANSTIG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62934-2019</t>
        </is>
      </c>
      <c r="B96" s="1" t="n">
        <v>43790</v>
      </c>
      <c r="C96" s="1" t="n">
        <v>45513</v>
      </c>
      <c r="D96" t="inlineStr">
        <is>
          <t>GÄVLEBORGS LÄN</t>
        </is>
      </c>
      <c r="E96" t="inlineStr">
        <is>
          <t>NORDANSTIG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63009-2019</t>
        </is>
      </c>
      <c r="B97" s="1" t="n">
        <v>43790</v>
      </c>
      <c r="C97" s="1" t="n">
        <v>45513</v>
      </c>
      <c r="D97" t="inlineStr">
        <is>
          <t>GÄVLEBORGS LÄN</t>
        </is>
      </c>
      <c r="E97" t="inlineStr">
        <is>
          <t>NORDANSTIG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63269-2019</t>
        </is>
      </c>
      <c r="B98" s="1" t="n">
        <v>43793</v>
      </c>
      <c r="C98" s="1" t="n">
        <v>45513</v>
      </c>
      <c r="D98" t="inlineStr">
        <is>
          <t>GÄVLEBORGS LÄN</t>
        </is>
      </c>
      <c r="E98" t="inlineStr">
        <is>
          <t>NORDANSTIG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65428-2019</t>
        </is>
      </c>
      <c r="B99" s="1" t="n">
        <v>43798</v>
      </c>
      <c r="C99" s="1" t="n">
        <v>45513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64822-2019</t>
        </is>
      </c>
      <c r="B100" s="1" t="n">
        <v>43801</v>
      </c>
      <c r="C100" s="1" t="n">
        <v>45513</v>
      </c>
      <c r="D100" t="inlineStr">
        <is>
          <t>GÄVLEBORGS LÄN</t>
        </is>
      </c>
      <c r="E100" t="inlineStr">
        <is>
          <t>NORDANSTIG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67302-2019</t>
        </is>
      </c>
      <c r="B101" s="1" t="n">
        <v>43812</v>
      </c>
      <c r="C101" s="1" t="n">
        <v>45513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67816-2019</t>
        </is>
      </c>
      <c r="B102" s="1" t="n">
        <v>43815</v>
      </c>
      <c r="C102" s="1" t="n">
        <v>45513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67916-2019</t>
        </is>
      </c>
      <c r="B103" s="1" t="n">
        <v>43816</v>
      </c>
      <c r="C103" s="1" t="n">
        <v>45513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67871-2019</t>
        </is>
      </c>
      <c r="B104" s="1" t="n">
        <v>43816</v>
      </c>
      <c r="C104" s="1" t="n">
        <v>45513</v>
      </c>
      <c r="D104" t="inlineStr">
        <is>
          <t>GÄVLEBORGS LÄN</t>
        </is>
      </c>
      <c r="E104" t="inlineStr">
        <is>
          <t>NORDANSTIG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68915-2019</t>
        </is>
      </c>
      <c r="B105" s="1" t="n">
        <v>43822</v>
      </c>
      <c r="C105" s="1" t="n">
        <v>45513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223-2020</t>
        </is>
      </c>
      <c r="B106" s="1" t="n">
        <v>43833</v>
      </c>
      <c r="C106" s="1" t="n">
        <v>45513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533-2020</t>
        </is>
      </c>
      <c r="B107" s="1" t="n">
        <v>43837</v>
      </c>
      <c r="C107" s="1" t="n">
        <v>45513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Naturvårdsverket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1122-2020</t>
        </is>
      </c>
      <c r="B108" s="1" t="n">
        <v>43840</v>
      </c>
      <c r="C108" s="1" t="n">
        <v>45513</v>
      </c>
      <c r="D108" t="inlineStr">
        <is>
          <t>GÄVLEBORGS LÄN</t>
        </is>
      </c>
      <c r="E108" t="inlineStr">
        <is>
          <t>NORDANSTIG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2645-2020</t>
        </is>
      </c>
      <c r="B109" s="1" t="n">
        <v>43847</v>
      </c>
      <c r="C109" s="1" t="n">
        <v>45513</v>
      </c>
      <c r="D109" t="inlineStr">
        <is>
          <t>GÄVLEBORGS LÄN</t>
        </is>
      </c>
      <c r="E109" t="inlineStr">
        <is>
          <t>NORDANSTIG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2615-2020</t>
        </is>
      </c>
      <c r="B110" s="1" t="n">
        <v>43847</v>
      </c>
      <c r="C110" s="1" t="n">
        <v>45513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2689-2020</t>
        </is>
      </c>
      <c r="B111" s="1" t="n">
        <v>43850</v>
      </c>
      <c r="C111" s="1" t="n">
        <v>45513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4225-2020</t>
        </is>
      </c>
      <c r="B112" s="1" t="n">
        <v>43857</v>
      </c>
      <c r="C112" s="1" t="n">
        <v>45513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9081-2020</t>
        </is>
      </c>
      <c r="B113" s="1" t="n">
        <v>43879</v>
      </c>
      <c r="C113" s="1" t="n">
        <v>45513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10604-2020</t>
        </is>
      </c>
      <c r="B114" s="1" t="n">
        <v>43887</v>
      </c>
      <c r="C114" s="1" t="n">
        <v>45513</v>
      </c>
      <c r="D114" t="inlineStr">
        <is>
          <t>GÄVLEBORGS LÄN</t>
        </is>
      </c>
      <c r="E114" t="inlineStr">
        <is>
          <t>NORDANSTIG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12793-2020</t>
        </is>
      </c>
      <c r="B115" s="1" t="n">
        <v>43899</v>
      </c>
      <c r="C115" s="1" t="n">
        <v>45513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17128-2020</t>
        </is>
      </c>
      <c r="B116" s="1" t="n">
        <v>43922</v>
      </c>
      <c r="C116" s="1" t="n">
        <v>45513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17319-2020</t>
        </is>
      </c>
      <c r="B117" s="1" t="n">
        <v>43922</v>
      </c>
      <c r="C117" s="1" t="n">
        <v>45513</v>
      </c>
      <c r="D117" t="inlineStr">
        <is>
          <t>GÄVLEBORGS LÄN</t>
        </is>
      </c>
      <c r="E117" t="inlineStr">
        <is>
          <t>NORDANSTIG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17996-2020</t>
        </is>
      </c>
      <c r="B118" s="1" t="n">
        <v>43926</v>
      </c>
      <c r="C118" s="1" t="n">
        <v>45513</v>
      </c>
      <c r="D118" t="inlineStr">
        <is>
          <t>GÄVLEBORGS LÄN</t>
        </is>
      </c>
      <c r="E118" t="inlineStr">
        <is>
          <t>NORDANSTIG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17994-2020</t>
        </is>
      </c>
      <c r="B119" s="1" t="n">
        <v>43926</v>
      </c>
      <c r="C119" s="1" t="n">
        <v>45513</v>
      </c>
      <c r="D119" t="inlineStr">
        <is>
          <t>GÄVLEBORGS LÄN</t>
        </is>
      </c>
      <c r="E119" t="inlineStr">
        <is>
          <t>NORDANSTIG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17993-2020</t>
        </is>
      </c>
      <c r="B120" s="1" t="n">
        <v>43926</v>
      </c>
      <c r="C120" s="1" t="n">
        <v>45513</v>
      </c>
      <c r="D120" t="inlineStr">
        <is>
          <t>GÄVLEBORGS LÄN</t>
        </is>
      </c>
      <c r="E120" t="inlineStr">
        <is>
          <t>NORDANSTIG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17995-2020</t>
        </is>
      </c>
      <c r="B121" s="1" t="n">
        <v>43926</v>
      </c>
      <c r="C121" s="1" t="n">
        <v>45513</v>
      </c>
      <c r="D121" t="inlineStr">
        <is>
          <t>GÄVLEBORGS LÄN</t>
        </is>
      </c>
      <c r="E121" t="inlineStr">
        <is>
          <t>NORDANSTIG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18117-2020</t>
        </is>
      </c>
      <c r="B122" s="1" t="n">
        <v>43927</v>
      </c>
      <c r="C122" s="1" t="n">
        <v>45513</v>
      </c>
      <c r="D122" t="inlineStr">
        <is>
          <t>GÄVLEBORGS LÄN</t>
        </is>
      </c>
      <c r="E122" t="inlineStr">
        <is>
          <t>NORDANSTIG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18301-2020</t>
        </is>
      </c>
      <c r="B123" s="1" t="n">
        <v>43928</v>
      </c>
      <c r="C123" s="1" t="n">
        <v>45513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18762-2020</t>
        </is>
      </c>
      <c r="B124" s="1" t="n">
        <v>43930</v>
      </c>
      <c r="C124" s="1" t="n">
        <v>45513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18712-2020</t>
        </is>
      </c>
      <c r="B125" s="1" t="n">
        <v>43930</v>
      </c>
      <c r="C125" s="1" t="n">
        <v>45513</v>
      </c>
      <c r="D125" t="inlineStr">
        <is>
          <t>GÄVLEBORGS LÄN</t>
        </is>
      </c>
      <c r="E125" t="inlineStr">
        <is>
          <t>NORDANSTIG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18766-2020</t>
        </is>
      </c>
      <c r="B126" s="1" t="n">
        <v>43930</v>
      </c>
      <c r="C126" s="1" t="n">
        <v>45513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19847-2020</t>
        </is>
      </c>
      <c r="B127" s="1" t="n">
        <v>43942</v>
      </c>
      <c r="C127" s="1" t="n">
        <v>45513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20043-2020</t>
        </is>
      </c>
      <c r="B128" s="1" t="n">
        <v>43943</v>
      </c>
      <c r="C128" s="1" t="n">
        <v>45513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20065-2020</t>
        </is>
      </c>
      <c r="B129" s="1" t="n">
        <v>43943</v>
      </c>
      <c r="C129" s="1" t="n">
        <v>45513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20364-2020</t>
        </is>
      </c>
      <c r="B130" s="1" t="n">
        <v>43945</v>
      </c>
      <c r="C130" s="1" t="n">
        <v>45513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20385-2020</t>
        </is>
      </c>
      <c r="B131" s="1" t="n">
        <v>43945</v>
      </c>
      <c r="C131" s="1" t="n">
        <v>45513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21188-2020</t>
        </is>
      </c>
      <c r="B132" s="1" t="n">
        <v>43951</v>
      </c>
      <c r="C132" s="1" t="n">
        <v>45513</v>
      </c>
      <c r="D132" t="inlineStr">
        <is>
          <t>GÄVLEBORGS LÄN</t>
        </is>
      </c>
      <c r="E132" t="inlineStr">
        <is>
          <t>NORDANSTIG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21137-2020</t>
        </is>
      </c>
      <c r="B133" s="1" t="n">
        <v>43951</v>
      </c>
      <c r="C133" s="1" t="n">
        <v>45513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21424-2020</t>
        </is>
      </c>
      <c r="B134" s="1" t="n">
        <v>43955</v>
      </c>
      <c r="C134" s="1" t="n">
        <v>45513</v>
      </c>
      <c r="D134" t="inlineStr">
        <is>
          <t>GÄVLEBORGS LÄN</t>
        </is>
      </c>
      <c r="E134" t="inlineStr">
        <is>
          <t>NORDANSTIG</t>
        </is>
      </c>
      <c r="G134" t="n">
        <v>34.4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21422-2020</t>
        </is>
      </c>
      <c r="B135" s="1" t="n">
        <v>43955</v>
      </c>
      <c r="C135" s="1" t="n">
        <v>45513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21556-2020</t>
        </is>
      </c>
      <c r="B136" s="1" t="n">
        <v>43956</v>
      </c>
      <c r="C136" s="1" t="n">
        <v>45513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21549-2020</t>
        </is>
      </c>
      <c r="B137" s="1" t="n">
        <v>43956</v>
      </c>
      <c r="C137" s="1" t="n">
        <v>45513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21899-2020</t>
        </is>
      </c>
      <c r="B138" s="1" t="n">
        <v>43958</v>
      </c>
      <c r="C138" s="1" t="n">
        <v>45513</v>
      </c>
      <c r="D138" t="inlineStr">
        <is>
          <t>GÄVLEBORGS LÄN</t>
        </is>
      </c>
      <c r="E138" t="inlineStr">
        <is>
          <t>NORDANSTIG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22074-2020</t>
        </is>
      </c>
      <c r="B139" s="1" t="n">
        <v>43959</v>
      </c>
      <c r="C139" s="1" t="n">
        <v>45513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22403-2020</t>
        </is>
      </c>
      <c r="B140" s="1" t="n">
        <v>43962</v>
      </c>
      <c r="C140" s="1" t="n">
        <v>45513</v>
      </c>
      <c r="D140" t="inlineStr">
        <is>
          <t>GÄVLEBORGS LÄN</t>
        </is>
      </c>
      <c r="E140" t="inlineStr">
        <is>
          <t>NORDANSTIG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23237-2020</t>
        </is>
      </c>
      <c r="B141" s="1" t="n">
        <v>43966</v>
      </c>
      <c r="C141" s="1" t="n">
        <v>45513</v>
      </c>
      <c r="D141" t="inlineStr">
        <is>
          <t>GÄVLEBORGS LÄN</t>
        </is>
      </c>
      <c r="E141" t="inlineStr">
        <is>
          <t>NORDANSTIG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23618-2020</t>
        </is>
      </c>
      <c r="B142" s="1" t="n">
        <v>43969</v>
      </c>
      <c r="C142" s="1" t="n">
        <v>45513</v>
      </c>
      <c r="D142" t="inlineStr">
        <is>
          <t>GÄVLEBORGS LÄN</t>
        </is>
      </c>
      <c r="E142" t="inlineStr">
        <is>
          <t>NORDANSTIG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45513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45513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45513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45513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45513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45513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45513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45513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45513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45513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45513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45513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45513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45513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45513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45513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45513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45513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45513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45513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45513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45513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45513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45513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45513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45513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45513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45513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45513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45513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45513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45513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45513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45513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45513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45513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45513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45513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45513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45513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45513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45513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45513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45513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45513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45513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45513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45513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45513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45513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45513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45513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45513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45513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45513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45513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45513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45513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45513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45513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45513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45513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45513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45513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45513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45513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45513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45513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45513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45513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45513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45513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45513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45513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45513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45513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45513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45513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45513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45513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45513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45513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45513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45513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45513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45513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45513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45513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45513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45513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45513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45513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45513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45513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45513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45513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45513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45513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45513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45513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45513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45513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45513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45513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45513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45513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45513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45513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45513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45513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45513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45513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45513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45513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45513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45513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45513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45513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45513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45513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45513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45513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45513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45513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45513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45513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45513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45513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45513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45513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45513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45513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45513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45513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45513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45513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45513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45513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45513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45513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45513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45513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45513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45513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45513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45513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45513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45513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45513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45513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45513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45513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45513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45513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45513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45513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45513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45513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45513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45513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45513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45513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45513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45513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45513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45513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45513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45513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45513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45513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45513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45513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45513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45513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45513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45513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45513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45513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45513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45513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45513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45513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45513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45513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45513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45513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45513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45513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45513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45513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45513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45513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45513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45513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45513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45513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45513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45513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45513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45513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45513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45513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45513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45513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45513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45513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45513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45513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45513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45513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45513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45513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45513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45513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45513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45513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45513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45513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45513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45513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45513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45513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45513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45513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45513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45513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45513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45513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45513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45513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45513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45513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45513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45513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45513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45513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45513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45513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45513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45513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45513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45513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45513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45513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45513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45513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45513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45513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45513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45513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45513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45513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45513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45513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45513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45513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45513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45513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45513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45513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45513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45513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45513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45513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45513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45513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45513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45513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45513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45513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45513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45513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45513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45513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45513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45513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45513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45513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45513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45513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45513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45513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45513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45513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45513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45513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45513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45513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45513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45513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45513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45513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45513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45513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45513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45513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45513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45513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45513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45513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45513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45513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45513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45513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45513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45513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45513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45513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45513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45513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45513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45513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45513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45513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45513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45513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45513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45513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45513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45513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45513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45513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45513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45513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45513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45513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45513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45513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45513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45513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45513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45513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45513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45513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45513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45513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45513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45513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45513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45513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45513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45513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45513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45513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45513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45513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45513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45513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45513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45513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45513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45513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45513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45513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45513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45513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45513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45513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45513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45513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45513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45513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45513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45513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45513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45513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45513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45513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45513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45513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45513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45513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45513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45513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45513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45513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45513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45513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45513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45513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45513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45513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45513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45513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45513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45513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45513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45513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45513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45513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45513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45513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45513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45513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45513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45513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45513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45513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45513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45513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45513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45513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45513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45513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45513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45513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45513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45513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45513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45513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45513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45513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45513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45513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45513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45513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45513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45513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45513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45513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45513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45513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45513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45513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45513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45513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45513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45513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45513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45513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45513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45513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45513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45513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45513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45513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45513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45513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45513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45513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45513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45513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45513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45513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45513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45513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45513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45513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45513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45513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45513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45513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45513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45513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45513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45513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45513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45513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45513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45513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45513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45513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45513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45513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45513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45513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45513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45513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45513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45513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45513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45513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45513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45513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45513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45513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45513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45513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45513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45513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45513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45513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45513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45513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45513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45513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45513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45513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45513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45513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45513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45513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45513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45513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45513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45513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45513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45513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45513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45513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45513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45513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45513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45513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45513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45513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45513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45513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45513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45513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45513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45513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45513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45513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45513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45513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45513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45513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45513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45513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45513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45513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45513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45513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45513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45513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45513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45513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45513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45513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45513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45513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45513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45513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45513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45513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45513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45513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45513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45513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45513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45513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45513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45513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45513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45513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45513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45513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45513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45513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45513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45513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45513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45513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45513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45513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45513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45513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45513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45513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45513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45513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45513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45513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45513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45513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45513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45513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45513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45513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45513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45513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45513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45513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45513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45513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45513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45513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45513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45513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45513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45513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45513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45513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45513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45513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45513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45513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45513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45513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45513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45513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45513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45513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45513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45513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45513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45513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45513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45513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45513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45513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45513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45513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45513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45513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45513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45513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45513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45513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45513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45513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45513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45513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45513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45513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45513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45513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45513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45513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45513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45513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45513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45513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45513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45513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45513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45513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45513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45513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45513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45513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45513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45513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45513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45513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45513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45513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45513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45513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45513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45513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45513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45513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45513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45513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45513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45513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45513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45513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45513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45513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45513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45513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45513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45513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45513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45513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45513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45513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45513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45513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45513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45513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45513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45513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45513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45513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45513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45513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45513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45513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45513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45513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45513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45513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45513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45513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45513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45513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45513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45513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45513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45513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45513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45513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45513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45513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45513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45513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45513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45513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45513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45513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45513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45513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45513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45513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45513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45513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45513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45513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45513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45513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45513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45513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45513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45513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45513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45513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45513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45513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45513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45513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45513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45513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45513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45513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45513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45513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45513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45513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45513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45513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45513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45513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45513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45513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45513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45513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45513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45513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45513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45513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45513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45513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45513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45513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45513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45513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45513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45513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45513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45513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45513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45513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45513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45513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45513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45513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45513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45513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45513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45513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45513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45513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45513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45513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45513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45513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45513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45513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45513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45513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45513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45513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45513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45513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45513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45513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45513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45513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45513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45513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45513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45513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45513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45513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45513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45513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45513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45513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45513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45513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45513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45513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45513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45513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45513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45513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45513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45513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45513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45513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45513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45513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45513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45513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45513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45513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45513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45513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45513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45513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45513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45513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45513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45513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45513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45513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45513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45513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45513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45513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45513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45513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45513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45513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45513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45513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45513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45513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45513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45513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45513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45513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45513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45513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45513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45513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45513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45513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45513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45513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45513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45513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45513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45513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45513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45513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45513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45513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45513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45513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45513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45513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45513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45513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45513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45513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45513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45513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45513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45513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45513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45513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45513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45513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45513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45513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45513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45513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45513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45513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45513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45513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45513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45513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45513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45513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45513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45513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45513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45513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45513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45513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45513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45513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45513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45513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45513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45513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45513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45513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45513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45513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45513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45513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45513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45513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45513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45513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45513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45513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45513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45513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45513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45513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45513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45513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45513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45513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45513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45513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45513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45513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45513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45513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45513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45513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45513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45513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45513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45513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45513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45513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45513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45513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45513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45513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45513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45513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45513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45513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45513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45513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45513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45513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45513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45513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45513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45513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45513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45513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45513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45513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45513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45513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45513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45513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45513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45513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45513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45513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45513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45513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45513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45513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45513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45513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45513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45513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45513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45513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45513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45513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45513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45513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45513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45513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45513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45513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45513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45513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45513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45513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45513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45513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45513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45513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45513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45513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45513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45513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45513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45513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45513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45513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45513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45513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45513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45513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45513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45513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45513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45513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45513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45513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45513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45513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45513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45513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30150-2024</t>
        </is>
      </c>
      <c r="B1135" s="1" t="n">
        <v>45489</v>
      </c>
      <c r="C1135" s="1" t="n">
        <v>45513</v>
      </c>
      <c r="D1135" t="inlineStr">
        <is>
          <t>GÄVLEBORGS LÄN</t>
        </is>
      </c>
      <c r="E1135" t="inlineStr">
        <is>
          <t>NORDANSTIG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30130-2024</t>
        </is>
      </c>
      <c r="B1136" s="1" t="n">
        <v>45489</v>
      </c>
      <c r="C1136" s="1" t="n">
        <v>45513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30078-2024</t>
        </is>
      </c>
      <c r="B1137" s="1" t="n">
        <v>45489</v>
      </c>
      <c r="C1137" s="1" t="n">
        <v>45513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30702-2024</t>
        </is>
      </c>
      <c r="B1138" s="1" t="n">
        <v>45496</v>
      </c>
      <c r="C1138" s="1" t="n">
        <v>45513</v>
      </c>
      <c r="D1138" t="inlineStr">
        <is>
          <t>GÄVLEBORGS LÄN</t>
        </is>
      </c>
      <c r="E1138" t="inlineStr">
        <is>
          <t>NORDANSTIG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45513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30703-2024</t>
        </is>
      </c>
      <c r="B1140" s="1" t="n">
        <v>45496</v>
      </c>
      <c r="C1140" s="1" t="n">
        <v>45513</v>
      </c>
      <c r="D1140" t="inlineStr">
        <is>
          <t>GÄVLEBORGS LÄN</t>
        </is>
      </c>
      <c r="E1140" t="inlineStr">
        <is>
          <t>NORDANSTIG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30717-2024</t>
        </is>
      </c>
      <c r="B1141" s="1" t="n">
        <v>45496</v>
      </c>
      <c r="C1141" s="1" t="n">
        <v>45513</v>
      </c>
      <c r="D1141" t="inlineStr">
        <is>
          <t>GÄVLEBORGS LÄN</t>
        </is>
      </c>
      <c r="E1141" t="inlineStr">
        <is>
          <t>NORDANSTIG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30704-2024</t>
        </is>
      </c>
      <c r="B1142" s="1" t="n">
        <v>45496</v>
      </c>
      <c r="C1142" s="1" t="n">
        <v>45513</v>
      </c>
      <c r="D1142" t="inlineStr">
        <is>
          <t>GÄVLEBORGS LÄN</t>
        </is>
      </c>
      <c r="E1142" t="inlineStr">
        <is>
          <t>NORDANSTIG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45513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45513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45513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45513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30948-2024</t>
        </is>
      </c>
      <c r="B1147" s="1" t="n">
        <v>45499</v>
      </c>
      <c r="C1147" s="1" t="n">
        <v>45513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30969-2024</t>
        </is>
      </c>
      <c r="B1148" s="1" t="n">
        <v>45499</v>
      </c>
      <c r="C1148" s="1" t="n">
        <v>45513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30974-2024</t>
        </is>
      </c>
      <c r="B1149" s="1" t="n">
        <v>45499</v>
      </c>
      <c r="C1149" s="1" t="n">
        <v>45513</v>
      </c>
      <c r="D1149" t="inlineStr">
        <is>
          <t>GÄVLEBORGS LÄN</t>
        </is>
      </c>
      <c r="E1149" t="inlineStr">
        <is>
          <t>NORDANSTIG</t>
        </is>
      </c>
      <c r="G1149" t="n">
        <v>16.4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30978-2024</t>
        </is>
      </c>
      <c r="B1150" s="1" t="n">
        <v>45499</v>
      </c>
      <c r="C1150" s="1" t="n">
        <v>45513</v>
      </c>
      <c r="D1150" t="inlineStr">
        <is>
          <t>GÄVLEBORGS LÄN</t>
        </is>
      </c>
      <c r="E1150" t="inlineStr">
        <is>
          <t>NORDANSTIG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30976-2024</t>
        </is>
      </c>
      <c r="B1151" s="1" t="n">
        <v>45499</v>
      </c>
      <c r="C1151" s="1" t="n">
        <v>45513</v>
      </c>
      <c r="D1151" t="inlineStr">
        <is>
          <t>GÄVLEBORGS LÄN</t>
        </is>
      </c>
      <c r="E1151" t="inlineStr">
        <is>
          <t>NORDANSTIG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30980-2024</t>
        </is>
      </c>
      <c r="B1152" s="1" t="n">
        <v>45499</v>
      </c>
      <c r="C1152" s="1" t="n">
        <v>45513</v>
      </c>
      <c r="D1152" t="inlineStr">
        <is>
          <t>GÄVLEBORGS LÄN</t>
        </is>
      </c>
      <c r="E1152" t="inlineStr">
        <is>
          <t>NORDANSTIG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30975-2024</t>
        </is>
      </c>
      <c r="B1153" s="1" t="n">
        <v>45499</v>
      </c>
      <c r="C1153" s="1" t="n">
        <v>45513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31002-2024</t>
        </is>
      </c>
      <c r="B1154" s="1" t="n">
        <v>45499</v>
      </c>
      <c r="C1154" s="1" t="n">
        <v>45513</v>
      </c>
      <c r="D1154" t="inlineStr">
        <is>
          <t>GÄVLEBORGS LÄN</t>
        </is>
      </c>
      <c r="E1154" t="inlineStr">
        <is>
          <t>NORDANSTIG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31064-2024</t>
        </is>
      </c>
      <c r="B1155" s="1" t="n">
        <v>45502</v>
      </c>
      <c r="C1155" s="1" t="n">
        <v>45513</v>
      </c>
      <c r="D1155" t="inlineStr">
        <is>
          <t>GÄVLEBORGS LÄN</t>
        </is>
      </c>
      <c r="E1155" t="inlineStr">
        <is>
          <t>NORDANSTIG</t>
        </is>
      </c>
      <c r="G1155" t="n">
        <v>22.1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45513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31065-2024</t>
        </is>
      </c>
      <c r="B1157" s="1" t="n">
        <v>45502</v>
      </c>
      <c r="C1157" s="1" t="n">
        <v>45513</v>
      </c>
      <c r="D1157" t="inlineStr">
        <is>
          <t>GÄVLEBORGS LÄN</t>
        </is>
      </c>
      <c r="E1157" t="inlineStr">
        <is>
          <t>NORDANSTIG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45513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31571-2024</t>
        </is>
      </c>
      <c r="B1159" s="1" t="n">
        <v>45506</v>
      </c>
      <c r="C1159" s="1" t="n">
        <v>45513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31723-2024</t>
        </is>
      </c>
      <c r="B1160" s="1" t="n">
        <v>45509</v>
      </c>
      <c r="C1160" s="1" t="n">
        <v>45513</v>
      </c>
      <c r="D1160" t="inlineStr">
        <is>
          <t>GÄVLEBORGS LÄN</t>
        </is>
      </c>
      <c r="E1160" t="inlineStr">
        <is>
          <t>NORDANSTIG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31724-2024</t>
        </is>
      </c>
      <c r="B1161" s="1" t="n">
        <v>45509</v>
      </c>
      <c r="C1161" s="1" t="n">
        <v>45513</v>
      </c>
      <c r="D1161" t="inlineStr">
        <is>
          <t>GÄVLEBORGS LÄN</t>
        </is>
      </c>
      <c r="E1161" t="inlineStr">
        <is>
          <t>NORDANSTIG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31774-2024</t>
        </is>
      </c>
      <c r="B1162" s="1" t="n">
        <v>45509</v>
      </c>
      <c r="C1162" s="1" t="n">
        <v>45513</v>
      </c>
      <c r="D1162" t="inlineStr">
        <is>
          <t>GÄVLEBORGS LÄN</t>
        </is>
      </c>
      <c r="E1162" t="inlineStr">
        <is>
          <t>NORDANSTIG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32149-2024</t>
        </is>
      </c>
      <c r="B1163" s="1" t="n">
        <v>45511</v>
      </c>
      <c r="C1163" s="1" t="n">
        <v>45513</v>
      </c>
      <c r="D1163" t="inlineStr">
        <is>
          <t>GÄVLEBORGS LÄN</t>
        </is>
      </c>
      <c r="E1163" t="inlineStr">
        <is>
          <t>NORDANSTIG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32269-2024</t>
        </is>
      </c>
      <c r="B1164" s="1" t="n">
        <v>45512</v>
      </c>
      <c r="C1164" s="1" t="n">
        <v>45513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32469-2024</t>
        </is>
      </c>
      <c r="B1165" s="1" t="n">
        <v>45513</v>
      </c>
      <c r="C1165" s="1" t="n">
        <v>45513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SCA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2024-08-09T10:47:09Z</dcterms:created>
  <dcterms:modified xmlns:dcterms="http://purl.org/dc/terms/" xmlns:xsi="http://www.w3.org/2001/XMLSchema-instance" xsi:type="dcterms:W3CDTF">2024-08-09T10:47:10Z</dcterms:modified>
</cp:coreProperties>
</file>