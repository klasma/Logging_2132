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46292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46292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46292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46292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46292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46292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46292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46292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46292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46292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46292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46292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46292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46292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46292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46292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46292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46292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46292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1708-2026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46292</v>
      </c>
      <c r="F32" t="inlineStr">
        <is>
          <t>GÄVLEBORGS LÄN</t>
        </is>
      </c>
      <c r="G32" t="inlineStr">
        <is>
          <t>NORDANSTIG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12</v>
      </c>
      <c r="U32" t="n">
        <v>0</v>
      </c>
      <c r="V32" s="2" t="inlineStr">
        <is>
          <t>Tjäder
Fläcknycklar</t>
        </is>
      </c>
      <c r="W32">
        <f>HYPERLINK("https://klasma.github.io/Logging_2132/artfynd/A 1708-2026 artfynd.xlsx", "A 1708-2026")</f>
        <v/>
      </c>
      <c r="X32">
        <f>HYPERLINK("https://klasma.github.io/Logging_2132/kartor/A 1708-2026 karta.png", "A 1708-2026")</f>
        <v/>
      </c>
      <c r="Y32">
        <f>HYPERLINK("https://klasma.github.io/Logging_2132/kartor_geotiff/A 1708-2026 georefererad karta.tif", "A 1708-2026")</f>
        <v/>
      </c>
      <c r="AA32">
        <f>HYPERLINK("https://klasma.github.io/Logging_2132/klagomål/A 1708-2026 FSC-klagomål.docx", "A 1708-2026")</f>
        <v/>
      </c>
      <c r="AB32">
        <f>HYPERLINK("https://klasma.github.io/Logging_2132/klagomålsmail/A 1708-2026 FSC-klagomål mail.docx", "A 1708-2026")</f>
        <v/>
      </c>
      <c r="AC32">
        <f>HYPERLINK("https://klasma.github.io/Logging_2132/tillsyn/A 1708-2026 tillsynsbegäran.docx", "A 1708-2026")</f>
        <v/>
      </c>
      <c r="AD32">
        <f>HYPERLINK("https://klasma.github.io/Logging_2132/tillsynsmail/A 1708-2026 tillsynsbegäran mail.docx", "A 1708-2026")</f>
        <v/>
      </c>
      <c r="AE32">
        <f>HYPERLINK("https://klasma.github.io/Logging_2132/fåglar/A 1708-2026 prioriterade fågelarter.docx", "A 1708-2026")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46292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46292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46292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46292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62767-2022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44884</v>
      </c>
      <c r="E37" s="1" t="n">
        <v>46292</v>
      </c>
      <c r="F37" t="inlineStr">
        <is>
          <t>GÄVLEBORGS LÄN</t>
        </is>
      </c>
      <c r="G37" t="inlineStr">
        <is>
          <t>NORDANSTIG</t>
        </is>
      </c>
      <c r="H37" t="inlineStr">
        <is>
          <t>SCA</t>
        </is>
      </c>
      <c r="I37" t="n">
        <v>13.3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26</v>
      </c>
      <c r="U37" t="n">
        <v>1</v>
      </c>
      <c r="V37" s="2" t="inlineStr">
        <is>
          <t>Skogsknipprot
Törnskata</t>
        </is>
      </c>
      <c r="W37">
        <f>HYPERLINK("https://klasma.github.io/Logging_2132/artfynd/A 62767-2022 artfynd.xlsx", "A 62767-2022")</f>
        <v/>
      </c>
      <c r="X37">
        <f>HYPERLINK("https://klasma.github.io/Logging_2132/kartor/A 62767-2022 karta.png", "A 62767-2022")</f>
        <v/>
      </c>
      <c r="Y37">
        <f>HYPERLINK("https://klasma.github.io/Logging_2132/kartor_geotiff/A 62767-2022 georefererad karta.tif", "A 62767-2022")</f>
        <v/>
      </c>
      <c r="AA37">
        <f>HYPERLINK("https://klasma.github.io/Logging_2132/klagomål/A 62767-2022 FSC-klagomål.docx", "A 62767-2022")</f>
        <v/>
      </c>
      <c r="AB37">
        <f>HYPERLINK("https://klasma.github.io/Logging_2132/klagomålsmail/A 62767-2022 FSC-klagomål mail.docx", "A 62767-2022")</f>
        <v/>
      </c>
      <c r="AC37">
        <f>HYPERLINK("https://klasma.github.io/Logging_2132/tillsyn/A 62767-2022 tillsynsbegäran.docx", "A 62767-2022")</f>
        <v/>
      </c>
      <c r="AD37">
        <f>HYPERLINK("https://klasma.github.io/Logging_2132/tillsynsmail/A 62767-2022 tillsynsbegäran mail.docx", "A 62767-2022")</f>
        <v/>
      </c>
      <c r="AE37">
        <f>HYPERLINK("https://klasma.github.io/Logging_2132/fåglar/A 62767-2022 prioriterade fågelarter.docx", "A 62767-2022")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46292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17006-2026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46114</v>
      </c>
      <c r="E39" s="1" t="n">
        <v>46292</v>
      </c>
      <c r="F39" t="inlineStr">
        <is>
          <t>GÄVLEBORGS LÄN</t>
        </is>
      </c>
      <c r="G39" t="inlineStr">
        <is>
          <t>NORDANSTIG</t>
        </is>
      </c>
      <c r="I39" t="n">
        <v>3.1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13</v>
      </c>
      <c r="U39" t="n">
        <v>0</v>
      </c>
      <c r="V39" s="2" t="inlineStr">
        <is>
          <t>Tjäder
Fläcknycklar</t>
        </is>
      </c>
      <c r="W39">
        <f>HYPERLINK("https://klasma.github.io/Logging_2132/artfynd/A 17006-2026 artfynd.xlsx", "A 17006-2026")</f>
        <v/>
      </c>
      <c r="X39">
        <f>HYPERLINK("https://klasma.github.io/Logging_2132/kartor/A 17006-2026 karta.png", "A 17006-2026")</f>
        <v/>
      </c>
      <c r="Y39">
        <f>HYPERLINK("https://klasma.github.io/Logging_2132/kartor_geotiff/A 17006-2026 georefererad karta.tif", "A 17006-2026")</f>
        <v/>
      </c>
      <c r="AA39">
        <f>HYPERLINK("https://klasma.github.io/Logging_2132/klagomål/A 17006-2026 FSC-klagomål.docx", "A 17006-2026")</f>
        <v/>
      </c>
      <c r="AB39">
        <f>HYPERLINK("https://klasma.github.io/Logging_2132/klagomålsmail/A 17006-2026 FSC-klagomål mail.docx", "A 17006-2026")</f>
        <v/>
      </c>
      <c r="AC39">
        <f>HYPERLINK("https://klasma.github.io/Logging_2132/tillsyn/A 17006-2026 tillsynsbegäran.docx", "A 17006-2026")</f>
        <v/>
      </c>
      <c r="AD39">
        <f>HYPERLINK("https://klasma.github.io/Logging_2132/tillsynsmail/A 17006-2026 tillsynsbegäran mail.docx", "A 17006-2026")</f>
        <v/>
      </c>
      <c r="AE39">
        <f>HYPERLINK("https://klasma.github.io/Logging_2132/fåglar/A 17006-2026 prioriterade fågelarter.docx", "A 17006-2026")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46292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46292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46292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46292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46292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32946-2026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46292</v>
      </c>
      <c r="F45" t="inlineStr">
        <is>
          <t>GÄVLEBORGS LÄN</t>
        </is>
      </c>
      <c r="G45" t="inlineStr">
        <is>
          <t>NORDANSTIG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Tibast</t>
        </is>
      </c>
      <c r="W45">
        <f>HYPERLINK("https://klasma.github.io/Logging_2132/artfynd/A 32946-2026 artfynd.xlsx", "A 32946-2026")</f>
        <v/>
      </c>
      <c r="X45">
        <f>HYPERLINK("https://klasma.github.io/Logging_2132/kartor/A 32946-2026 karta.png", "A 32946-2026")</f>
        <v/>
      </c>
      <c r="Y45">
        <f>HYPERLINK("https://klasma.github.io/Logging_2132/kartor_geotiff/A 32946-2026 georefererad karta.tif", "A 32946-2026")</f>
        <v/>
      </c>
      <c r="AA45">
        <f>HYPERLINK("https://klasma.github.io/Logging_2132/klagomål/A 32946-2026 FSC-klagomål.docx", "A 32946-2026")</f>
        <v/>
      </c>
      <c r="AB45">
        <f>HYPERLINK("https://klasma.github.io/Logging_2132/klagomålsmail/A 32946-2026 FSC-klagomål mail.docx", "A 32946-2026")</f>
        <v/>
      </c>
      <c r="AC45">
        <f>HYPERLINK("https://klasma.github.io/Logging_2132/tillsyn/A 32946-2026 tillsynsbegäran.docx", "A 32946-2026")</f>
        <v/>
      </c>
      <c r="AD45">
        <f>HYPERLINK("https://klasma.github.io/Logging_2132/tillsynsmail/A 32946-2026 tillsynsbegäran mail.docx", "A 32946-2026")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46292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46292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46292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24758-2025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46292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24758-2025 artfynd.xlsx", "A 24758-2025")</f>
        <v/>
      </c>
      <c r="X54">
        <f>HYPERLINK("https://klasma.github.io/Logging_2132/kartor/A 24758-2025 karta.png", "A 24758-2025")</f>
        <v/>
      </c>
      <c r="Y54">
        <f>HYPERLINK("https://klasma.github.io/Logging_2132/kartor_geotiff/A 24758-2025 georefererad karta.tif", "A 24758-2025")</f>
        <v/>
      </c>
      <c r="Z54">
        <f>HYPERLINK("https://klasma.github.io/Logging_2132/knärot/A 24758-2025 karta knärot.png", "A 24758-2025")</f>
        <v/>
      </c>
      <c r="AA54">
        <f>HYPERLINK("https://klasma.github.io/Logging_2132/klagomål/A 24758-2025 FSC-klagomål.docx", "A 24758-2025")</f>
        <v/>
      </c>
      <c r="AB54">
        <f>HYPERLINK("https://klasma.github.io/Logging_2132/klagomålsmail/A 24758-2025 FSC-klagomål mail.docx", "A 24758-2025")</f>
        <v/>
      </c>
      <c r="AC54">
        <f>HYPERLINK("https://klasma.github.io/Logging_2132/tillsyn/A 24758-2025 tillsynsbegäran.docx", "A 24758-2025")</f>
        <v/>
      </c>
      <c r="AD54">
        <f>HYPERLINK("https://klasma.github.io/Logging_2132/tillsynsmail/A 24758-2025 tillsynsbegäran mail.docx", "A 24758-2025")</f>
        <v/>
      </c>
    </row>
    <row r="55" ht="15" customHeight="1">
      <c r="A55" t="inlineStr">
        <is>
          <t>A 16515-2023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45029</v>
      </c>
      <c r="E55" s="1" t="n">
        <v>46292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HYPERLINK("https://klasma.github.io/Logging_2132/artfynd/A 16515-2023 artfynd.xlsx", "A 16515-2023")</f>
        <v/>
      </c>
      <c r="X55">
        <f>HYPERLINK("https://klasma.github.io/Logging_2132/kartor/A 16515-2023 karta.png", "A 16515-2023")</f>
        <v/>
      </c>
      <c r="Y55">
        <f>HYPERLINK("https://klasma.github.io/Logging_2132/kartor_geotiff/A 16515-2023 georefererad karta.tif", "A 16515-2023")</f>
        <v/>
      </c>
      <c r="AA55">
        <f>HYPERLINK("https://klasma.github.io/Logging_2132/klagomål/A 16515-2023 FSC-klagomål.docx", "A 16515-2023")</f>
        <v/>
      </c>
      <c r="AB55">
        <f>HYPERLINK("https://klasma.github.io/Logging_2132/klagomålsmail/A 16515-2023 FSC-klagomål mail.docx", "A 16515-2023")</f>
        <v/>
      </c>
      <c r="AC55">
        <f>HYPERLINK("https://klasma.github.io/Logging_2132/tillsyn/A 16515-2023 tillsynsbegäran.docx", "A 16515-2023")</f>
        <v/>
      </c>
      <c r="AD55">
        <f>HYPERLINK("https://klasma.github.io/Logging_2132/tillsynsmail/A 16515-2023 tillsynsbegäran mail.docx", "A 16515-2023")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46292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46292</v>
      </c>
      <c r="F57" t="inlineStr">
        <is>
          <t>GÄVLEBORGS LÄN</t>
        </is>
      </c>
      <c r="G57" t="inlineStr">
        <is>
          <t>NORDANSTIG</t>
        </is>
      </c>
      <c r="I57" t="n">
        <v>4.4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HYPERLINK("https://klasma.github.io/Logging_2132/artfynd/A 16809-2022 artfynd.xlsx", "A 16809-2022")</f>
        <v/>
      </c>
      <c r="X57">
        <f>HYPERLINK("https://klasma.github.io/Logging_2132/kartor/A 16809-2022 karta.png", "A 16809-2022")</f>
        <v/>
      </c>
      <c r="Y57">
        <f>HYPERLINK("https://klasma.github.io/Logging_2132/kartor_geotiff/A 16809-2022 georefererad karta.tif", "A 16809-2022")</f>
        <v/>
      </c>
      <c r="AA57">
        <f>HYPERLINK("https://klasma.github.io/Logging_2132/klagomål/A 16809-2022 FSC-klagomål.docx", "A 16809-2022")</f>
        <v/>
      </c>
      <c r="AB57">
        <f>HYPERLINK("https://klasma.github.io/Logging_2132/klagomålsmail/A 16809-2022 FSC-klagomål mail.docx", "A 16809-2022")</f>
        <v/>
      </c>
      <c r="AC57">
        <f>HYPERLINK("https://klasma.github.io/Logging_2132/tillsyn/A 16809-2022 tillsynsbegäran.docx", "A 16809-2022")</f>
        <v/>
      </c>
      <c r="AD57">
        <f>HYPERLINK("https://klasma.github.io/Logging_2132/tillsynsmail/A 16809-2022 tillsynsbegäran mail.docx", "A 16809-2022")</f>
        <v/>
      </c>
    </row>
    <row r="58" ht="15" customHeight="1">
      <c r="A58" t="inlineStr">
        <is>
          <t>A 47605-2025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46292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1</v>
      </c>
      <c r="V58" s="2" t="inlineStr">
        <is>
          <t>Tjäder</t>
        </is>
      </c>
      <c r="W58">
        <f>HYPERLINK("https://klasma.github.io/Logging_2132/artfynd/A 47605-2025 artfynd.xlsx", "A 47605-2025")</f>
        <v/>
      </c>
      <c r="X58">
        <f>HYPERLINK("https://klasma.github.io/Logging_2132/kartor/A 47605-2025 karta.png", "A 47605-2025")</f>
        <v/>
      </c>
      <c r="Y58">
        <f>HYPERLINK("https://klasma.github.io/Logging_2132/kartor_geotiff/A 47605-2025 georefererad karta.tif", "A 47605-2025")</f>
        <v/>
      </c>
      <c r="AA58">
        <f>HYPERLINK("https://klasma.github.io/Logging_2132/klagomål/A 47605-2025 FSC-klagomål.docx", "A 47605-2025")</f>
        <v/>
      </c>
      <c r="AB58">
        <f>HYPERLINK("https://klasma.github.io/Logging_2132/klagomålsmail/A 47605-2025 FSC-klagomål mail.docx", "A 47605-2025")</f>
        <v/>
      </c>
      <c r="AC58">
        <f>HYPERLINK("https://klasma.github.io/Logging_2132/tillsyn/A 47605-2025 tillsynsbegäran.docx", "A 47605-2025")</f>
        <v/>
      </c>
      <c r="AD58">
        <f>HYPERLINK("https://klasma.github.io/Logging_2132/tillsynsmail/A 47605-2025 tillsynsbegäran mail.docx", "A 47605-2025")</f>
        <v/>
      </c>
      <c r="AE58">
        <f>HYPERLINK("https://klasma.github.io/Logging_2132/fåglar/A 47605-2025 prioriterade fågelarter.docx", "A 47605-2025")</f>
        <v/>
      </c>
    </row>
    <row r="59" ht="15" customHeight="1">
      <c r="A59" t="inlineStr">
        <is>
          <t>A 22041-2022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46292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6.2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Svavelriska</t>
        </is>
      </c>
      <c r="W59">
        <f>HYPERLINK("https://klasma.github.io/Logging_2132/artfynd/A 22041-2022 artfynd.xlsx", "A 22041-2022")</f>
        <v/>
      </c>
      <c r="X59">
        <f>HYPERLINK("https://klasma.github.io/Logging_2132/kartor/A 22041-2022 karta.png", "A 22041-2022")</f>
        <v/>
      </c>
      <c r="Y59">
        <f>HYPERLINK("https://klasma.github.io/Logging_2132/kartor_geotiff/A 22041-2022 georefererad karta.tif", "A 22041-2022")</f>
        <v/>
      </c>
      <c r="AA59">
        <f>HYPERLINK("https://klasma.github.io/Logging_2132/klagomål/A 22041-2022 FSC-klagomål.docx", "A 22041-2022")</f>
        <v/>
      </c>
      <c r="AB59">
        <f>HYPERLINK("https://klasma.github.io/Logging_2132/klagomålsmail/A 22041-2022 FSC-klagomål mail.docx", "A 22041-2022")</f>
        <v/>
      </c>
      <c r="AC59">
        <f>HYPERLINK("https://klasma.github.io/Logging_2132/tillsyn/A 22041-2022 tillsynsbegäran.docx", "A 22041-2022")</f>
        <v/>
      </c>
      <c r="AD59">
        <f>HYPERLINK("https://klasma.github.io/Logging_2132/tillsynsmail/A 22041-2022 tillsynsbegäran mail.docx", "A 22041-2022")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46292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57186-2025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46292</v>
      </c>
      <c r="F61" t="inlineStr">
        <is>
          <t>GÄVLEBORGS LÄN</t>
        </is>
      </c>
      <c r="G61" t="inlineStr">
        <is>
          <t>NORDANSTIG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Stjärnstarr</t>
        </is>
      </c>
      <c r="W61">
        <f>HYPERLINK("https://klasma.github.io/Logging_2132/artfynd/A 57186-2025 artfynd.xlsx", "A 57186-2025")</f>
        <v/>
      </c>
      <c r="X61">
        <f>HYPERLINK("https://klasma.github.io/Logging_2132/kartor/A 57186-2025 karta.png", "A 57186-2025")</f>
        <v/>
      </c>
      <c r="Y61">
        <f>HYPERLINK("https://klasma.github.io/Logging_2132/kartor_geotiff/A 57186-2025 georefererad karta.tif", "A 57186-2025")</f>
        <v/>
      </c>
      <c r="AA61">
        <f>HYPERLINK("https://klasma.github.io/Logging_2132/klagomål/A 57186-2025 FSC-klagomål.docx", "A 57186-2025")</f>
        <v/>
      </c>
      <c r="AB61">
        <f>HYPERLINK("https://klasma.github.io/Logging_2132/klagomålsmail/A 57186-2025 FSC-klagomål mail.docx", "A 57186-2025")</f>
        <v/>
      </c>
      <c r="AC61">
        <f>HYPERLINK("https://klasma.github.io/Logging_2132/tillsyn/A 57186-2025 tillsynsbegäran.docx", "A 57186-2025")</f>
        <v/>
      </c>
      <c r="AD61">
        <f>HYPERLINK("https://klasma.github.io/Logging_2132/tillsynsmail/A 57186-2025 tillsynsbegäran mail.docx", "A 57186-2025")</f>
        <v/>
      </c>
    </row>
    <row r="62" ht="15" customHeight="1">
      <c r="A62" t="inlineStr">
        <is>
          <t>A 60371-2025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45995</v>
      </c>
      <c r="E62" s="1" t="n">
        <v>46292</v>
      </c>
      <c r="F62" t="inlineStr">
        <is>
          <t>GÄVLEBORGS LÄN</t>
        </is>
      </c>
      <c r="G62" t="inlineStr">
        <is>
          <t>NORDANSTIG</t>
        </is>
      </c>
      <c r="I62" t="n">
        <v>3.5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Nattviol</t>
        </is>
      </c>
      <c r="W62">
        <f>HYPERLINK("https://klasma.github.io/Logging_2132/artfynd/A 60371-2025 artfynd.xlsx", "A 60371-2025")</f>
        <v/>
      </c>
      <c r="X62">
        <f>HYPERLINK("https://klasma.github.io/Logging_2132/kartor/A 60371-2025 karta.png", "A 60371-2025")</f>
        <v/>
      </c>
      <c r="Y62">
        <f>HYPERLINK("https://klasma.github.io/Logging_2132/kartor_geotiff/A 60371-2025 georefererad karta.tif", "A 60371-2025")</f>
        <v/>
      </c>
      <c r="AA62">
        <f>HYPERLINK("https://klasma.github.io/Logging_2132/klagomål/A 60371-2025 FSC-klagomål.docx", "A 60371-2025")</f>
        <v/>
      </c>
      <c r="AB62">
        <f>HYPERLINK("https://klasma.github.io/Logging_2132/klagomålsmail/A 60371-2025 FSC-klagomål mail.docx", "A 60371-2025")</f>
        <v/>
      </c>
      <c r="AC62">
        <f>HYPERLINK("https://klasma.github.io/Logging_2132/tillsyn/A 60371-2025 tillsynsbegäran.docx", "A 60371-2025")</f>
        <v/>
      </c>
      <c r="AD62">
        <f>HYPERLINK("https://klasma.github.io/Logging_2132/tillsynsmail/A 60371-2025 tillsynsbegäran mail.docx", "A 60371-2025")</f>
        <v/>
      </c>
    </row>
    <row r="63" ht="15" customHeight="1">
      <c r="A63" t="inlineStr">
        <is>
          <t>A 20441-2023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45056</v>
      </c>
      <c r="E63" s="1" t="n">
        <v>46292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Orre</t>
        </is>
      </c>
      <c r="W63">
        <f>HYPERLINK("https://klasma.github.io/Logging_2132/artfynd/A 20441-2023 artfynd.xlsx", "A 20441-2023")</f>
        <v/>
      </c>
      <c r="X63">
        <f>HYPERLINK("https://klasma.github.io/Logging_2132/kartor/A 20441-2023 karta.png", "A 20441-2023")</f>
        <v/>
      </c>
      <c r="Y63">
        <f>HYPERLINK("https://klasma.github.io/Logging_2132/kartor_geotiff/A 20441-2023 georefererad karta.tif", "A 20441-2023")</f>
        <v/>
      </c>
      <c r="AA63">
        <f>HYPERLINK("https://klasma.github.io/Logging_2132/klagomål/A 20441-2023 FSC-klagomål.docx", "A 20441-2023")</f>
        <v/>
      </c>
      <c r="AB63">
        <f>HYPERLINK("https://klasma.github.io/Logging_2132/klagomålsmail/A 20441-2023 FSC-klagomål mail.docx", "A 20441-2023")</f>
        <v/>
      </c>
      <c r="AC63">
        <f>HYPERLINK("https://klasma.github.io/Logging_2132/tillsyn/A 20441-2023 tillsynsbegäran.docx", "A 20441-2023")</f>
        <v/>
      </c>
      <c r="AD63">
        <f>HYPERLINK("https://klasma.github.io/Logging_2132/tillsynsmail/A 20441-2023 tillsynsbegäran mail.docx", "A 20441-2023")</f>
        <v/>
      </c>
      <c r="AE63">
        <f>HYPERLINK("https://klasma.github.io/Logging_2132/fåglar/A 20441-2023 prioriterade fågelarter.docx", "A 20441-2023")</f>
        <v/>
      </c>
    </row>
    <row r="64" ht="15" customHeight="1">
      <c r="A64" t="inlineStr">
        <is>
          <t>A 20566-2025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45775</v>
      </c>
      <c r="E64" s="1" t="n">
        <v>46292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HYPERLINK("https://klasma.github.io/Logging_2132/artfynd/A 20566-2025 artfynd.xlsx", "A 20566-2025")</f>
        <v/>
      </c>
      <c r="X64">
        <f>HYPERLINK("https://klasma.github.io/Logging_2132/kartor/A 20566-2025 karta.png", "A 20566-2025")</f>
        <v/>
      </c>
      <c r="Y64">
        <f>HYPERLINK("https://klasma.github.io/Logging_2132/kartor_geotiff/A 20566-2025 georefererad karta.tif", "A 20566-2025")</f>
        <v/>
      </c>
      <c r="AA64">
        <f>HYPERLINK("https://klasma.github.io/Logging_2132/klagomål/A 20566-2025 FSC-klagomål.docx", "A 20566-2025")</f>
        <v/>
      </c>
      <c r="AB64">
        <f>HYPERLINK("https://klasma.github.io/Logging_2132/klagomålsmail/A 20566-2025 FSC-klagomål mail.docx", "A 20566-2025")</f>
        <v/>
      </c>
      <c r="AC64">
        <f>HYPERLINK("https://klasma.github.io/Logging_2132/tillsyn/A 20566-2025 tillsynsbegäran.docx", "A 20566-2025")</f>
        <v/>
      </c>
      <c r="AD64">
        <f>HYPERLINK("https://klasma.github.io/Logging_2132/tillsynsmail/A 20566-2025 tillsynsbegäran mail.docx", "A 20566-2025")</f>
        <v/>
      </c>
    </row>
    <row r="65" ht="15" customHeight="1">
      <c r="A65" t="inlineStr">
        <is>
          <t>A 13089-2025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45734</v>
      </c>
      <c r="E65" s="1" t="n">
        <v>46292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5.5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Tjäder</t>
        </is>
      </c>
      <c r="W65">
        <f>HYPERLINK("https://klasma.github.io/Logging_2132/artfynd/A 13089-2025 artfynd.xlsx", "A 13089-2025")</f>
        <v/>
      </c>
      <c r="X65">
        <f>HYPERLINK("https://klasma.github.io/Logging_2132/kartor/A 13089-2025 karta.png", "A 13089-2025")</f>
        <v/>
      </c>
      <c r="Y65">
        <f>HYPERLINK("https://klasma.github.io/Logging_2132/kartor_geotiff/A 13089-2025 georefererad karta.tif", "A 13089-2025")</f>
        <v/>
      </c>
      <c r="AA65">
        <f>HYPERLINK("https://klasma.github.io/Logging_2132/klagomål/A 13089-2025 FSC-klagomål.docx", "A 13089-2025")</f>
        <v/>
      </c>
      <c r="AB65">
        <f>HYPERLINK("https://klasma.github.io/Logging_2132/klagomålsmail/A 13089-2025 FSC-klagomål mail.docx", "A 13089-2025")</f>
        <v/>
      </c>
      <c r="AC65">
        <f>HYPERLINK("https://klasma.github.io/Logging_2132/tillsyn/A 13089-2025 tillsynsbegäran.docx", "A 13089-2025")</f>
        <v/>
      </c>
      <c r="AD65">
        <f>HYPERLINK("https://klasma.github.io/Logging_2132/tillsynsmail/A 13089-2025 tillsynsbegäran mail.docx", "A 13089-2025")</f>
        <v/>
      </c>
      <c r="AE65">
        <f>HYPERLINK("https://klasma.github.io/Logging_2132/fåglar/A 13089-2025 prioriterade fågelarter.docx", "A 13089-2025")</f>
        <v/>
      </c>
    </row>
    <row r="66" ht="15" customHeight="1">
      <c r="A66" t="inlineStr">
        <is>
          <t>A 31845-2025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46292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Skinnlav</t>
        </is>
      </c>
      <c r="W66">
        <f>HYPERLINK("https://klasma.github.io/Logging_2132/artfynd/A 31845-2025 artfynd.xlsx", "A 31845-2025")</f>
        <v/>
      </c>
      <c r="X66">
        <f>HYPERLINK("https://klasma.github.io/Logging_2132/kartor/A 31845-2025 karta.png", "A 31845-2025")</f>
        <v/>
      </c>
      <c r="Y66">
        <f>HYPERLINK("https://klasma.github.io/Logging_2132/kartor_geotiff/A 31845-2025 georefererad karta.tif", "A 31845-2025")</f>
        <v/>
      </c>
      <c r="AA66">
        <f>HYPERLINK("https://klasma.github.io/Logging_2132/klagomål/A 31845-2025 FSC-klagomål.docx", "A 31845-2025")</f>
        <v/>
      </c>
      <c r="AB66">
        <f>HYPERLINK("https://klasma.github.io/Logging_2132/klagomålsmail/A 31845-2025 FSC-klagomål mail.docx", "A 31845-2025")</f>
        <v/>
      </c>
      <c r="AC66">
        <f>HYPERLINK("https://klasma.github.io/Logging_2132/tillsyn/A 31845-2025 tillsynsbegäran.docx", "A 31845-2025")</f>
        <v/>
      </c>
      <c r="AD66">
        <f>HYPERLINK("https://klasma.github.io/Logging_2132/tillsynsmail/A 31845-2025 tillsynsbegäran mail.docx", "A 31845-2025")</f>
        <v/>
      </c>
    </row>
    <row r="67" ht="15" customHeight="1">
      <c r="A67" t="inlineStr">
        <is>
          <t>A 11895-2026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46292</v>
      </c>
      <c r="F67" t="inlineStr">
        <is>
          <t>GÄVLEBORGS LÄN</t>
        </is>
      </c>
      <c r="G67" t="inlineStr">
        <is>
          <t>NORDANSTIG</t>
        </is>
      </c>
      <c r="I67" t="n">
        <v>21.2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Sötgräs</t>
        </is>
      </c>
      <c r="W67">
        <f>HYPERLINK("https://klasma.github.io/Logging_2132/artfynd/A 11895-2026 artfynd.xlsx", "A 11895-2026")</f>
        <v/>
      </c>
      <c r="X67">
        <f>HYPERLINK("https://klasma.github.io/Logging_2132/kartor/A 11895-2026 karta.png", "A 11895-2026")</f>
        <v/>
      </c>
      <c r="Y67">
        <f>HYPERLINK("https://klasma.github.io/Logging_2132/kartor_geotiff/A 11895-2026 georefererad karta.tif", "A 11895-2026")</f>
        <v/>
      </c>
      <c r="AA67">
        <f>HYPERLINK("https://klasma.github.io/Logging_2132/klagomål/A 11895-2026 FSC-klagomål.docx", "A 11895-2026")</f>
        <v/>
      </c>
      <c r="AB67">
        <f>HYPERLINK("https://klasma.github.io/Logging_2132/klagomålsmail/A 11895-2026 FSC-klagomål mail.docx", "A 11895-2026")</f>
        <v/>
      </c>
      <c r="AC67">
        <f>HYPERLINK("https://klasma.github.io/Logging_2132/tillsyn/A 11895-2026 tillsynsbegäran.docx", "A 11895-2026")</f>
        <v/>
      </c>
      <c r="AD67">
        <f>HYPERLINK("https://klasma.github.io/Logging_2132/tillsynsmail/A 11895-2026 tillsynsbegäran mail.docx", "A 11895-2026")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46292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46292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26278-2026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46292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Lavskrika</t>
        </is>
      </c>
      <c r="W70">
        <f>HYPERLINK("https://klasma.github.io/Logging_2132/artfynd/A 26278-2026 artfynd.xlsx", "A 26278-2026")</f>
        <v/>
      </c>
      <c r="X70">
        <f>HYPERLINK("https://klasma.github.io/Logging_2132/kartor/A 26278-2026 karta.png", "A 26278-2026")</f>
        <v/>
      </c>
      <c r="Y70">
        <f>HYPERLINK("https://klasma.github.io/Logging_2132/kartor_geotiff/A 26278-2026 georefererad karta.tif", "A 26278-2026")</f>
        <v/>
      </c>
      <c r="AA70">
        <f>HYPERLINK("https://klasma.github.io/Logging_2132/klagomål/A 26278-2026 FSC-klagomål.docx", "A 26278-2026")</f>
        <v/>
      </c>
      <c r="AB70">
        <f>HYPERLINK("https://klasma.github.io/Logging_2132/klagomålsmail/A 26278-2026 FSC-klagomål mail.docx", "A 26278-2026")</f>
        <v/>
      </c>
      <c r="AC70">
        <f>HYPERLINK("https://klasma.github.io/Logging_2132/tillsyn/A 26278-2026 tillsynsbegäran.docx", "A 26278-2026")</f>
        <v/>
      </c>
      <c r="AD70">
        <f>HYPERLINK("https://klasma.github.io/Logging_2132/tillsynsmail/A 26278-2026 tillsynsbegäran mail.docx", "A 26278-2026")</f>
        <v/>
      </c>
      <c r="AE70">
        <f>HYPERLINK("https://klasma.github.io/Logging_2132/fåglar/A 26278-2026 prioriterade fågelarter.docx", "A 26278-2026")</f>
        <v/>
      </c>
    </row>
    <row r="71" ht="15" customHeight="1">
      <c r="A71" t="inlineStr">
        <is>
          <t>A 57806-2024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46292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HYPERLINK("https://klasma.github.io/Logging_2132/artfynd/A 57806-2024 artfynd.xlsx", "A 57806-2024")</f>
        <v/>
      </c>
      <c r="X71">
        <f>HYPERLINK("https://klasma.github.io/Logging_2132/kartor/A 57806-2024 karta.png", "A 57806-2024")</f>
        <v/>
      </c>
      <c r="Y71">
        <f>HYPERLINK("https://klasma.github.io/Logging_2132/kartor_geotiff/A 57806-2024 georefererad karta.tif", "A 57806-2024")</f>
        <v/>
      </c>
      <c r="Z71">
        <f>HYPERLINK("https://klasma.github.io/Logging_2132/knärot/A 57806-2024 karta knärot.png", "A 57806-2024")</f>
        <v/>
      </c>
      <c r="AA71">
        <f>HYPERLINK("https://klasma.github.io/Logging_2132/klagomål/A 57806-2024 FSC-klagomål.docx", "A 57806-2024")</f>
        <v/>
      </c>
      <c r="AB71">
        <f>HYPERLINK("https://klasma.github.io/Logging_2132/klagomålsmail/A 57806-2024 FSC-klagomål mail.docx", "A 57806-2024")</f>
        <v/>
      </c>
      <c r="AC71">
        <f>HYPERLINK("https://klasma.github.io/Logging_2132/tillsyn/A 57806-2024 tillsynsbegäran.docx", "A 57806-2024")</f>
        <v/>
      </c>
      <c r="AD71">
        <f>HYPERLINK("https://klasma.github.io/Logging_2132/tillsynsmail/A 57806-2024 tillsynsbegäran mail.docx", "A 57806-2024")</f>
        <v/>
      </c>
    </row>
    <row r="72" ht="15" customHeight="1">
      <c r="A72" t="inlineStr">
        <is>
          <t>A 3692-2022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44586</v>
      </c>
      <c r="E72" s="1" t="n">
        <v>46292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HYPERLINK("https://klasma.github.io/Logging_2132/artfynd/A 3692-2022 artfynd.xlsx", "A 3692-2022")</f>
        <v/>
      </c>
      <c r="X72">
        <f>HYPERLINK("https://klasma.github.io/Logging_2132/kartor/A 3692-2022 karta.png", "A 3692-2022")</f>
        <v/>
      </c>
      <c r="Y72">
        <f>HYPERLINK("https://klasma.github.io/Logging_2132/kartor_geotiff/A 3692-2022 georefererad karta.tif", "A 3692-2022")</f>
        <v/>
      </c>
      <c r="AA72">
        <f>HYPERLINK("https://klasma.github.io/Logging_2132/klagomål/A 3692-2022 FSC-klagomål.docx", "A 3692-2022")</f>
        <v/>
      </c>
      <c r="AB72">
        <f>HYPERLINK("https://klasma.github.io/Logging_2132/klagomålsmail/A 3692-2022 FSC-klagomål mail.docx", "A 3692-2022")</f>
        <v/>
      </c>
      <c r="AC72">
        <f>HYPERLINK("https://klasma.github.io/Logging_2132/tillsyn/A 3692-2022 tillsynsbegäran.docx", "A 3692-2022")</f>
        <v/>
      </c>
      <c r="AD72">
        <f>HYPERLINK("https://klasma.github.io/Logging_2132/tillsynsmail/A 3692-2022 tillsynsbegäran mail.docx", "A 3692-2022")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46292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46292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46292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46292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46292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377-2024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45296</v>
      </c>
      <c r="E78" s="1" t="n">
        <v>46292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HYPERLINK("https://klasma.github.io/Logging_2132/artfynd/A 377-2024 artfynd.xlsx", "A 377-2024")</f>
        <v/>
      </c>
      <c r="X78">
        <f>HYPERLINK("https://klasma.github.io/Logging_2132/kartor/A 377-2024 karta.png", "A 377-2024")</f>
        <v/>
      </c>
      <c r="Y78">
        <f>HYPERLINK("https://klasma.github.io/Logging_2132/kartor_geotiff/A 377-2024 georefererad karta.tif", "A 377-2024")</f>
        <v/>
      </c>
      <c r="AA78">
        <f>HYPERLINK("https://klasma.github.io/Logging_2132/klagomål/A 377-2024 FSC-klagomål.docx", "A 377-2024")</f>
        <v/>
      </c>
      <c r="AB78">
        <f>HYPERLINK("https://klasma.github.io/Logging_2132/klagomålsmail/A 377-2024 FSC-klagomål mail.docx", "A 377-2024")</f>
        <v/>
      </c>
      <c r="AC78">
        <f>HYPERLINK("https://klasma.github.io/Logging_2132/tillsyn/A 377-2024 tillsynsbegäran.docx", "A 377-2024")</f>
        <v/>
      </c>
      <c r="AD78">
        <f>HYPERLINK("https://klasma.github.io/Logging_2132/tillsynsmail/A 377-2024 tillsynsbegäran mail.docx", "A 377-2024")</f>
        <v/>
      </c>
      <c r="AE78">
        <f>HYPERLINK("https://klasma.github.io/Logging_2132/fåglar/A 377-2024 prioriterade fågelarter.docx", "A 377-2024")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46292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46292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46292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46292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46292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46292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46292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46292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46292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46292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46292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46292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46292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46292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46292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46292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46292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46292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46292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46292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46292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46292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46292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46292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46292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46292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46292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46292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46292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46292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46292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46292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44634</v>
      </c>
      <c r="E118" s="1" t="n">
        <v>46292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72435-2021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44545</v>
      </c>
      <c r="E119" s="1" t="n">
        <v>46292</v>
      </c>
      <c r="F119" t="inlineStr">
        <is>
          <t>GÄVLEBORGS LÄN</t>
        </is>
      </c>
      <c r="G119" t="inlineStr">
        <is>
          <t>NORDANSTIG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46292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46292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46292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46292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46292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46292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46292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30779-2022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44764</v>
      </c>
      <c r="E128" s="1" t="n">
        <v>46292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46292</v>
      </c>
      <c r="F129" t="inlineStr">
        <is>
          <t>GÄVLEBORGS LÄN</t>
        </is>
      </c>
      <c r="G129" t="inlineStr">
        <is>
          <t>NORDANSTIG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46292</v>
      </c>
      <c r="F130" t="inlineStr">
        <is>
          <t>GÄVLEBORGS LÄN</t>
        </is>
      </c>
      <c r="G130" t="inlineStr">
        <is>
          <t>NORDANSTIG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46292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44728</v>
      </c>
      <c r="E132" s="1" t="n">
        <v>46292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46292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46292</v>
      </c>
      <c r="F134" t="inlineStr">
        <is>
          <t>GÄVLEBORGS LÄN</t>
        </is>
      </c>
      <c r="G134" t="inlineStr">
        <is>
          <t>NORDANSTIG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62065-2021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44502</v>
      </c>
      <c r="E135" s="1" t="n">
        <v>46292</v>
      </c>
      <c r="F135" t="inlineStr">
        <is>
          <t>GÄVLEBORGS LÄN</t>
        </is>
      </c>
      <c r="G135" t="inlineStr">
        <is>
          <t>NORDANSTIG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46292</v>
      </c>
      <c r="F136" t="inlineStr">
        <is>
          <t>GÄVLEBORGS LÄN</t>
        </is>
      </c>
      <c r="G136" t="inlineStr">
        <is>
          <t>NORDANSTIG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46292</v>
      </c>
      <c r="F137" t="inlineStr">
        <is>
          <t>GÄVLEBORGS LÄN</t>
        </is>
      </c>
      <c r="G137" t="inlineStr">
        <is>
          <t>NORDANSTIG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46292</v>
      </c>
      <c r="F138" t="inlineStr">
        <is>
          <t>GÄVLEBORGS LÄN</t>
        </is>
      </c>
      <c r="G138" t="inlineStr">
        <is>
          <t>NORDANSTIG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46292</v>
      </c>
      <c r="F139" t="inlineStr">
        <is>
          <t>GÄVLEBORGS LÄN</t>
        </is>
      </c>
      <c r="G139" t="inlineStr">
        <is>
          <t>NORDANSTIG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46292</v>
      </c>
      <c r="F140" t="inlineStr">
        <is>
          <t>GÄVLEBORGS LÄN</t>
        </is>
      </c>
      <c r="G140" t="inlineStr">
        <is>
          <t>NORDANSTIG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46292</v>
      </c>
      <c r="F141" t="inlineStr">
        <is>
          <t>GÄVLEBORGS LÄN</t>
        </is>
      </c>
      <c r="G141" t="inlineStr">
        <is>
          <t>NORDANSTIG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46292</v>
      </c>
      <c r="F142" t="inlineStr">
        <is>
          <t>GÄVLEBORGS LÄN</t>
        </is>
      </c>
      <c r="G142" t="inlineStr">
        <is>
          <t>NORDANSTIG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46292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46292</v>
      </c>
      <c r="F144" t="inlineStr">
        <is>
          <t>GÄVLEBORGS LÄN</t>
        </is>
      </c>
      <c r="G144" t="inlineStr">
        <is>
          <t>NORDANSTIG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46292</v>
      </c>
      <c r="F145" t="inlineStr">
        <is>
          <t>GÄVLEBORGS LÄN</t>
        </is>
      </c>
      <c r="G145" t="inlineStr">
        <is>
          <t>NORDANSTIG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46292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46292</v>
      </c>
      <c r="F147" t="inlineStr">
        <is>
          <t>GÄVLEBORGS LÄN</t>
        </is>
      </c>
      <c r="G147" t="inlineStr">
        <is>
          <t>NORDANSTIG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26113-2022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44734</v>
      </c>
      <c r="E148" s="1" t="n">
        <v>46292</v>
      </c>
      <c r="F148" t="inlineStr">
        <is>
          <t>GÄVLEBORGS LÄN</t>
        </is>
      </c>
      <c r="G148" t="inlineStr">
        <is>
          <t>NORDANSTIG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46292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45712</v>
      </c>
      <c r="E150" s="1" t="n">
        <v>46292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33974-2022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46292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46292</v>
      </c>
      <c r="F152" t="inlineStr">
        <is>
          <t>GÄVLEBORGS LÄN</t>
        </is>
      </c>
      <c r="G152" t="inlineStr">
        <is>
          <t>NORDANSTIG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44765</v>
      </c>
      <c r="E153" s="1" t="n">
        <v>46292</v>
      </c>
      <c r="F153" t="inlineStr">
        <is>
          <t>GÄVLEBORGS LÄN</t>
        </is>
      </c>
      <c r="G153" t="inlineStr">
        <is>
          <t>NORDANSTIG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46292</v>
      </c>
      <c r="F154" t="inlineStr">
        <is>
          <t>GÄVLEBORGS LÄN</t>
        </is>
      </c>
      <c r="G154" t="inlineStr">
        <is>
          <t>NORDANSTIG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46292</v>
      </c>
      <c r="F155" t="inlineStr">
        <is>
          <t>GÄVLEBORGS LÄN</t>
        </is>
      </c>
      <c r="G155" t="inlineStr">
        <is>
          <t>NORDANSTIG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46292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45183</v>
      </c>
      <c r="E157" s="1" t="n">
        <v>46292</v>
      </c>
      <c r="F157" t="inlineStr">
        <is>
          <t>GÄVLEBORGS LÄN</t>
        </is>
      </c>
      <c r="G157" t="inlineStr">
        <is>
          <t>NORDANSTIG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46292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45741</v>
      </c>
      <c r="E159" s="1" t="n">
        <v>46292</v>
      </c>
      <c r="F159" t="inlineStr">
        <is>
          <t>GÄVLEBORGS LÄN</t>
        </is>
      </c>
      <c r="G159" t="inlineStr">
        <is>
          <t>NORDANSTIG</t>
        </is>
      </c>
      <c r="I159" t="n">
        <v>16.7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46292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46292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SCA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46292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46292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46292</v>
      </c>
      <c r="F164" t="inlineStr">
        <is>
          <t>GÄVLEBORGS LÄN</t>
        </is>
      </c>
      <c r="G164" t="inlineStr">
        <is>
          <t>NORDANSTIG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42717-2024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45566</v>
      </c>
      <c r="E165" s="1" t="n">
        <v>46292</v>
      </c>
      <c r="F165" t="inlineStr">
        <is>
          <t>GÄVLEBORGS LÄN</t>
        </is>
      </c>
      <c r="G165" t="inlineStr">
        <is>
          <t>NORDANSTIG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45763</v>
      </c>
      <c r="E166" s="1" t="n">
        <v>46292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44945</v>
      </c>
      <c r="E167" s="1" t="n">
        <v>46292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44832</v>
      </c>
      <c r="E168" s="1" t="n">
        <v>46292</v>
      </c>
      <c r="F168" t="inlineStr">
        <is>
          <t>GÄVLEBORGS LÄN</t>
        </is>
      </c>
      <c r="G168" t="inlineStr">
        <is>
          <t>NORDANSTIG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44833</v>
      </c>
      <c r="E169" s="1" t="n">
        <v>46292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46292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73748-2021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46292</v>
      </c>
      <c r="F171" t="inlineStr">
        <is>
          <t>GÄVLEBORGS LÄN</t>
        </is>
      </c>
      <c r="G171" t="inlineStr">
        <is>
          <t>NORDANSTIG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45463</v>
      </c>
      <c r="E172" s="1" t="n">
        <v>46292</v>
      </c>
      <c r="F172" t="inlineStr">
        <is>
          <t>GÄVLEBORGS LÄN</t>
        </is>
      </c>
      <c r="G172" t="inlineStr">
        <is>
          <t>NORDANSTIG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45796</v>
      </c>
      <c r="E173" s="1" t="n">
        <v>46292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45489</v>
      </c>
      <c r="E174" s="1" t="n">
        <v>46292</v>
      </c>
      <c r="F174" t="inlineStr">
        <is>
          <t>GÄVLEBORGS LÄN</t>
        </is>
      </c>
      <c r="G174" t="inlineStr">
        <is>
          <t>NORDANSTIG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34339-2023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45139</v>
      </c>
      <c r="E175" s="1" t="n">
        <v>46292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45793</v>
      </c>
      <c r="E176" s="1" t="n">
        <v>46292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46292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37563-2025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45880</v>
      </c>
      <c r="E178" s="1" t="n">
        <v>46292</v>
      </c>
      <c r="F178" t="inlineStr">
        <is>
          <t>GÄVLEBORGS LÄN</t>
        </is>
      </c>
      <c r="G178" t="inlineStr">
        <is>
          <t>NORDANSTIG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46292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46292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46292</v>
      </c>
      <c r="F181" t="inlineStr">
        <is>
          <t>GÄVLEBORGS LÄN</t>
        </is>
      </c>
      <c r="G181" t="inlineStr">
        <is>
          <t>NORDANSTIG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46292</v>
      </c>
      <c r="F182" t="inlineStr">
        <is>
          <t>GÄVLEBORGS LÄN</t>
        </is>
      </c>
      <c r="G182" t="inlineStr">
        <is>
          <t>NORDANSTIG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46026</v>
      </c>
      <c r="E183" s="1" t="n">
        <v>46292</v>
      </c>
      <c r="F183" t="inlineStr">
        <is>
          <t>GÄVLEBORGS LÄN</t>
        </is>
      </c>
      <c r="G183" t="inlineStr">
        <is>
          <t>NORDANSTIG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45537</v>
      </c>
      <c r="E184" s="1" t="n">
        <v>46292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43523-2024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45569</v>
      </c>
      <c r="E185" s="1" t="n">
        <v>46292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46292</v>
      </c>
      <c r="F186" t="inlineStr">
        <is>
          <t>GÄVLEBORGS LÄN</t>
        </is>
      </c>
      <c r="G186" t="inlineStr">
        <is>
          <t>NORDANSTIG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46292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38610-2025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45884</v>
      </c>
      <c r="E188" s="1" t="n">
        <v>46292</v>
      </c>
      <c r="F188" t="inlineStr">
        <is>
          <t>GÄVLEBORGS LÄN</t>
        </is>
      </c>
      <c r="G188" t="inlineStr">
        <is>
          <t>NORDANSTIG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46292</v>
      </c>
      <c r="F189" t="inlineStr">
        <is>
          <t>GÄVLEBORGS LÄN</t>
        </is>
      </c>
      <c r="G189" t="inlineStr">
        <is>
          <t>NORDANSTIG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45793</v>
      </c>
      <c r="E190" s="1" t="n">
        <v>46292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24101-2025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46292</v>
      </c>
      <c r="F191" t="inlineStr">
        <is>
          <t>GÄVLEBORGS LÄN</t>
        </is>
      </c>
      <c r="G191" t="inlineStr">
        <is>
          <t>NORDANSTIG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45513</v>
      </c>
      <c r="E192" s="1" t="n">
        <v>46292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46292</v>
      </c>
      <c r="F193" t="inlineStr">
        <is>
          <t>GÄVLEBORGS LÄN</t>
        </is>
      </c>
      <c r="G193" t="inlineStr">
        <is>
          <t>NORDANSTIG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45463</v>
      </c>
      <c r="E194" s="1" t="n">
        <v>46292</v>
      </c>
      <c r="F194" t="inlineStr">
        <is>
          <t>GÄVLEBORGS LÄN</t>
        </is>
      </c>
      <c r="G194" t="inlineStr">
        <is>
          <t>NORDANSTIG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38295-2025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45883</v>
      </c>
      <c r="E195" s="1" t="n">
        <v>46292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46292</v>
      </c>
      <c r="F196" t="inlineStr">
        <is>
          <t>GÄVLEBORGS LÄN</t>
        </is>
      </c>
      <c r="G196" t="inlineStr">
        <is>
          <t>NORDANSTIG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46292</v>
      </c>
      <c r="F197" t="inlineStr">
        <is>
          <t>GÄVLEBORGS LÄN</t>
        </is>
      </c>
      <c r="G197" t="inlineStr">
        <is>
          <t>NORDANSTIG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46292</v>
      </c>
      <c r="F198" t="inlineStr">
        <is>
          <t>GÄVLEBORGS LÄN</t>
        </is>
      </c>
      <c r="G198" t="inlineStr">
        <is>
          <t>NORDANSTIG</t>
        </is>
      </c>
      <c r="I198" t="n">
        <v>15.1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45603</v>
      </c>
      <c r="E199" s="1" t="n">
        <v>46292</v>
      </c>
      <c r="F199" t="inlineStr">
        <is>
          <t>GÄVLEBORGS LÄN</t>
        </is>
      </c>
      <c r="G199" t="inlineStr">
        <is>
          <t>NORDANSTIG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46292</v>
      </c>
      <c r="F200" t="inlineStr">
        <is>
          <t>GÄVLEBORGS LÄN</t>
        </is>
      </c>
      <c r="G200" t="inlineStr">
        <is>
          <t>NORDANSTIG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46292</v>
      </c>
      <c r="F201" t="inlineStr">
        <is>
          <t>GÄVLEBORGS LÄN</t>
        </is>
      </c>
      <c r="G201" t="inlineStr">
        <is>
          <t>NORDANSTIG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46292</v>
      </c>
      <c r="F202" t="inlineStr">
        <is>
          <t>GÄVLEBORGS LÄN</t>
        </is>
      </c>
      <c r="G202" t="inlineStr">
        <is>
          <t>NORDANSTIG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45499</v>
      </c>
      <c r="E203" s="1" t="n">
        <v>46292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46292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45176</v>
      </c>
      <c r="E205" s="1" t="n">
        <v>46292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46292</v>
      </c>
      <c r="F206" t="inlineStr">
        <is>
          <t>GÄVLEBORGS LÄN</t>
        </is>
      </c>
      <c r="G206" t="inlineStr">
        <is>
          <t>NORDANSTIG</t>
        </is>
      </c>
      <c r="I206" t="n">
        <v>12.7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46292</v>
      </c>
      <c r="F207" t="inlineStr">
        <is>
          <t>GÄVLEBORGS LÄN</t>
        </is>
      </c>
      <c r="G207" t="inlineStr">
        <is>
          <t>NORDANSTIG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46035</v>
      </c>
      <c r="E208" s="1" t="n">
        <v>46292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46292</v>
      </c>
      <c r="F209" t="inlineStr">
        <is>
          <t>GÄVLEBORGS LÄN</t>
        </is>
      </c>
      <c r="G209" t="inlineStr">
        <is>
          <t>NORDANSTIG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44939</v>
      </c>
      <c r="E210" s="1" t="n">
        <v>46292</v>
      </c>
      <c r="F210" t="inlineStr">
        <is>
          <t>GÄVLEBORGS LÄN</t>
        </is>
      </c>
      <c r="G210" t="inlineStr">
        <is>
          <t>NORDANSTIG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46292</v>
      </c>
      <c r="F211" t="inlineStr">
        <is>
          <t>GÄVLEBORGS LÄN</t>
        </is>
      </c>
      <c r="G211" t="inlineStr">
        <is>
          <t>NORDANSTIG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46292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44930</v>
      </c>
      <c r="E213" s="1" t="n">
        <v>46292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46038</v>
      </c>
      <c r="E214" s="1" t="n">
        <v>46292</v>
      </c>
      <c r="F214" t="inlineStr">
        <is>
          <t>GÄVLEBORGS LÄN</t>
        </is>
      </c>
      <c r="G214" t="inlineStr">
        <is>
          <t>NORDANSTIG</t>
        </is>
      </c>
      <c r="I214" t="n">
        <v>21.1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46037</v>
      </c>
      <c r="E215" s="1" t="n">
        <v>46292</v>
      </c>
      <c r="F215" t="inlineStr">
        <is>
          <t>GÄVLEBORGS LÄN</t>
        </is>
      </c>
      <c r="G215" t="inlineStr">
        <is>
          <t>NORDANSTIG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46292</v>
      </c>
      <c r="F216" t="inlineStr">
        <is>
          <t>GÄVLEBORGS LÄN</t>
        </is>
      </c>
      <c r="G216" t="inlineStr">
        <is>
          <t>NORDANSTIG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46292</v>
      </c>
      <c r="F217" t="inlineStr">
        <is>
          <t>GÄVLEBORGS LÄN</t>
        </is>
      </c>
      <c r="G217" t="inlineStr">
        <is>
          <t>NORDANSTIG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46292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46292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16.7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46292</v>
      </c>
      <c r="F220" t="inlineStr">
        <is>
          <t>GÄVLEBORGS LÄN</t>
        </is>
      </c>
      <c r="G220" t="inlineStr">
        <is>
          <t>NORDANSTIG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46292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46292</v>
      </c>
      <c r="F222" t="inlineStr">
        <is>
          <t>GÄVLEBORGS LÄN</t>
        </is>
      </c>
      <c r="G222" t="inlineStr">
        <is>
          <t>NORDANSTIG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46292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46292</v>
      </c>
      <c r="F224" t="inlineStr">
        <is>
          <t>GÄVLEBORGS LÄN</t>
        </is>
      </c>
      <c r="G224" t="inlineStr">
        <is>
          <t>NORDANSTIG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46292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46292</v>
      </c>
      <c r="F226" t="inlineStr">
        <is>
          <t>GÄVLEBORGS LÄN</t>
        </is>
      </c>
      <c r="G226" t="inlineStr">
        <is>
          <t>NORDANSTIG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46292</v>
      </c>
      <c r="F227" t="inlineStr">
        <is>
          <t>GÄVLEBORGS LÄN</t>
        </is>
      </c>
      <c r="G227" t="inlineStr">
        <is>
          <t>NORDANSTIG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46292</v>
      </c>
      <c r="F228" t="inlineStr">
        <is>
          <t>GÄVLEBORGS LÄN</t>
        </is>
      </c>
      <c r="G228" t="inlineStr">
        <is>
          <t>NORDANSTIG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46039</v>
      </c>
      <c r="E229" s="1" t="n">
        <v>46292</v>
      </c>
      <c r="F229" t="inlineStr">
        <is>
          <t>GÄVLEBORGS LÄN</t>
        </is>
      </c>
      <c r="G229" t="inlineStr">
        <is>
          <t>NORDANSTIG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46292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46292</v>
      </c>
      <c r="F231" t="inlineStr">
        <is>
          <t>GÄVLEBORGS LÄN</t>
        </is>
      </c>
      <c r="G231" t="inlineStr">
        <is>
          <t>NORDANSTIG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46292</v>
      </c>
      <c r="F232" t="inlineStr">
        <is>
          <t>GÄVLEBORGS LÄN</t>
        </is>
      </c>
      <c r="G232" t="inlineStr">
        <is>
          <t>NORDANSTIG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46292</v>
      </c>
      <c r="F233" t="inlineStr">
        <is>
          <t>GÄVLEBORGS LÄN</t>
        </is>
      </c>
      <c r="G233" t="inlineStr">
        <is>
          <t>NORDANSTIG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46292</v>
      </c>
      <c r="F234" t="inlineStr">
        <is>
          <t>GÄVLEBORGS LÄN</t>
        </is>
      </c>
      <c r="G234" t="inlineStr">
        <is>
          <t>NORDANSTIG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46041</v>
      </c>
      <c r="E235" s="1" t="n">
        <v>46292</v>
      </c>
      <c r="F235" t="inlineStr">
        <is>
          <t>GÄVLEBORGS LÄN</t>
        </is>
      </c>
      <c r="G235" t="inlineStr">
        <is>
          <t>NORDANSTIG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46292</v>
      </c>
      <c r="F236" t="inlineStr">
        <is>
          <t>GÄVLEBORGS LÄN</t>
        </is>
      </c>
      <c r="G236" t="inlineStr">
        <is>
          <t>NORDANSTIG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46292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46292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40824-2025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46292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46292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8395-2024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45352</v>
      </c>
      <c r="E241" s="1" t="n">
        <v>46292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46292</v>
      </c>
      <c r="F242" t="inlineStr">
        <is>
          <t>GÄVLEBORGS LÄN</t>
        </is>
      </c>
      <c r="G242" t="inlineStr">
        <is>
          <t>NORDANSTIG</t>
        </is>
      </c>
      <c r="I242" t="n">
        <v>24.7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46292</v>
      </c>
      <c r="F243" t="inlineStr">
        <is>
          <t>GÄVLEBORGS LÄN</t>
        </is>
      </c>
      <c r="G243" t="inlineStr">
        <is>
          <t>NORDANSTIG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46292</v>
      </c>
      <c r="F244" t="inlineStr">
        <is>
          <t>GÄVLEBORGS LÄN</t>
        </is>
      </c>
      <c r="G244" t="inlineStr">
        <is>
          <t>NORDANSTIG</t>
        </is>
      </c>
      <c r="I244" t="n">
        <v>11.3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46292</v>
      </c>
      <c r="F245" t="inlineStr">
        <is>
          <t>GÄVLEBORGS LÄN</t>
        </is>
      </c>
      <c r="G245" t="inlineStr">
        <is>
          <t>NORDANSTIG</t>
        </is>
      </c>
      <c r="I245" t="n">
        <v>15.3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46043</v>
      </c>
      <c r="E246" s="1" t="n">
        <v>46292</v>
      </c>
      <c r="F246" t="inlineStr">
        <is>
          <t>GÄVLEBORGS LÄN</t>
        </is>
      </c>
      <c r="G246" t="inlineStr">
        <is>
          <t>NORDANSTIG</t>
        </is>
      </c>
      <c r="I246" t="n">
        <v>8.4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46043</v>
      </c>
      <c r="E247" s="1" t="n">
        <v>46292</v>
      </c>
      <c r="F247" t="inlineStr">
        <is>
          <t>GÄVLEBORGS LÄN</t>
        </is>
      </c>
      <c r="G247" t="inlineStr">
        <is>
          <t>NORDANSTIG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45042</v>
      </c>
      <c r="E248" s="1" t="n">
        <v>46292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46292</v>
      </c>
      <c r="F249" t="inlineStr">
        <is>
          <t>GÄVLEBORGS LÄN</t>
        </is>
      </c>
      <c r="G249" t="inlineStr">
        <is>
          <t>NORDANSTIG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46292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46292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46292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46044</v>
      </c>
      <c r="E253" s="1" t="n">
        <v>46292</v>
      </c>
      <c r="F253" t="inlineStr">
        <is>
          <t>GÄVLEBORGS LÄN</t>
        </is>
      </c>
      <c r="G253" t="inlineStr">
        <is>
          <t>NORDANSTIG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46043</v>
      </c>
      <c r="E254" s="1" t="n">
        <v>46292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46292</v>
      </c>
      <c r="F255" t="inlineStr">
        <is>
          <t>GÄVLEBORGS LÄN</t>
        </is>
      </c>
      <c r="G255" t="inlineStr">
        <is>
          <t>NORDANSTIG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46292</v>
      </c>
      <c r="F256" t="inlineStr">
        <is>
          <t>GÄVLEBORGS LÄN</t>
        </is>
      </c>
      <c r="G256" t="inlineStr">
        <is>
          <t>NORDANSTIG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46292</v>
      </c>
      <c r="F257" t="inlineStr">
        <is>
          <t>GÄVLEBORGS LÄN</t>
        </is>
      </c>
      <c r="G257" t="inlineStr">
        <is>
          <t>NORDANSTIG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46292</v>
      </c>
      <c r="F258" t="inlineStr">
        <is>
          <t>GÄVLEBORGS LÄN</t>
        </is>
      </c>
      <c r="G258" t="inlineStr">
        <is>
          <t>NORDANSTIG</t>
        </is>
      </c>
      <c r="I258" t="n">
        <v>15.3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46048</v>
      </c>
      <c r="E259" s="1" t="n">
        <v>46292</v>
      </c>
      <c r="F259" t="inlineStr">
        <is>
          <t>GÄVLEBORGS LÄN</t>
        </is>
      </c>
      <c r="G259" t="inlineStr">
        <is>
          <t>NORDANSTIG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46045</v>
      </c>
      <c r="E260" s="1" t="n">
        <v>46292</v>
      </c>
      <c r="F260" t="inlineStr">
        <is>
          <t>GÄVLEBORGS LÄN</t>
        </is>
      </c>
      <c r="G260" t="inlineStr">
        <is>
          <t>NORDANSTIG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36464-2024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45537</v>
      </c>
      <c r="E261" s="1" t="n">
        <v>46292</v>
      </c>
      <c r="F261" t="inlineStr">
        <is>
          <t>GÄVLEBORGS LÄN</t>
        </is>
      </c>
      <c r="G261" t="inlineStr">
        <is>
          <t>NORDANSTIG</t>
        </is>
      </c>
      <c r="H261" t="inlineStr">
        <is>
          <t>SCA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46292</v>
      </c>
      <c r="F262" t="inlineStr">
        <is>
          <t>GÄVLEBORGS LÄN</t>
        </is>
      </c>
      <c r="G262" t="inlineStr">
        <is>
          <t>NORDANSTIG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46292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30.1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46292</v>
      </c>
      <c r="F264" t="inlineStr">
        <is>
          <t>GÄVLEBORGS LÄN</t>
        </is>
      </c>
      <c r="G264" t="inlineStr">
        <is>
          <t>NORDANSTIG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8968-2026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46292</v>
      </c>
      <c r="F265" t="inlineStr">
        <is>
          <t>GÄVLEBORGS LÄN</t>
        </is>
      </c>
      <c r="G265" t="inlineStr">
        <is>
          <t>NORDANSTIG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46292</v>
      </c>
      <c r="F266" t="inlineStr">
        <is>
          <t>GÄVLEBORGS LÄN</t>
        </is>
      </c>
      <c r="G266" t="inlineStr">
        <is>
          <t>NORDANSTIG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46292</v>
      </c>
      <c r="F267" t="inlineStr">
        <is>
          <t>GÄVLEBORGS LÄN</t>
        </is>
      </c>
      <c r="G267" t="inlineStr">
        <is>
          <t>NORDANSTIG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46050</v>
      </c>
      <c r="E268" s="1" t="n">
        <v>46292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42210-2025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46292</v>
      </c>
      <c r="F269" t="inlineStr">
        <is>
          <t>GÄVLEBORGS LÄN</t>
        </is>
      </c>
      <c r="G269" t="inlineStr">
        <is>
          <t>NORDANSTIG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45566</v>
      </c>
      <c r="E270" s="1" t="n">
        <v>46292</v>
      </c>
      <c r="F270" t="inlineStr">
        <is>
          <t>GÄVLEBORGS LÄN</t>
        </is>
      </c>
      <c r="G270" t="inlineStr">
        <is>
          <t>NORDANSTIG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44599</v>
      </c>
      <c r="E271" s="1" t="n">
        <v>46292</v>
      </c>
      <c r="F271" t="inlineStr">
        <is>
          <t>GÄVLEBORGS LÄN</t>
        </is>
      </c>
      <c r="G271" t="inlineStr">
        <is>
          <t>NORDANSTIG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46292</v>
      </c>
      <c r="F272" t="inlineStr">
        <is>
          <t>GÄVLEBORGS LÄN</t>
        </is>
      </c>
      <c r="G272" t="inlineStr">
        <is>
          <t>NORDANSTIG</t>
        </is>
      </c>
      <c r="I272" t="n">
        <v>6.3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46292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46292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46292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46292</v>
      </c>
      <c r="F276" t="inlineStr">
        <is>
          <t>GÄVLEBORGS LÄN</t>
        </is>
      </c>
      <c r="G276" t="inlineStr">
        <is>
          <t>NORDANSTIG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46292</v>
      </c>
      <c r="F277" t="inlineStr">
        <is>
          <t>GÄVLEBORGS LÄN</t>
        </is>
      </c>
      <c r="G277" t="inlineStr">
        <is>
          <t>NORDANSTIG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46292</v>
      </c>
      <c r="F278" t="inlineStr">
        <is>
          <t>GÄVLEBORGS LÄN</t>
        </is>
      </c>
      <c r="G278" t="inlineStr">
        <is>
          <t>NORDANSTIG</t>
        </is>
      </c>
      <c r="I278" t="n">
        <v>10.2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46292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46292</v>
      </c>
      <c r="F280" t="inlineStr">
        <is>
          <t>GÄVLEBORGS LÄN</t>
        </is>
      </c>
      <c r="G280" t="inlineStr">
        <is>
          <t>NORDANSTIG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46292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46051</v>
      </c>
      <c r="E282" s="1" t="n">
        <v>46292</v>
      </c>
      <c r="F282" t="inlineStr">
        <is>
          <t>GÄVLEBORGS LÄN</t>
        </is>
      </c>
      <c r="G282" t="inlineStr">
        <is>
          <t>NORDANSTIG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46292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46292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25080-2025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46292</v>
      </c>
      <c r="F285" t="inlineStr">
        <is>
          <t>GÄVLEBORGS LÄN</t>
        </is>
      </c>
      <c r="G285" t="inlineStr">
        <is>
          <t>NORDANSTIG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57976-2022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46292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46292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46292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46292</v>
      </c>
      <c r="F289" t="inlineStr">
        <is>
          <t>GÄVLEBORGS LÄN</t>
        </is>
      </c>
      <c r="G289" t="inlineStr">
        <is>
          <t>NORDANSTIG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46053</v>
      </c>
      <c r="E290" s="1" t="n">
        <v>46292</v>
      </c>
      <c r="F290" t="inlineStr">
        <is>
          <t>GÄVLEBORGS LÄN</t>
        </is>
      </c>
      <c r="G290" t="inlineStr">
        <is>
          <t>NORDANSTIG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46053</v>
      </c>
      <c r="E291" s="1" t="n">
        <v>46292</v>
      </c>
      <c r="F291" t="inlineStr">
        <is>
          <t>GÄVLEBORGS LÄN</t>
        </is>
      </c>
      <c r="G291" t="inlineStr">
        <is>
          <t>NORDANSTIG</t>
        </is>
      </c>
      <c r="I291" t="n">
        <v>45.3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46292</v>
      </c>
      <c r="F292" t="inlineStr">
        <is>
          <t>GÄVLEBORGS LÄN</t>
        </is>
      </c>
      <c r="G292" t="inlineStr">
        <is>
          <t>NORDANSTIG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46292</v>
      </c>
      <c r="F293" t="inlineStr">
        <is>
          <t>GÄVLEBORGS LÄN</t>
        </is>
      </c>
      <c r="G293" t="inlineStr">
        <is>
          <t>NORDANSTIG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46292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46292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45301</v>
      </c>
      <c r="E296" s="1" t="n">
        <v>46292</v>
      </c>
      <c r="F296" t="inlineStr">
        <is>
          <t>GÄVLEBORGS LÄN</t>
        </is>
      </c>
      <c r="G296" t="inlineStr">
        <is>
          <t>NORDANSTIG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45802</v>
      </c>
      <c r="E297" s="1" t="n">
        <v>46292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46057</v>
      </c>
      <c r="E298" s="1" t="n">
        <v>46292</v>
      </c>
      <c r="F298" t="inlineStr">
        <is>
          <t>GÄVLEBORGS LÄN</t>
        </is>
      </c>
      <c r="G298" t="inlineStr">
        <is>
          <t>NORDANSTIG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46057</v>
      </c>
      <c r="E299" s="1" t="n">
        <v>46292</v>
      </c>
      <c r="F299" t="inlineStr">
        <is>
          <t>GÄVLEBORGS LÄN</t>
        </is>
      </c>
      <c r="G299" t="inlineStr">
        <is>
          <t>NORDANSTIG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45184</v>
      </c>
      <c r="E300" s="1" t="n">
        <v>46292</v>
      </c>
      <c r="F300" t="inlineStr">
        <is>
          <t>GÄVLEBORGS LÄN</t>
        </is>
      </c>
      <c r="G300" t="inlineStr">
        <is>
          <t>NORDANSTIG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46292</v>
      </c>
      <c r="F301" t="inlineStr">
        <is>
          <t>GÄVLEBORGS LÄN</t>
        </is>
      </c>
      <c r="G301" t="inlineStr">
        <is>
          <t>NORDANSTIG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46057</v>
      </c>
      <c r="E302" s="1" t="n">
        <v>46292</v>
      </c>
      <c r="F302" t="inlineStr">
        <is>
          <t>GÄVLEBORGS LÄN</t>
        </is>
      </c>
      <c r="G302" t="inlineStr">
        <is>
          <t>NORDANSTIG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46292</v>
      </c>
      <c r="F303" t="inlineStr">
        <is>
          <t>GÄVLEBORGS LÄN</t>
        </is>
      </c>
      <c r="G303" t="inlineStr">
        <is>
          <t>NORDANSTIG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46292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46292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46292</v>
      </c>
      <c r="F306" t="inlineStr">
        <is>
          <t>GÄVLEBORGS LÄN</t>
        </is>
      </c>
      <c r="G306" t="inlineStr">
        <is>
          <t>NORDANSTIG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45915</v>
      </c>
      <c r="E307" s="1" t="n">
        <v>46292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45297</v>
      </c>
      <c r="E308" s="1" t="n">
        <v>46292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11113-2026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46079</v>
      </c>
      <c r="E309" s="1" t="n">
        <v>46292</v>
      </c>
      <c r="F309" t="inlineStr">
        <is>
          <t>GÄVLEBORGS LÄN</t>
        </is>
      </c>
      <c r="G309" t="inlineStr">
        <is>
          <t>NORDANSTIG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46292</v>
      </c>
      <c r="F310" t="inlineStr">
        <is>
          <t>GÄVLEBORGS LÄN</t>
        </is>
      </c>
      <c r="G310" t="inlineStr">
        <is>
          <t>NORDANSTIG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46292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35.4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46292</v>
      </c>
      <c r="F312" t="inlineStr">
        <is>
          <t>GÄVLEBORGS LÄN</t>
        </is>
      </c>
      <c r="G312" t="inlineStr">
        <is>
          <t>NORDANSTIG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46292</v>
      </c>
      <c r="F313" t="inlineStr">
        <is>
          <t>GÄVLEBORGS LÄN</t>
        </is>
      </c>
      <c r="G313" t="inlineStr">
        <is>
          <t>NORDANSTIG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46292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46062</v>
      </c>
      <c r="E315" s="1" t="n">
        <v>46292</v>
      </c>
      <c r="F315" t="inlineStr">
        <is>
          <t>GÄVLEBORGS LÄN</t>
        </is>
      </c>
      <c r="G315" t="inlineStr">
        <is>
          <t>NORDANSTIG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46292</v>
      </c>
      <c r="F316" t="inlineStr">
        <is>
          <t>GÄVLEBORGS LÄN</t>
        </is>
      </c>
      <c r="G316" t="inlineStr">
        <is>
          <t>NORDANSTIG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46292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46292</v>
      </c>
      <c r="F318" t="inlineStr">
        <is>
          <t>GÄVLEBORGS LÄN</t>
        </is>
      </c>
      <c r="G318" t="inlineStr">
        <is>
          <t>NORDANSTIG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7944-2026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46063</v>
      </c>
      <c r="E319" s="1" t="n">
        <v>46292</v>
      </c>
      <c r="F319" t="inlineStr">
        <is>
          <t>GÄVLEBORGS LÄN</t>
        </is>
      </c>
      <c r="G319" t="inlineStr">
        <is>
          <t>NORDANSTIG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46064</v>
      </c>
      <c r="E320" s="1" t="n">
        <v>46292</v>
      </c>
      <c r="F320" t="inlineStr">
        <is>
          <t>GÄVLEBORGS LÄN</t>
        </is>
      </c>
      <c r="G320" t="inlineStr">
        <is>
          <t>NORDANSTIG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46292</v>
      </c>
      <c r="F321" t="inlineStr">
        <is>
          <t>GÄVLEBORGS LÄN</t>
        </is>
      </c>
      <c r="G321" t="inlineStr">
        <is>
          <t>NORDANSTIG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46292</v>
      </c>
      <c r="F322" t="inlineStr">
        <is>
          <t>GÄVLEBORGS LÄN</t>
        </is>
      </c>
      <c r="G322" t="inlineStr">
        <is>
          <t>NORDANSTIG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45260</v>
      </c>
      <c r="E323" s="1" t="n">
        <v>46292</v>
      </c>
      <c r="F323" t="inlineStr">
        <is>
          <t>GÄVLEBORGS LÄN</t>
        </is>
      </c>
      <c r="G323" t="inlineStr">
        <is>
          <t>NORDANSTIG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46292</v>
      </c>
      <c r="F324" t="inlineStr">
        <is>
          <t>GÄVLEBORGS LÄN</t>
        </is>
      </c>
      <c r="G324" t="inlineStr">
        <is>
          <t>NORDANSTIG</t>
        </is>
      </c>
      <c r="I324" t="n">
        <v>38.1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46064</v>
      </c>
      <c r="E325" s="1" t="n">
        <v>46292</v>
      </c>
      <c r="F325" t="inlineStr">
        <is>
          <t>GÄVLEBORGS LÄN</t>
        </is>
      </c>
      <c r="G325" t="inlineStr">
        <is>
          <t>NORDANSTIG</t>
        </is>
      </c>
      <c r="I325" t="n">
        <v>19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46292</v>
      </c>
      <c r="F326" t="inlineStr">
        <is>
          <t>GÄVLEBORGS LÄN</t>
        </is>
      </c>
      <c r="G326" t="inlineStr">
        <is>
          <t>NORDANSTIG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46292</v>
      </c>
      <c r="F327" t="inlineStr">
        <is>
          <t>GÄVLEBORGS LÄN</t>
        </is>
      </c>
      <c r="G327" t="inlineStr">
        <is>
          <t>NORDANSTIG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46292</v>
      </c>
      <c r="F328" t="inlineStr">
        <is>
          <t>GÄVLEBORGS LÄN</t>
        </is>
      </c>
      <c r="G328" t="inlineStr">
        <is>
          <t>NORDANSTIG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45802</v>
      </c>
      <c r="E329" s="1" t="n">
        <v>46292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46292</v>
      </c>
      <c r="F330" t="inlineStr">
        <is>
          <t>GÄVLEBORGS LÄN</t>
        </is>
      </c>
      <c r="G330" t="inlineStr">
        <is>
          <t>NORDANSTIG</t>
        </is>
      </c>
      <c r="H330" t="inlineStr">
        <is>
          <t>Naturvårdsverket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46292</v>
      </c>
      <c r="F331" t="inlineStr">
        <is>
          <t>GÄVLEBORGS LÄN</t>
        </is>
      </c>
      <c r="G331" t="inlineStr">
        <is>
          <t>NORDANSTIG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46292</v>
      </c>
      <c r="F332" t="inlineStr">
        <is>
          <t>GÄVLEBORGS LÄN</t>
        </is>
      </c>
      <c r="G332" t="inlineStr">
        <is>
          <t>NORDANSTIG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45058-2025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45919</v>
      </c>
      <c r="E333" s="1" t="n">
        <v>46292</v>
      </c>
      <c r="F333" t="inlineStr">
        <is>
          <t>GÄVLEBORGS LÄN</t>
        </is>
      </c>
      <c r="G333" t="inlineStr">
        <is>
          <t>NORDANSTIG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46292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46292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46292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45748</v>
      </c>
      <c r="E337" s="1" t="n">
        <v>46292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46292</v>
      </c>
      <c r="F338" t="inlineStr">
        <is>
          <t>GÄVLEBORGS LÄN</t>
        </is>
      </c>
      <c r="G338" t="inlineStr">
        <is>
          <t>NORDANSTIG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46292</v>
      </c>
      <c r="F339" t="inlineStr">
        <is>
          <t>GÄVLEBORGS LÄN</t>
        </is>
      </c>
      <c r="G339" t="inlineStr">
        <is>
          <t>NORDANSTIG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45550-2024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45579</v>
      </c>
      <c r="E340" s="1" t="n">
        <v>46292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25469-2025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45802</v>
      </c>
      <c r="E341" s="1" t="n">
        <v>46292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46292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46292</v>
      </c>
      <c r="F343" t="inlineStr">
        <is>
          <t>GÄVLEBORGS LÄN</t>
        </is>
      </c>
      <c r="G343" t="inlineStr">
        <is>
          <t>NORDANSTIG</t>
        </is>
      </c>
      <c r="I343" t="n">
        <v>15.6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45902-2025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45923</v>
      </c>
      <c r="E344" s="1" t="n">
        <v>46292</v>
      </c>
      <c r="F344" t="inlineStr">
        <is>
          <t>GÄVLEBORGS LÄN</t>
        </is>
      </c>
      <c r="G344" t="inlineStr">
        <is>
          <t>NORDANSTIG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46070</v>
      </c>
      <c r="E345" s="1" t="n">
        <v>46292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45671</v>
      </c>
      <c r="E346" s="1" t="n">
        <v>46292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9.199999999999999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44953</v>
      </c>
      <c r="E347" s="1" t="n">
        <v>46292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45924</v>
      </c>
      <c r="E348" s="1" t="n">
        <v>46292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46292</v>
      </c>
      <c r="F349" t="inlineStr">
        <is>
          <t>GÄVLEBORGS LÄN</t>
        </is>
      </c>
      <c r="G349" t="inlineStr">
        <is>
          <t>NORDANSTIG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46292</v>
      </c>
      <c r="F350" t="inlineStr">
        <is>
          <t>GÄVLEBORGS LÄN</t>
        </is>
      </c>
      <c r="G350" t="inlineStr">
        <is>
          <t>NORDANSTIG</t>
        </is>
      </c>
      <c r="I350" t="n">
        <v>12.2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46292</v>
      </c>
      <c r="F351" t="inlineStr">
        <is>
          <t>GÄVLEBORGS LÄN</t>
        </is>
      </c>
      <c r="G351" t="inlineStr">
        <is>
          <t>NORDANSTIG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45687</v>
      </c>
      <c r="E352" s="1" t="n">
        <v>46292</v>
      </c>
      <c r="F352" t="inlineStr">
        <is>
          <t>GÄVLEBORGS LÄN</t>
        </is>
      </c>
      <c r="G352" t="inlineStr">
        <is>
          <t>NORDANSTIG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46292</v>
      </c>
      <c r="F353" t="inlineStr">
        <is>
          <t>GÄVLEBORGS LÄN</t>
        </is>
      </c>
      <c r="G353" t="inlineStr">
        <is>
          <t>NORDANSTIG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46292</v>
      </c>
      <c r="F354" t="inlineStr">
        <is>
          <t>GÄVLEBORGS LÄN</t>
        </is>
      </c>
      <c r="G354" t="inlineStr">
        <is>
          <t>NORDANSTIG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46292</v>
      </c>
      <c r="F355" t="inlineStr">
        <is>
          <t>GÄVLEBORGS LÄN</t>
        </is>
      </c>
      <c r="G355" t="inlineStr">
        <is>
          <t>NORDANSTIG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46292</v>
      </c>
      <c r="F356" t="inlineStr">
        <is>
          <t>GÄVLEBORGS LÄN</t>
        </is>
      </c>
      <c r="G356" t="inlineStr">
        <is>
          <t>NORDANSTIG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46292</v>
      </c>
      <c r="F357" t="inlineStr">
        <is>
          <t>GÄVLEBORGS LÄN</t>
        </is>
      </c>
      <c r="G357" t="inlineStr">
        <is>
          <t>NORDANSTIG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46292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46292</v>
      </c>
      <c r="F359" t="inlineStr">
        <is>
          <t>GÄVLEBORGS LÄN</t>
        </is>
      </c>
      <c r="G359" t="inlineStr">
        <is>
          <t>NORDANSTIG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46292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46292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46292</v>
      </c>
      <c r="F362" t="inlineStr">
        <is>
          <t>GÄVLEBORGS LÄN</t>
        </is>
      </c>
      <c r="G362" t="inlineStr">
        <is>
          <t>NORDANSTIG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46292</v>
      </c>
      <c r="F363" t="inlineStr">
        <is>
          <t>GÄVLEBORGS LÄN</t>
        </is>
      </c>
      <c r="G363" t="inlineStr">
        <is>
          <t>NORDANSTIG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44659</v>
      </c>
      <c r="E364" s="1" t="n">
        <v>46292</v>
      </c>
      <c r="F364" t="inlineStr">
        <is>
          <t>GÄVLEBORGS LÄN</t>
        </is>
      </c>
      <c r="G364" t="inlineStr">
        <is>
          <t>NORDANSTIG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46292</v>
      </c>
      <c r="F365" t="inlineStr">
        <is>
          <t>GÄVLEBORGS LÄN</t>
        </is>
      </c>
      <c r="G365" t="inlineStr">
        <is>
          <t>NORDANSTIG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45506</v>
      </c>
      <c r="E366" s="1" t="n">
        <v>46292</v>
      </c>
      <c r="F366" t="inlineStr">
        <is>
          <t>GÄVLEBORGS LÄN</t>
        </is>
      </c>
      <c r="G366" t="inlineStr">
        <is>
          <t>NORDANSTIG</t>
        </is>
      </c>
      <c r="H366" t="inlineStr">
        <is>
          <t>Holmen skog AB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9971-2026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46073</v>
      </c>
      <c r="E367" s="1" t="n">
        <v>46292</v>
      </c>
      <c r="F367" t="inlineStr">
        <is>
          <t>GÄVLEBORGS LÄN</t>
        </is>
      </c>
      <c r="G367" t="inlineStr">
        <is>
          <t>NORDANSTIG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46292</v>
      </c>
      <c r="F368" t="inlineStr">
        <is>
          <t>GÄVLEBORGS LÄN</t>
        </is>
      </c>
      <c r="G368" t="inlineStr">
        <is>
          <t>NORDANSTIG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46292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46078</v>
      </c>
      <c r="E370" s="1" t="n">
        <v>46292</v>
      </c>
      <c r="F370" t="inlineStr">
        <is>
          <t>GÄVLEBORGS LÄN</t>
        </is>
      </c>
      <c r="G370" t="inlineStr">
        <is>
          <t>NORDANSTIG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11087-2026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46292</v>
      </c>
      <c r="F371" t="inlineStr">
        <is>
          <t>GÄVLEBORGS LÄN</t>
        </is>
      </c>
      <c r="G371" t="inlineStr">
        <is>
          <t>NORDANSTIG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46292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46292</v>
      </c>
      <c r="F373" t="inlineStr">
        <is>
          <t>GÄVLEBORGS LÄN</t>
        </is>
      </c>
      <c r="G373" t="inlineStr">
        <is>
          <t>NORDANSTIG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46292</v>
      </c>
      <c r="F374" t="inlineStr">
        <is>
          <t>GÄVLEBORGS LÄN</t>
        </is>
      </c>
      <c r="G374" t="inlineStr">
        <is>
          <t>NORDANSTIG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43652-2025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45912</v>
      </c>
      <c r="E375" s="1" t="n">
        <v>46292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11307-2026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46292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46292</v>
      </c>
      <c r="F377" t="inlineStr">
        <is>
          <t>GÄVLEBORGS LÄN</t>
        </is>
      </c>
      <c r="G377" t="inlineStr">
        <is>
          <t>NORDANSTIG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45306</v>
      </c>
      <c r="E378" s="1" t="n">
        <v>46292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46292</v>
      </c>
      <c r="F379" t="inlineStr">
        <is>
          <t>GÄVLEBORGS LÄN</t>
        </is>
      </c>
      <c r="G379" t="inlineStr">
        <is>
          <t>NORDANSTIG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46084</v>
      </c>
      <c r="E380" s="1" t="n">
        <v>46292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46292</v>
      </c>
      <c r="F381" t="inlineStr">
        <is>
          <t>GÄVLEBORGS LÄN</t>
        </is>
      </c>
      <c r="G381" t="inlineStr">
        <is>
          <t>NORDANSTIG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46084</v>
      </c>
      <c r="E382" s="1" t="n">
        <v>46292</v>
      </c>
      <c r="F382" t="inlineStr">
        <is>
          <t>GÄVLEBORGS LÄN</t>
        </is>
      </c>
      <c r="G382" t="inlineStr">
        <is>
          <t>NORDANSTIG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44960</v>
      </c>
      <c r="E383" s="1" t="n">
        <v>46292</v>
      </c>
      <c r="F383" t="inlineStr">
        <is>
          <t>GÄVLEBORGS LÄN</t>
        </is>
      </c>
      <c r="G383" t="inlineStr">
        <is>
          <t>NORDANSTIG</t>
        </is>
      </c>
      <c r="I383" t="n">
        <v>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46292</v>
      </c>
      <c r="F384" t="inlineStr">
        <is>
          <t>GÄVLEBORGS LÄN</t>
        </is>
      </c>
      <c r="G384" t="inlineStr">
        <is>
          <t>NORDANSTIG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46292</v>
      </c>
      <c r="F385" t="inlineStr">
        <is>
          <t>GÄVLEBORGS LÄN</t>
        </is>
      </c>
      <c r="G385" t="inlineStr">
        <is>
          <t>NORDANSTIG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46292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47790-2025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46292</v>
      </c>
      <c r="F387" t="inlineStr">
        <is>
          <t>GÄVLEBORGS LÄN</t>
        </is>
      </c>
      <c r="G387" t="inlineStr">
        <is>
          <t>NORDANSTIG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46292</v>
      </c>
      <c r="F388" t="inlineStr">
        <is>
          <t>GÄVLEBORGS LÄN</t>
        </is>
      </c>
      <c r="G388" t="inlineStr">
        <is>
          <t>NORDANSTIG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46292</v>
      </c>
      <c r="F389" t="inlineStr">
        <is>
          <t>GÄVLEBORGS LÄN</t>
        </is>
      </c>
      <c r="G389" t="inlineStr">
        <is>
          <t>NORDANSTIG</t>
        </is>
      </c>
      <c r="I389" t="n">
        <v>10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46292</v>
      </c>
      <c r="F390" t="inlineStr">
        <is>
          <t>GÄVLEBORGS LÄN</t>
        </is>
      </c>
      <c r="G390" t="inlineStr">
        <is>
          <t>NORDANSTIG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45936</v>
      </c>
      <c r="E391" s="1" t="n">
        <v>46292</v>
      </c>
      <c r="F391" t="inlineStr">
        <is>
          <t>GÄVLEBORGS LÄN</t>
        </is>
      </c>
      <c r="G391" t="inlineStr">
        <is>
          <t>NORDANSTIG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46292</v>
      </c>
      <c r="F392" t="inlineStr">
        <is>
          <t>GÄVLEBORGS LÄN</t>
        </is>
      </c>
      <c r="G392" t="inlineStr">
        <is>
          <t>NORDANSTIG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46292</v>
      </c>
      <c r="F393" t="inlineStr">
        <is>
          <t>GÄVLEBORGS LÄN</t>
        </is>
      </c>
      <c r="G393" t="inlineStr">
        <is>
          <t>NORDANSTIG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46292</v>
      </c>
      <c r="F394" t="inlineStr">
        <is>
          <t>GÄVLEBORGS LÄN</t>
        </is>
      </c>
      <c r="G394" t="inlineStr">
        <is>
          <t>NORDANSTIG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48715-2025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46292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48724-2025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45936</v>
      </c>
      <c r="E396" s="1" t="n">
        <v>46292</v>
      </c>
      <c r="F396" t="inlineStr">
        <is>
          <t>GÄVLEBORGS LÄN</t>
        </is>
      </c>
      <c r="G396" t="inlineStr">
        <is>
          <t>NORDANSTIG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12085-2026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46292</v>
      </c>
      <c r="F397" t="inlineStr">
        <is>
          <t>GÄVLEBORGS LÄN</t>
        </is>
      </c>
      <c r="G397" t="inlineStr">
        <is>
          <t>NORDANSTIG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60520-2023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45259</v>
      </c>
      <c r="E398" s="1" t="n">
        <v>46292</v>
      </c>
      <c r="F398" t="inlineStr">
        <is>
          <t>GÄVLEBORGS LÄN</t>
        </is>
      </c>
      <c r="G398" t="inlineStr">
        <is>
          <t>NORDANSTIG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46292</v>
      </c>
      <c r="F399" t="inlineStr">
        <is>
          <t>GÄVLEBORGS LÄN</t>
        </is>
      </c>
      <c r="G399" t="inlineStr">
        <is>
          <t>NORDANSTIG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44915</v>
      </c>
      <c r="E400" s="1" t="n">
        <v>46292</v>
      </c>
      <c r="F400" t="inlineStr">
        <is>
          <t>GÄVLEBORGS LÄN</t>
        </is>
      </c>
      <c r="G400" t="inlineStr">
        <is>
          <t>NORDANSTIG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48677-2025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46292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1230-2026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46292</v>
      </c>
      <c r="F402" t="inlineStr">
        <is>
          <t>GÄVLEBORGS LÄN</t>
        </is>
      </c>
      <c r="G402" t="inlineStr">
        <is>
          <t>NORDANSTIG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46292</v>
      </c>
      <c r="F403" t="inlineStr">
        <is>
          <t>GÄVLEBORGS LÄN</t>
        </is>
      </c>
      <c r="G403" t="inlineStr">
        <is>
          <t>NORDANSTIG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45372</v>
      </c>
      <c r="E404" s="1" t="n">
        <v>46292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45545</v>
      </c>
      <c r="E405" s="1" t="n">
        <v>46292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48916-2025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46292</v>
      </c>
      <c r="F406" t="inlineStr">
        <is>
          <t>GÄVLEBORGS LÄN</t>
        </is>
      </c>
      <c r="G406" t="inlineStr">
        <is>
          <t>NORDANSTIG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59409-2023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46292</v>
      </c>
      <c r="F407" t="inlineStr">
        <is>
          <t>GÄVLEBORGS LÄN</t>
        </is>
      </c>
      <c r="G407" t="inlineStr">
        <is>
          <t>NORDANSTIG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12458-2026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46292</v>
      </c>
      <c r="F408" t="inlineStr">
        <is>
          <t>GÄVLEBORGS LÄN</t>
        </is>
      </c>
      <c r="G408" t="inlineStr">
        <is>
          <t>NORDANSTIG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46292</v>
      </c>
      <c r="F409" t="inlineStr">
        <is>
          <t>GÄVLEBORGS LÄN</t>
        </is>
      </c>
      <c r="G409" t="inlineStr">
        <is>
          <t>NORDANSTIG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4414-2022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44589</v>
      </c>
      <c r="E410" s="1" t="n">
        <v>46292</v>
      </c>
      <c r="F410" t="inlineStr">
        <is>
          <t>GÄVLEBORGS LÄN</t>
        </is>
      </c>
      <c r="G410" t="inlineStr">
        <is>
          <t>NORDANSTIG</t>
        </is>
      </c>
      <c r="I410" t="n">
        <v>12.6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46292</v>
      </c>
      <c r="F411" t="inlineStr">
        <is>
          <t>GÄVLEBORGS LÄN</t>
        </is>
      </c>
      <c r="G411" t="inlineStr">
        <is>
          <t>NORDANSTIG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46292</v>
      </c>
      <c r="F412" t="inlineStr">
        <is>
          <t>GÄVLEBORGS LÄN</t>
        </is>
      </c>
      <c r="G412" t="inlineStr">
        <is>
          <t>NORDANSTIG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46292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46292</v>
      </c>
      <c r="F414" t="inlineStr">
        <is>
          <t>GÄVLEBORGS LÄN</t>
        </is>
      </c>
      <c r="G414" t="inlineStr">
        <is>
          <t>NORDANSTIG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45938</v>
      </c>
      <c r="E415" s="1" t="n">
        <v>46292</v>
      </c>
      <c r="F415" t="inlineStr">
        <is>
          <t>GÄVLEBORGS LÄN</t>
        </is>
      </c>
      <c r="G415" t="inlineStr">
        <is>
          <t>NORDANSTIG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46292</v>
      </c>
      <c r="F416" t="inlineStr">
        <is>
          <t>GÄVLEBORGS LÄN</t>
        </is>
      </c>
      <c r="G416" t="inlineStr">
        <is>
          <t>NORDANSTIG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46092</v>
      </c>
      <c r="E417" s="1" t="n">
        <v>46292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59425-2022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44907</v>
      </c>
      <c r="E418" s="1" t="n">
        <v>46292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45938</v>
      </c>
      <c r="E419" s="1" t="n">
        <v>46292</v>
      </c>
      <c r="F419" t="inlineStr">
        <is>
          <t>GÄVLEBORGS LÄN</t>
        </is>
      </c>
      <c r="G419" t="inlineStr">
        <is>
          <t>NORDANSTIG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46292</v>
      </c>
      <c r="F420" t="inlineStr">
        <is>
          <t>GÄVLEBORGS LÄN</t>
        </is>
      </c>
      <c r="G420" t="inlineStr">
        <is>
          <t>NORDANSTIG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46292</v>
      </c>
      <c r="F421" t="inlineStr">
        <is>
          <t>GÄVLEBORGS LÄN</t>
        </is>
      </c>
      <c r="G421" t="inlineStr">
        <is>
          <t>NORDANSTIG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49282-2025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46292</v>
      </c>
      <c r="F422" t="inlineStr">
        <is>
          <t>GÄVLEBORGS LÄN</t>
        </is>
      </c>
      <c r="G422" t="inlineStr">
        <is>
          <t>NORDANSTIG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46292</v>
      </c>
      <c r="F423" t="inlineStr">
        <is>
          <t>GÄVLEBORGS LÄN</t>
        </is>
      </c>
      <c r="G423" t="inlineStr">
        <is>
          <t>NORDANSTIG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46292</v>
      </c>
      <c r="F424" t="inlineStr">
        <is>
          <t>GÄVLEBORGS LÄN</t>
        </is>
      </c>
      <c r="G424" t="inlineStr">
        <is>
          <t>NORDANSTIG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46292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46292</v>
      </c>
      <c r="F426" t="inlineStr">
        <is>
          <t>GÄVLEBORGS LÄN</t>
        </is>
      </c>
      <c r="G426" t="inlineStr">
        <is>
          <t>NORDANSTIG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46292</v>
      </c>
      <c r="F427" t="inlineStr">
        <is>
          <t>GÄVLEBORGS LÄN</t>
        </is>
      </c>
      <c r="G427" t="inlineStr">
        <is>
          <t>NORDANSTIG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46292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46292</v>
      </c>
      <c r="F429" t="inlineStr">
        <is>
          <t>GÄVLEBORGS LÄN</t>
        </is>
      </c>
      <c r="G429" t="inlineStr">
        <is>
          <t>NORDANSTIG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46292</v>
      </c>
      <c r="F430" t="inlineStr">
        <is>
          <t>GÄVLEBORGS LÄN</t>
        </is>
      </c>
      <c r="G430" t="inlineStr">
        <is>
          <t>NORDANSTIG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41729-2023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45176</v>
      </c>
      <c r="E431" s="1" t="n">
        <v>46292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14244-2026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46292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46292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46292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46292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46292</v>
      </c>
      <c r="F436" t="inlineStr">
        <is>
          <t>GÄVLEBORGS LÄN</t>
        </is>
      </c>
      <c r="G436" t="inlineStr">
        <is>
          <t>NORDANSTIG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46292</v>
      </c>
      <c r="F437" t="inlineStr">
        <is>
          <t>GÄVLEBORGS LÄN</t>
        </is>
      </c>
      <c r="G437" t="inlineStr">
        <is>
          <t>NORDANSTIG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50824-2025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46292</v>
      </c>
      <c r="F438" t="inlineStr">
        <is>
          <t>GÄVLEBORGS LÄN</t>
        </is>
      </c>
      <c r="G438" t="inlineStr">
        <is>
          <t>NORDANSTIG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51998-2023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46292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50818-2025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46292</v>
      </c>
      <c r="F440" t="inlineStr">
        <is>
          <t>GÄVLEBORGS LÄN</t>
        </is>
      </c>
      <c r="G440" t="inlineStr">
        <is>
          <t>NORDANSTIG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46292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46292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46292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45590</v>
      </c>
      <c r="E444" s="1" t="n">
        <v>46292</v>
      </c>
      <c r="F444" t="inlineStr">
        <is>
          <t>GÄVLEBORGS LÄN</t>
        </is>
      </c>
      <c r="G444" t="inlineStr">
        <is>
          <t>NORDANSTIG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46292</v>
      </c>
      <c r="F445" t="inlineStr">
        <is>
          <t>GÄVLEBORGS LÄN</t>
        </is>
      </c>
      <c r="G445" t="inlineStr">
        <is>
          <t>NORDANSTIG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51115-2025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45947</v>
      </c>
      <c r="E446" s="1" t="n">
        <v>46292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46292</v>
      </c>
      <c r="F447" t="inlineStr">
        <is>
          <t>GÄVLEBORGS LÄN</t>
        </is>
      </c>
      <c r="G447" t="inlineStr">
        <is>
          <t>NORDANSTIG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46292</v>
      </c>
      <c r="F448" t="inlineStr">
        <is>
          <t>GÄVLEBORGS LÄN</t>
        </is>
      </c>
      <c r="G448" t="inlineStr">
        <is>
          <t>NORDANSTIG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46292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46292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51503-2025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46292</v>
      </c>
      <c r="F451" t="inlineStr">
        <is>
          <t>GÄVLEBORGS LÄN</t>
        </is>
      </c>
      <c r="G451" t="inlineStr">
        <is>
          <t>NORDANSTIG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51101-2025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46292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45947</v>
      </c>
      <c r="E453" s="1" t="n">
        <v>46292</v>
      </c>
      <c r="F453" t="inlineStr">
        <is>
          <t>GÄVLEBORGS LÄN</t>
        </is>
      </c>
      <c r="G453" t="inlineStr">
        <is>
          <t>NORDANSTIG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45950</v>
      </c>
      <c r="E454" s="1" t="n">
        <v>46292</v>
      </c>
      <c r="F454" t="inlineStr">
        <is>
          <t>GÄVLEBORGS LÄN</t>
        </is>
      </c>
      <c r="G454" t="inlineStr">
        <is>
          <t>NORDANSTIG</t>
        </is>
      </c>
      <c r="I454" t="n">
        <v>30.9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51464-2025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45950</v>
      </c>
      <c r="E455" s="1" t="n">
        <v>46292</v>
      </c>
      <c r="F455" t="inlineStr">
        <is>
          <t>GÄVLEBORGS LÄN</t>
        </is>
      </c>
      <c r="G455" t="inlineStr">
        <is>
          <t>NORDANSTIG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51680-2025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46292</v>
      </c>
      <c r="F456" t="inlineStr">
        <is>
          <t>GÄVLEBORGS LÄN</t>
        </is>
      </c>
      <c r="G456" t="inlineStr">
        <is>
          <t>NORDANSTIG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46107</v>
      </c>
      <c r="E457" s="1" t="n">
        <v>46292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46292</v>
      </c>
      <c r="F458" t="inlineStr">
        <is>
          <t>GÄVLEBORGS LÄN</t>
        </is>
      </c>
      <c r="G458" t="inlineStr">
        <is>
          <t>NORDANSTIG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27224-2025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46292</v>
      </c>
      <c r="F459" t="inlineStr">
        <is>
          <t>GÄVLEBORGS LÄN</t>
        </is>
      </c>
      <c r="G459" t="inlineStr">
        <is>
          <t>NORDANSTIG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49284-2025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46292</v>
      </c>
      <c r="F460" t="inlineStr">
        <is>
          <t>GÄVLEBORGS LÄN</t>
        </is>
      </c>
      <c r="G460" t="inlineStr">
        <is>
          <t>NORDANSTIG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46292</v>
      </c>
      <c r="F461" t="inlineStr">
        <is>
          <t>GÄVLEBORGS LÄN</t>
        </is>
      </c>
      <c r="G461" t="inlineStr">
        <is>
          <t>NORDANSTIG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16184-2026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46292</v>
      </c>
      <c r="F462" t="inlineStr">
        <is>
          <t>GÄVLEBORGS LÄN</t>
        </is>
      </c>
      <c r="G462" t="inlineStr">
        <is>
          <t>NORDANSTIG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16291-2026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46292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Kommuner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46292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Kommuner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45958</v>
      </c>
      <c r="E465" s="1" t="n">
        <v>46292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46111</v>
      </c>
      <c r="E466" s="1" t="n">
        <v>46292</v>
      </c>
      <c r="F466" t="inlineStr">
        <is>
          <t>GÄVLEBORGS LÄN</t>
        </is>
      </c>
      <c r="G466" t="inlineStr">
        <is>
          <t>NORDANSTIG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16310-2026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46292</v>
      </c>
      <c r="F467" t="inlineStr">
        <is>
          <t>GÄVLEBORGS LÄN</t>
        </is>
      </c>
      <c r="G467" t="inlineStr">
        <is>
          <t>NORDANSTIG</t>
        </is>
      </c>
      <c r="H467" t="inlineStr">
        <is>
          <t>Kommuner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46292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46292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42.1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16449-2026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46112</v>
      </c>
      <c r="E470" s="1" t="n">
        <v>46292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46292</v>
      </c>
      <c r="F471" t="inlineStr">
        <is>
          <t>GÄVLEBORGS LÄN</t>
        </is>
      </c>
      <c r="G471" t="inlineStr">
        <is>
          <t>NORDANSTIG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46113</v>
      </c>
      <c r="E472" s="1" t="n">
        <v>46292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46113</v>
      </c>
      <c r="E473" s="1" t="n">
        <v>46292</v>
      </c>
      <c r="F473" t="inlineStr">
        <is>
          <t>GÄVLEBORGS LÄN</t>
        </is>
      </c>
      <c r="G473" t="inlineStr">
        <is>
          <t>NORDANSTIG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45121</v>
      </c>
      <c r="E474" s="1" t="n">
        <v>46292</v>
      </c>
      <c r="F474" t="inlineStr">
        <is>
          <t>GÄVLEBORGS LÄN</t>
        </is>
      </c>
      <c r="G474" t="inlineStr">
        <is>
          <t>NORDANSTIG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50827-2025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46292</v>
      </c>
      <c r="F475" t="inlineStr">
        <is>
          <t>GÄVLEBORGS LÄN</t>
        </is>
      </c>
      <c r="G475" t="inlineStr">
        <is>
          <t>NORDANSTIG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46292</v>
      </c>
      <c r="F476" t="inlineStr">
        <is>
          <t>GÄVLEBORGS LÄN</t>
        </is>
      </c>
      <c r="G476" t="inlineStr">
        <is>
          <t>NORDANSTIG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45271</v>
      </c>
      <c r="E477" s="1" t="n">
        <v>46292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53646-2025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46292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46292</v>
      </c>
      <c r="F479" t="inlineStr">
        <is>
          <t>GÄVLEBORGS LÄN</t>
        </is>
      </c>
      <c r="G479" t="inlineStr">
        <is>
          <t>NORDANSTIG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46376-2024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46292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46292</v>
      </c>
      <c r="F481" t="inlineStr">
        <is>
          <t>GÄVLEBORGS LÄN</t>
        </is>
      </c>
      <c r="G481" t="inlineStr">
        <is>
          <t>NORDANSTIG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17201-2026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46118</v>
      </c>
      <c r="E482" s="1" t="n">
        <v>46292</v>
      </c>
      <c r="F482" t="inlineStr">
        <is>
          <t>GÄVLEBORGS LÄN</t>
        </is>
      </c>
      <c r="G482" t="inlineStr">
        <is>
          <t>NORDANSTIG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46119</v>
      </c>
      <c r="E483" s="1" t="n">
        <v>46292</v>
      </c>
      <c r="F483" t="inlineStr">
        <is>
          <t>GÄVLEBORGS LÄN</t>
        </is>
      </c>
      <c r="G483" t="inlineStr">
        <is>
          <t>NORDANSTIG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46292</v>
      </c>
      <c r="F484" t="inlineStr">
        <is>
          <t>GÄVLEBORGS LÄN</t>
        </is>
      </c>
      <c r="G484" t="inlineStr">
        <is>
          <t>NORDANSTIG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46292</v>
      </c>
      <c r="F485" t="inlineStr">
        <is>
          <t>GÄVLEBORGS LÄN</t>
        </is>
      </c>
      <c r="G485" t="inlineStr">
        <is>
          <t>NORDANSTIG</t>
        </is>
      </c>
      <c r="I485" t="n">
        <v>16.3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46120</v>
      </c>
      <c r="E486" s="1" t="n">
        <v>46292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53360-2025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45959</v>
      </c>
      <c r="E487" s="1" t="n">
        <v>46292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17492-2026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46292</v>
      </c>
      <c r="F488" t="inlineStr">
        <is>
          <t>GÄVLEBORGS LÄN</t>
        </is>
      </c>
      <c r="G488" t="inlineStr">
        <is>
          <t>NORDANSTIG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17498-2026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46120</v>
      </c>
      <c r="E489" s="1" t="n">
        <v>46292</v>
      </c>
      <c r="F489" t="inlineStr">
        <is>
          <t>GÄVLEBORGS LÄN</t>
        </is>
      </c>
      <c r="G489" t="inlineStr">
        <is>
          <t>NORDANSTIG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46292</v>
      </c>
      <c r="F490" t="inlineStr">
        <is>
          <t>GÄVLEBORGS LÄN</t>
        </is>
      </c>
      <c r="G490" t="inlineStr">
        <is>
          <t>NORDANSTIG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17490-2026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46292</v>
      </c>
      <c r="F491" t="inlineStr">
        <is>
          <t>GÄVLEBORGS LÄN</t>
        </is>
      </c>
      <c r="G491" t="inlineStr">
        <is>
          <t>NORDANSTIG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46292</v>
      </c>
      <c r="F492" t="inlineStr">
        <is>
          <t>GÄVLEBORGS LÄN</t>
        </is>
      </c>
      <c r="G492" t="inlineStr">
        <is>
          <t>NORDANSTIG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46292</v>
      </c>
      <c r="F493" t="inlineStr">
        <is>
          <t>GÄVLEBORGS LÄN</t>
        </is>
      </c>
      <c r="G493" t="inlineStr">
        <is>
          <t>NORDANSTIG</t>
        </is>
      </c>
      <c r="I493" t="n">
        <v>9.4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17872-2026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46122</v>
      </c>
      <c r="E494" s="1" t="n">
        <v>46292</v>
      </c>
      <c r="F494" t="inlineStr">
        <is>
          <t>GÄVLEBORGS LÄN</t>
        </is>
      </c>
      <c r="G494" t="inlineStr">
        <is>
          <t>NORDANSTIG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54373-2025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46292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44960</v>
      </c>
      <c r="E496" s="1" t="n">
        <v>46292</v>
      </c>
      <c r="F496" t="inlineStr">
        <is>
          <t>GÄVLEBORGS LÄN</t>
        </is>
      </c>
      <c r="G496" t="inlineStr">
        <is>
          <t>NORDANSTIG</t>
        </is>
      </c>
      <c r="I496" t="n">
        <v>17.6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45637</v>
      </c>
      <c r="E497" s="1" t="n">
        <v>46292</v>
      </c>
      <c r="F497" t="inlineStr">
        <is>
          <t>GÄVLEBORGS LÄN</t>
        </is>
      </c>
      <c r="G497" t="inlineStr">
        <is>
          <t>NORDANSTIG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46125</v>
      </c>
      <c r="E498" s="1" t="n">
        <v>46292</v>
      </c>
      <c r="F498" t="inlineStr">
        <is>
          <t>GÄVLEBORGS LÄN</t>
        </is>
      </c>
      <c r="G498" t="inlineStr">
        <is>
          <t>NORDANSTIG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15494-2023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45020</v>
      </c>
      <c r="E499" s="1" t="n">
        <v>46292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45020</v>
      </c>
      <c r="E500" s="1" t="n">
        <v>46292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43075-2024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45567</v>
      </c>
      <c r="E501" s="1" t="n">
        <v>46292</v>
      </c>
      <c r="F501" t="inlineStr">
        <is>
          <t>GÄVLEBORGS LÄN</t>
        </is>
      </c>
      <c r="G501" t="inlineStr">
        <is>
          <t>NORDANSTIG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44952</v>
      </c>
      <c r="E502" s="1" t="n">
        <v>46292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44952</v>
      </c>
      <c r="E503" s="1" t="n">
        <v>46292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27203-2025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45812</v>
      </c>
      <c r="E504" s="1" t="n">
        <v>46292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46292</v>
      </c>
      <c r="F505" t="inlineStr">
        <is>
          <t>GÄVLEBORGS LÄN</t>
        </is>
      </c>
      <c r="G505" t="inlineStr">
        <is>
          <t>NORDANSTIG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46292</v>
      </c>
      <c r="F506" t="inlineStr">
        <is>
          <t>GÄVLEBORGS LÄN</t>
        </is>
      </c>
      <c r="G506" t="inlineStr">
        <is>
          <t>NORDANSTIG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18236-2026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46292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46126</v>
      </c>
      <c r="E508" s="1" t="n">
        <v>46292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45208</v>
      </c>
      <c r="E509" s="1" t="n">
        <v>46292</v>
      </c>
      <c r="F509" t="inlineStr">
        <is>
          <t>GÄVLEBORGS LÄN</t>
        </is>
      </c>
      <c r="G509" t="inlineStr">
        <is>
          <t>NORDANSTIG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55186-2025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46292</v>
      </c>
      <c r="F510" t="inlineStr">
        <is>
          <t>GÄVLEBORGS LÄN</t>
        </is>
      </c>
      <c r="G510" t="inlineStr">
        <is>
          <t>NORDANSTIG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21157-2022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44704</v>
      </c>
      <c r="E511" s="1" t="n">
        <v>46292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46292</v>
      </c>
      <c r="F512" t="inlineStr">
        <is>
          <t>GÄVLEBORGS LÄN</t>
        </is>
      </c>
      <c r="G512" t="inlineStr">
        <is>
          <t>NORDANSTIG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71442-2021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46292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45140</v>
      </c>
      <c r="E514" s="1" t="n">
        <v>46292</v>
      </c>
      <c r="F514" t="inlineStr">
        <is>
          <t>GÄVLEBORGS LÄN</t>
        </is>
      </c>
      <c r="G514" t="inlineStr">
        <is>
          <t>NORDANSTIG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45971</v>
      </c>
      <c r="E515" s="1" t="n">
        <v>46292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55460-2025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45971</v>
      </c>
      <c r="E516" s="1" t="n">
        <v>46292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55590-2025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45971</v>
      </c>
      <c r="E517" s="1" t="n">
        <v>46292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27447-2025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45813</v>
      </c>
      <c r="E518" s="1" t="n">
        <v>46292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55453-2025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45971</v>
      </c>
      <c r="E519" s="1" t="n">
        <v>46292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21187-2022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44704</v>
      </c>
      <c r="E520" s="1" t="n">
        <v>46292</v>
      </c>
      <c r="F520" t="inlineStr">
        <is>
          <t>GÄVLEBORGS LÄN</t>
        </is>
      </c>
      <c r="G520" t="inlineStr">
        <is>
          <t>NORDANSTIG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56039-2025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45973</v>
      </c>
      <c r="E521" s="1" t="n">
        <v>46292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45973</v>
      </c>
      <c r="E522" s="1" t="n">
        <v>46292</v>
      </c>
      <c r="F522" t="inlineStr">
        <is>
          <t>GÄVLEBORGS LÄN</t>
        </is>
      </c>
      <c r="G522" t="inlineStr">
        <is>
          <t>NORDANSTIG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56056-2025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45973</v>
      </c>
      <c r="E523" s="1" t="n">
        <v>46292</v>
      </c>
      <c r="F523" t="inlineStr">
        <is>
          <t>GÄVLEBORGS LÄN</t>
        </is>
      </c>
      <c r="G523" t="inlineStr">
        <is>
          <t>NORDANSTIG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45020</v>
      </c>
      <c r="E524" s="1" t="n">
        <v>46292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56357-2025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45974</v>
      </c>
      <c r="E525" s="1" t="n">
        <v>46292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56031-2025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46292</v>
      </c>
      <c r="F526" t="inlineStr">
        <is>
          <t>GÄVLEBORGS LÄN</t>
        </is>
      </c>
      <c r="G526" t="inlineStr">
        <is>
          <t>NORDANSTIG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46292</v>
      </c>
      <c r="F527" t="inlineStr">
        <is>
          <t>GÄVLEBORGS LÄN</t>
        </is>
      </c>
      <c r="G527" t="inlineStr">
        <is>
          <t>NORDANSTIG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46292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43.6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46100</v>
      </c>
      <c r="E529" s="1" t="n">
        <v>46292</v>
      </c>
      <c r="F529" t="inlineStr">
        <is>
          <t>GÄVLEBORGS LÄN</t>
        </is>
      </c>
      <c r="G529" t="inlineStr">
        <is>
          <t>NORDANSTIG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59930-2024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45642</v>
      </c>
      <c r="E530" s="1" t="n">
        <v>46292</v>
      </c>
      <c r="F530" t="inlineStr">
        <is>
          <t>GÄVLEBORGS LÄN</t>
        </is>
      </c>
      <c r="G530" t="inlineStr">
        <is>
          <t>NORDANSTIG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46292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56191-2025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46292</v>
      </c>
      <c r="F532" t="inlineStr">
        <is>
          <t>GÄVLEBORGS LÄN</t>
        </is>
      </c>
      <c r="G532" t="inlineStr">
        <is>
          <t>NORDANSTIG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46292</v>
      </c>
      <c r="F533" t="inlineStr">
        <is>
          <t>GÄVLEBORGS LÄN</t>
        </is>
      </c>
      <c r="G533" t="inlineStr">
        <is>
          <t>NORDANSTIG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45663</v>
      </c>
      <c r="E534" s="1" t="n">
        <v>46292</v>
      </c>
      <c r="F534" t="inlineStr">
        <is>
          <t>GÄVLEBORGS LÄN</t>
        </is>
      </c>
      <c r="G534" t="inlineStr">
        <is>
          <t>NORDANSTIG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44964</v>
      </c>
      <c r="E535" s="1" t="n">
        <v>46292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46292</v>
      </c>
      <c r="F536" t="inlineStr">
        <is>
          <t>GÄVLEBORGS LÄN</t>
        </is>
      </c>
      <c r="G536" t="inlineStr">
        <is>
          <t>NORDANSTIG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39207-2023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46292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45610</v>
      </c>
      <c r="E538" s="1" t="n">
        <v>46292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25200-2022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44729</v>
      </c>
      <c r="E539" s="1" t="n">
        <v>46292</v>
      </c>
      <c r="F539" t="inlineStr">
        <is>
          <t>GÄVLEBORGS LÄN</t>
        </is>
      </c>
      <c r="G539" t="inlineStr">
        <is>
          <t>NORDANSTIG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45429</v>
      </c>
      <c r="E540" s="1" t="n">
        <v>46292</v>
      </c>
      <c r="F540" t="inlineStr">
        <is>
          <t>GÄVLEBORGS LÄN</t>
        </is>
      </c>
      <c r="G540" t="inlineStr">
        <is>
          <t>NORDANSTIG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57559-2025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45980</v>
      </c>
      <c r="E541" s="1" t="n">
        <v>46292</v>
      </c>
      <c r="F541" t="inlineStr">
        <is>
          <t>GÄVLEBORGS LÄN</t>
        </is>
      </c>
      <c r="G541" t="inlineStr">
        <is>
          <t>NORDANSTIG</t>
        </is>
      </c>
      <c r="H541" t="inlineStr">
        <is>
          <t>SCA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57558-2025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45980</v>
      </c>
      <c r="E542" s="1" t="n">
        <v>46292</v>
      </c>
      <c r="F542" t="inlineStr">
        <is>
          <t>GÄVLEBORGS LÄN</t>
        </is>
      </c>
      <c r="G542" t="inlineStr">
        <is>
          <t>NORDANSTIG</t>
        </is>
      </c>
      <c r="H542" t="inlineStr">
        <is>
          <t>SCA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45979</v>
      </c>
      <c r="E543" s="1" t="n">
        <v>46292</v>
      </c>
      <c r="F543" t="inlineStr">
        <is>
          <t>GÄVLEBORGS LÄN</t>
        </is>
      </c>
      <c r="G543" t="inlineStr">
        <is>
          <t>NORDANSTIG</t>
        </is>
      </c>
      <c r="H543" t="inlineStr">
        <is>
          <t>SCA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46292</v>
      </c>
      <c r="F544" t="inlineStr">
        <is>
          <t>GÄVLEBORGS LÄN</t>
        </is>
      </c>
      <c r="G544" t="inlineStr">
        <is>
          <t>NORDANSTIG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19682-2026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46292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46292</v>
      </c>
      <c r="F546" t="inlineStr">
        <is>
          <t>GÄVLEBORGS LÄN</t>
        </is>
      </c>
      <c r="G546" t="inlineStr">
        <is>
          <t>NORDANSTIG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46292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46292</v>
      </c>
      <c r="F548" t="inlineStr">
        <is>
          <t>GÄVLEBORGS LÄN</t>
        </is>
      </c>
      <c r="G548" t="inlineStr">
        <is>
          <t>NORDANSTIG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46292</v>
      </c>
      <c r="F549" t="inlineStr">
        <is>
          <t>GÄVLEBORGS LÄN</t>
        </is>
      </c>
      <c r="G549" t="inlineStr">
        <is>
          <t>NORDANSTIG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45142</v>
      </c>
      <c r="E550" s="1" t="n">
        <v>46292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45142</v>
      </c>
      <c r="E551" s="1" t="n">
        <v>46292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46292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46292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46292</v>
      </c>
      <c r="F554" t="inlineStr">
        <is>
          <t>GÄVLEBORGS LÄN</t>
        </is>
      </c>
      <c r="G554" t="inlineStr">
        <is>
          <t>NORDANSTIG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54385-2024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45617</v>
      </c>
      <c r="E555" s="1" t="n">
        <v>46292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58533-2025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45985</v>
      </c>
      <c r="E556" s="1" t="n">
        <v>46292</v>
      </c>
      <c r="F556" t="inlineStr">
        <is>
          <t>GÄVLEBORGS LÄN</t>
        </is>
      </c>
      <c r="G556" t="inlineStr">
        <is>
          <t>NORDANSTIG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58595-2025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45986</v>
      </c>
      <c r="E557" s="1" t="n">
        <v>46292</v>
      </c>
      <c r="F557" t="inlineStr">
        <is>
          <t>GÄVLEBORGS LÄN</t>
        </is>
      </c>
      <c r="G557" t="inlineStr">
        <is>
          <t>NORDANSTIG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12398-2023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44999</v>
      </c>
      <c r="E558" s="1" t="n">
        <v>46292</v>
      </c>
      <c r="F558" t="inlineStr">
        <is>
          <t>GÄVLEBORGS LÄN</t>
        </is>
      </c>
      <c r="G558" t="inlineStr">
        <is>
          <t>NORDANSTIG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46292</v>
      </c>
      <c r="F559" t="inlineStr">
        <is>
          <t>GÄVLEBORGS LÄN</t>
        </is>
      </c>
      <c r="G559" t="inlineStr">
        <is>
          <t>NORDANSTIG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45985</v>
      </c>
      <c r="E560" s="1" t="n">
        <v>46292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46292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44739</v>
      </c>
      <c r="E562" s="1" t="n">
        <v>46292</v>
      </c>
      <c r="F562" t="inlineStr">
        <is>
          <t>GÄVLEBORGS LÄN</t>
        </is>
      </c>
      <c r="G562" t="inlineStr">
        <is>
          <t>NORDANSTIG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59008-2025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45987</v>
      </c>
      <c r="E563" s="1" t="n">
        <v>46292</v>
      </c>
      <c r="F563" t="inlineStr">
        <is>
          <t>GÄVLEBORGS LÄN</t>
        </is>
      </c>
      <c r="G563" t="inlineStr">
        <is>
          <t>NORDANSTIG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58872-2024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45636</v>
      </c>
      <c r="E564" s="1" t="n">
        <v>46292</v>
      </c>
      <c r="F564" t="inlineStr">
        <is>
          <t>GÄVLEBORGS LÄN</t>
        </is>
      </c>
      <c r="G564" t="inlineStr">
        <is>
          <t>NORDANSTIG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46136</v>
      </c>
      <c r="E565" s="1" t="n">
        <v>46292</v>
      </c>
      <c r="F565" t="inlineStr">
        <is>
          <t>GÄVLEBORGS LÄN</t>
        </is>
      </c>
      <c r="G565" t="inlineStr">
        <is>
          <t>NORDANSTIG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19898-2026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46135</v>
      </c>
      <c r="E566" s="1" t="n">
        <v>46292</v>
      </c>
      <c r="F566" t="inlineStr">
        <is>
          <t>GÄVLEBORGS LÄN</t>
        </is>
      </c>
      <c r="G566" t="inlineStr">
        <is>
          <t>NORDANSTIG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34783-2022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44795</v>
      </c>
      <c r="E567" s="1" t="n">
        <v>46292</v>
      </c>
      <c r="F567" t="inlineStr">
        <is>
          <t>GÄVLEBORGS LÄN</t>
        </is>
      </c>
      <c r="G567" t="inlineStr">
        <is>
          <t>NORDANSTIG</t>
        </is>
      </c>
      <c r="I567" t="n">
        <v>7.8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46136</v>
      </c>
      <c r="E568" s="1" t="n">
        <v>46292</v>
      </c>
      <c r="F568" t="inlineStr">
        <is>
          <t>GÄVLEBORGS LÄN</t>
        </is>
      </c>
      <c r="G568" t="inlineStr">
        <is>
          <t>NORDANSTIG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17052-2023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45034</v>
      </c>
      <c r="E569" s="1" t="n">
        <v>46292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8.6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16659-2026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46112</v>
      </c>
      <c r="E570" s="1" t="n">
        <v>46292</v>
      </c>
      <c r="F570" t="inlineStr">
        <is>
          <t>GÄVLEBORGS LÄN</t>
        </is>
      </c>
      <c r="G570" t="inlineStr">
        <is>
          <t>NORDANSTIG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45817</v>
      </c>
      <c r="E571" s="1" t="n">
        <v>46292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59997-2025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46292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60299-2025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45994</v>
      </c>
      <c r="E573" s="1" t="n">
        <v>46292</v>
      </c>
      <c r="F573" t="inlineStr">
        <is>
          <t>GÄVLEBORGS LÄN</t>
        </is>
      </c>
      <c r="G573" t="inlineStr">
        <is>
          <t>NORDANSTIG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20532-2026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46292</v>
      </c>
      <c r="F574" t="inlineStr">
        <is>
          <t>GÄVLEBORGS LÄN</t>
        </is>
      </c>
      <c r="G574" t="inlineStr">
        <is>
          <t>NORDANSTIG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45995</v>
      </c>
      <c r="E575" s="1" t="n">
        <v>46292</v>
      </c>
      <c r="F575" t="inlineStr">
        <is>
          <t>GÄVLEBORGS LÄN</t>
        </is>
      </c>
      <c r="G575" t="inlineStr">
        <is>
          <t>NORDANSTIG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46292</v>
      </c>
      <c r="F576" t="inlineStr">
        <is>
          <t>GÄVLEBORGS LÄN</t>
        </is>
      </c>
      <c r="G576" t="inlineStr">
        <is>
          <t>NORDANSTIG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46292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46292</v>
      </c>
      <c r="F578" t="inlineStr">
        <is>
          <t>GÄVLEBORGS LÄN</t>
        </is>
      </c>
      <c r="G578" t="inlineStr">
        <is>
          <t>NORDANSTIG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38048-2024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46292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18279-2023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45041</v>
      </c>
      <c r="E580" s="1" t="n">
        <v>46292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46292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14.2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46292</v>
      </c>
      <c r="F582" t="inlineStr">
        <is>
          <t>GÄVLEBORGS LÄN</t>
        </is>
      </c>
      <c r="G582" t="inlineStr">
        <is>
          <t>NORDANSTIG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46292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46292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20482-2026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46140</v>
      </c>
      <c r="E585" s="1" t="n">
        <v>46292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46292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10484-2023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44987</v>
      </c>
      <c r="E587" s="1" t="n">
        <v>46292</v>
      </c>
      <c r="F587" t="inlineStr">
        <is>
          <t>GÄVLEBORGS LÄN</t>
        </is>
      </c>
      <c r="G587" t="inlineStr">
        <is>
          <t>NORDANSTIG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46292</v>
      </c>
      <c r="F588" t="inlineStr">
        <is>
          <t>GÄVLEBORGS LÄN</t>
        </is>
      </c>
      <c r="G588" t="inlineStr">
        <is>
          <t>NORDANSTIG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35115-2022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44797</v>
      </c>
      <c r="E589" s="1" t="n">
        <v>46292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56494-2024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45625</v>
      </c>
      <c r="E590" s="1" t="n">
        <v>46292</v>
      </c>
      <c r="F590" t="inlineStr">
        <is>
          <t>GÄVLEBORGS LÄN</t>
        </is>
      </c>
      <c r="G590" t="inlineStr">
        <is>
          <t>NORDANSTIG</t>
        </is>
      </c>
      <c r="I590" t="n">
        <v>10.1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62185-2025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46006</v>
      </c>
      <c r="E591" s="1" t="n">
        <v>46292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46292</v>
      </c>
      <c r="F592" t="inlineStr">
        <is>
          <t>GÄVLEBORGS LÄN</t>
        </is>
      </c>
      <c r="G592" t="inlineStr">
        <is>
          <t>NORDANSTIG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20288-2026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46139</v>
      </c>
      <c r="E593" s="1" t="n">
        <v>46292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46292</v>
      </c>
      <c r="F594" t="inlineStr">
        <is>
          <t>GÄVLEBORGS LÄN</t>
        </is>
      </c>
      <c r="G594" t="inlineStr">
        <is>
          <t>NORDANSTIG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52695-2024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45610</v>
      </c>
      <c r="E595" s="1" t="n">
        <v>46292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62833-2025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46292</v>
      </c>
      <c r="F596" t="inlineStr">
        <is>
          <t>GÄVLEBORGS LÄN</t>
        </is>
      </c>
      <c r="G596" t="inlineStr">
        <is>
          <t>NORDANSTIG</t>
        </is>
      </c>
      <c r="H596" t="inlineStr">
        <is>
          <t>SCA</t>
        </is>
      </c>
      <c r="I596" t="n">
        <v>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63786-2025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46019</v>
      </c>
      <c r="E597" s="1" t="n">
        <v>46292</v>
      </c>
      <c r="F597" t="inlineStr">
        <is>
          <t>GÄVLEBORGS LÄN</t>
        </is>
      </c>
      <c r="G597" t="inlineStr">
        <is>
          <t>NORDANSTIG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9884-2023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46292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31724-2024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45509</v>
      </c>
      <c r="E599" s="1" t="n">
        <v>46292</v>
      </c>
      <c r="F599" t="inlineStr">
        <is>
          <t>GÄVLEBORGS LÄN</t>
        </is>
      </c>
      <c r="G599" t="inlineStr">
        <is>
          <t>NORDANSTIG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46292</v>
      </c>
      <c r="F600" t="inlineStr">
        <is>
          <t>GÄVLEBORGS LÄN</t>
        </is>
      </c>
      <c r="G600" t="inlineStr">
        <is>
          <t>NORDANSTIG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44895</v>
      </c>
      <c r="E601" s="1" t="n">
        <v>46292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44830</v>
      </c>
      <c r="E602" s="1" t="n">
        <v>46292</v>
      </c>
      <c r="F602" t="inlineStr">
        <is>
          <t>GÄVLEBORGS LÄN</t>
        </is>
      </c>
      <c r="G602" t="inlineStr">
        <is>
          <t>NORDANSTIG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64033-2025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46021</v>
      </c>
      <c r="E603" s="1" t="n">
        <v>46292</v>
      </c>
      <c r="F603" t="inlineStr">
        <is>
          <t>GÄVLEBORGS LÄN</t>
        </is>
      </c>
      <c r="G603" t="inlineStr">
        <is>
          <t>NORDANSTIG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46292</v>
      </c>
      <c r="F604" t="inlineStr">
        <is>
          <t>GÄVLEBORGS LÄN</t>
        </is>
      </c>
      <c r="G604" t="inlineStr">
        <is>
          <t>NORDANSTIG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45489</v>
      </c>
      <c r="E605" s="1" t="n">
        <v>46292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46054</v>
      </c>
      <c r="E606" s="1" t="n">
        <v>46292</v>
      </c>
      <c r="F606" t="inlineStr">
        <is>
          <t>GÄVLEBORGS LÄN</t>
        </is>
      </c>
      <c r="G606" t="inlineStr">
        <is>
          <t>NORDANSTIG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46033</v>
      </c>
      <c r="E607" s="1" t="n">
        <v>46292</v>
      </c>
      <c r="F607" t="inlineStr">
        <is>
          <t>GÄVLEBORGS LÄN</t>
        </is>
      </c>
      <c r="G607" t="inlineStr">
        <is>
          <t>NORDANSTIG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33535-2022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46292</v>
      </c>
      <c r="F608" t="inlineStr">
        <is>
          <t>GÄVLEBORGS LÄN</t>
        </is>
      </c>
      <c r="G608" t="inlineStr">
        <is>
          <t>NORDANSTIG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45824</v>
      </c>
      <c r="E609" s="1" t="n">
        <v>46292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46292</v>
      </c>
      <c r="F610" t="inlineStr">
        <is>
          <t>GÄVLEBORGS LÄN</t>
        </is>
      </c>
      <c r="G610" t="inlineStr">
        <is>
          <t>NORDANSTIG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46026</v>
      </c>
      <c r="E611" s="1" t="n">
        <v>46292</v>
      </c>
      <c r="F611" t="inlineStr">
        <is>
          <t>GÄVLEBORGS LÄN</t>
        </is>
      </c>
      <c r="G611" t="inlineStr">
        <is>
          <t>NORDANSTIG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54519-2024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45617</v>
      </c>
      <c r="E612" s="1" t="n">
        <v>46292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63145-2023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45273</v>
      </c>
      <c r="E613" s="1" t="n">
        <v>46292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40733-2023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45170</v>
      </c>
      <c r="E614" s="1" t="n">
        <v>46292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17853-2025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46292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44075-2025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45915</v>
      </c>
      <c r="E616" s="1" t="n">
        <v>46292</v>
      </c>
      <c r="F616" t="inlineStr">
        <is>
          <t>GÄVLEBORGS LÄN</t>
        </is>
      </c>
      <c r="G616" t="inlineStr">
        <is>
          <t>NORDANSTIG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29878-2025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45826</v>
      </c>
      <c r="E617" s="1" t="n">
        <v>46292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46292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46292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46292</v>
      </c>
      <c r="F620" t="inlineStr">
        <is>
          <t>GÄVLEBORGS LÄN</t>
        </is>
      </c>
      <c r="G620" t="inlineStr">
        <is>
          <t>NORDANSTIG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45525</v>
      </c>
      <c r="E621" s="1" t="n">
        <v>46292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29401-2025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45824</v>
      </c>
      <c r="E622" s="1" t="n">
        <v>46292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46021</v>
      </c>
      <c r="E623" s="1" t="n">
        <v>46292</v>
      </c>
      <c r="F623" t="inlineStr">
        <is>
          <t>GÄVLEBORGS LÄN</t>
        </is>
      </c>
      <c r="G623" t="inlineStr">
        <is>
          <t>NORDANSTIG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9976-2026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46073</v>
      </c>
      <c r="E624" s="1" t="n">
        <v>46292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46292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45177</v>
      </c>
      <c r="E626" s="1" t="n">
        <v>46292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56281-2024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46292</v>
      </c>
      <c r="F627" t="inlineStr">
        <is>
          <t>GÄVLEBORGS LÄN</t>
        </is>
      </c>
      <c r="G627" t="inlineStr">
        <is>
          <t>NORDANSTIG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46292</v>
      </c>
      <c r="F628" t="inlineStr">
        <is>
          <t>GÄVLEBORGS LÄN</t>
        </is>
      </c>
      <c r="G628" t="inlineStr">
        <is>
          <t>NORDANSTIG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46292</v>
      </c>
      <c r="F629" t="inlineStr">
        <is>
          <t>GÄVLEBORGS LÄN</t>
        </is>
      </c>
      <c r="G629" t="inlineStr">
        <is>
          <t>NORDANSTIG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46292</v>
      </c>
      <c r="F630" t="inlineStr">
        <is>
          <t>GÄVLEBORGS LÄN</t>
        </is>
      </c>
      <c r="G630" t="inlineStr">
        <is>
          <t>NORDANSTIG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33377-2022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44788</v>
      </c>
      <c r="E631" s="1" t="n">
        <v>46292</v>
      </c>
      <c r="F631" t="inlineStr">
        <is>
          <t>GÄVLEBORGS LÄN</t>
        </is>
      </c>
      <c r="G631" t="inlineStr">
        <is>
          <t>NORDANSTIG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46055</v>
      </c>
      <c r="E632" s="1" t="n">
        <v>46292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45072</v>
      </c>
      <c r="E633" s="1" t="n">
        <v>46292</v>
      </c>
      <c r="F633" t="inlineStr">
        <is>
          <t>GÄVLEBORGS LÄN</t>
        </is>
      </c>
      <c r="G633" t="inlineStr">
        <is>
          <t>NORDANSTIG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21999-2023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45068</v>
      </c>
      <c r="E634" s="1" t="n">
        <v>46292</v>
      </c>
      <c r="F634" t="inlineStr">
        <is>
          <t>GÄVLEBORGS LÄN</t>
        </is>
      </c>
      <c r="G634" t="inlineStr">
        <is>
          <t>NORDANSTIG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9031-2026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46292</v>
      </c>
      <c r="F635" t="inlineStr">
        <is>
          <t>GÄVLEBORGS LÄN</t>
        </is>
      </c>
      <c r="G635" t="inlineStr">
        <is>
          <t>NORDANSTIG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22784-2025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45789</v>
      </c>
      <c r="E636" s="1" t="n">
        <v>46292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55.6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46031</v>
      </c>
      <c r="E637" s="1" t="n">
        <v>46292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51681-2025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45951</v>
      </c>
      <c r="E638" s="1" t="n">
        <v>46292</v>
      </c>
      <c r="F638" t="inlineStr">
        <is>
          <t>GÄVLEBORGS LÄN</t>
        </is>
      </c>
      <c r="G638" t="inlineStr">
        <is>
          <t>NORDANSTIG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30291-2025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45827</v>
      </c>
      <c r="E639" s="1" t="n">
        <v>46292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37640-2025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45880</v>
      </c>
      <c r="E640" s="1" t="n">
        <v>46292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11582-2026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46084</v>
      </c>
      <c r="E641" s="1" t="n">
        <v>46292</v>
      </c>
      <c r="F641" t="inlineStr">
        <is>
          <t>GÄVLEBORGS LÄN</t>
        </is>
      </c>
      <c r="G641" t="inlineStr">
        <is>
          <t>NORDANSTIG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53988-2023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45231</v>
      </c>
      <c r="E642" s="1" t="n">
        <v>46292</v>
      </c>
      <c r="F642" t="inlineStr">
        <is>
          <t>GÄVLEBORGS LÄN</t>
        </is>
      </c>
      <c r="G642" t="inlineStr">
        <is>
          <t>NORDANSTIG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38514-2025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45884</v>
      </c>
      <c r="E643" s="1" t="n">
        <v>46292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21118-2026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46146</v>
      </c>
      <c r="E644" s="1" t="n">
        <v>46292</v>
      </c>
      <c r="F644" t="inlineStr">
        <is>
          <t>GÄVLEBORGS LÄN</t>
        </is>
      </c>
      <c r="G644" t="inlineStr">
        <is>
          <t>NORDANSTIG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5660-2023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44960</v>
      </c>
      <c r="E645" s="1" t="n">
        <v>46292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46292</v>
      </c>
      <c r="F646" t="inlineStr">
        <is>
          <t>GÄVLEBORGS LÄN</t>
        </is>
      </c>
      <c r="G646" t="inlineStr">
        <is>
          <t>NORDANSTIG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46119</v>
      </c>
      <c r="E647" s="1" t="n">
        <v>46292</v>
      </c>
      <c r="F647" t="inlineStr">
        <is>
          <t>GÄVLEBORGS LÄN</t>
        </is>
      </c>
      <c r="G647" t="inlineStr">
        <is>
          <t>NORDANSTIG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46030</v>
      </c>
      <c r="E648" s="1" t="n">
        <v>46292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46038</v>
      </c>
      <c r="E649" s="1" t="n">
        <v>46292</v>
      </c>
      <c r="F649" t="inlineStr">
        <is>
          <t>GÄVLEBORGS LÄN</t>
        </is>
      </c>
      <c r="G649" t="inlineStr">
        <is>
          <t>NORDANSTIG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21055-2026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46292</v>
      </c>
      <c r="F650" t="inlineStr">
        <is>
          <t>GÄVLEBORGS LÄN</t>
        </is>
      </c>
      <c r="G650" t="inlineStr">
        <is>
          <t>NORDANSTIG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46035</v>
      </c>
      <c r="E651" s="1" t="n">
        <v>46292</v>
      </c>
      <c r="F651" t="inlineStr">
        <is>
          <t>GÄVLEBORGS LÄN</t>
        </is>
      </c>
      <c r="G651" t="inlineStr">
        <is>
          <t>NORDANSTIG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21093-2026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46292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46292</v>
      </c>
      <c r="F653" t="inlineStr">
        <is>
          <t>GÄVLEBORGS LÄN</t>
        </is>
      </c>
      <c r="G653" t="inlineStr">
        <is>
          <t>NORDANSTIG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44573</v>
      </c>
      <c r="E654" s="1" t="n">
        <v>46292</v>
      </c>
      <c r="F654" t="inlineStr">
        <is>
          <t>GÄVLEBORGS LÄN</t>
        </is>
      </c>
      <c r="G654" t="inlineStr">
        <is>
          <t>NORDANSTIG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18933-2023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46292</v>
      </c>
      <c r="F655" t="inlineStr">
        <is>
          <t>GÄVLEBORGS LÄN</t>
        </is>
      </c>
      <c r="G655" t="inlineStr">
        <is>
          <t>NORDANSTIG</t>
        </is>
      </c>
      <c r="I655" t="n">
        <v>26.6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30870-2025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45832</v>
      </c>
      <c r="E656" s="1" t="n">
        <v>46292</v>
      </c>
      <c r="F656" t="inlineStr">
        <is>
          <t>GÄVLEBORGS LÄN</t>
        </is>
      </c>
      <c r="G656" t="inlineStr">
        <is>
          <t>NORDANSTIG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10680-2026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46078</v>
      </c>
      <c r="E657" s="1" t="n">
        <v>46292</v>
      </c>
      <c r="F657" t="inlineStr">
        <is>
          <t>GÄVLEBORGS LÄN</t>
        </is>
      </c>
      <c r="G657" t="inlineStr">
        <is>
          <t>NORDANSTIG</t>
        </is>
      </c>
      <c r="I657" t="n">
        <v>10.9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21648-2026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46149</v>
      </c>
      <c r="E658" s="1" t="n">
        <v>46292</v>
      </c>
      <c r="F658" t="inlineStr">
        <is>
          <t>GÄVLEBORGS LÄN</t>
        </is>
      </c>
      <c r="G658" t="inlineStr">
        <is>
          <t>NORDANSTIG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45832</v>
      </c>
      <c r="E659" s="1" t="n">
        <v>46292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35931-2023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45148</v>
      </c>
      <c r="E660" s="1" t="n">
        <v>46292</v>
      </c>
      <c r="F660" t="inlineStr">
        <is>
          <t>GÄVLEBORGS LÄN</t>
        </is>
      </c>
      <c r="G660" t="inlineStr">
        <is>
          <t>NORDANSTIG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31197-2025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45832</v>
      </c>
      <c r="E661" s="1" t="n">
        <v>46292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21661-2026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46292</v>
      </c>
      <c r="F662" t="inlineStr">
        <is>
          <t>GÄVLEBORGS LÄN</t>
        </is>
      </c>
      <c r="G662" t="inlineStr">
        <is>
          <t>NORDANSTIG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46292</v>
      </c>
      <c r="F663" t="inlineStr">
        <is>
          <t>GÄVLEBORGS LÄN</t>
        </is>
      </c>
      <c r="G663" t="inlineStr">
        <is>
          <t>NORDANSTIG</t>
        </is>
      </c>
      <c r="I663" t="n">
        <v>15.6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18691-2026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46292</v>
      </c>
      <c r="F664" t="inlineStr">
        <is>
          <t>GÄVLEBORGS LÄN</t>
        </is>
      </c>
      <c r="G664" t="inlineStr">
        <is>
          <t>NORDANSTIG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5981-2026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46052</v>
      </c>
      <c r="E665" s="1" t="n">
        <v>46292</v>
      </c>
      <c r="F665" t="inlineStr">
        <is>
          <t>GÄVLEBORGS LÄN</t>
        </is>
      </c>
      <c r="G665" t="inlineStr">
        <is>
          <t>NORDANSTIG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46026</v>
      </c>
      <c r="E666" s="1" t="n">
        <v>46292</v>
      </c>
      <c r="F666" t="inlineStr">
        <is>
          <t>GÄVLEBORGS LÄN</t>
        </is>
      </c>
      <c r="G666" t="inlineStr">
        <is>
          <t>NORDANSTIG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17840-2023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45037</v>
      </c>
      <c r="E667" s="1" t="n">
        <v>46292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37739-2024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45541</v>
      </c>
      <c r="E668" s="1" t="n">
        <v>46292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3.6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61419-2024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45646</v>
      </c>
      <c r="E669" s="1" t="n">
        <v>46292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46292</v>
      </c>
      <c r="F670" t="inlineStr">
        <is>
          <t>GÄVLEBORGS LÄN</t>
        </is>
      </c>
      <c r="G670" t="inlineStr">
        <is>
          <t>NORDANSTIG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17283-2026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46119</v>
      </c>
      <c r="E671" s="1" t="n">
        <v>46292</v>
      </c>
      <c r="F671" t="inlineStr">
        <is>
          <t>GÄVLEBORGS LÄN</t>
        </is>
      </c>
      <c r="G671" t="inlineStr">
        <is>
          <t>NORDANSTIG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45222</v>
      </c>
      <c r="E672" s="1" t="n">
        <v>46292</v>
      </c>
      <c r="F672" t="inlineStr">
        <is>
          <t>GÄVLEBORGS LÄN</t>
        </is>
      </c>
      <c r="G672" t="inlineStr">
        <is>
          <t>NORDANSTIG</t>
        </is>
      </c>
      <c r="I672" t="n">
        <v>26.9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46292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58184-2022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44900</v>
      </c>
      <c r="E674" s="1" t="n">
        <v>46292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14532-2026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46100</v>
      </c>
      <c r="E675" s="1" t="n">
        <v>46292</v>
      </c>
      <c r="F675" t="inlineStr">
        <is>
          <t>GÄVLEBORGS LÄN</t>
        </is>
      </c>
      <c r="G675" t="inlineStr">
        <is>
          <t>NORDANSTIG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52206-2022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44869</v>
      </c>
      <c r="E676" s="1" t="n">
        <v>46292</v>
      </c>
      <c r="F676" t="inlineStr">
        <is>
          <t>GÄVLEBORGS LÄN</t>
        </is>
      </c>
      <c r="G676" t="inlineStr">
        <is>
          <t>NORDANSTIG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46292</v>
      </c>
      <c r="F677" t="inlineStr">
        <is>
          <t>GÄVLEBORGS LÄN</t>
        </is>
      </c>
      <c r="G677" t="inlineStr">
        <is>
          <t>NORDANSTIG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45297</v>
      </c>
      <c r="E678" s="1" t="n">
        <v>46292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22500-2026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46292</v>
      </c>
      <c r="F679" t="inlineStr">
        <is>
          <t>GÄVLEBORGS LÄN</t>
        </is>
      </c>
      <c r="G679" t="inlineStr">
        <is>
          <t>NORDANSTIG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46157</v>
      </c>
      <c r="E680" s="1" t="n">
        <v>46292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40477-2024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45555</v>
      </c>
      <c r="E681" s="1" t="n">
        <v>46292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44339-2024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45573</v>
      </c>
      <c r="E682" s="1" t="n">
        <v>46292</v>
      </c>
      <c r="F682" t="inlineStr">
        <is>
          <t>GÄVLEBORGS LÄN</t>
        </is>
      </c>
      <c r="G682" t="inlineStr">
        <is>
          <t>NORDANSTIG</t>
        </is>
      </c>
      <c r="I682" t="n">
        <v>10.7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23002-2026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46160</v>
      </c>
      <c r="E683" s="1" t="n">
        <v>46292</v>
      </c>
      <c r="F683" t="inlineStr">
        <is>
          <t>GÄVLEBORGS LÄN</t>
        </is>
      </c>
      <c r="G683" t="inlineStr">
        <is>
          <t>NORDANSTIG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32092-2025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45835</v>
      </c>
      <c r="E684" s="1" t="n">
        <v>46292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44964</v>
      </c>
      <c r="E685" s="1" t="n">
        <v>46292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8.199999999999999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32105-2025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45835</v>
      </c>
      <c r="E686" s="1" t="n">
        <v>46292</v>
      </c>
      <c r="F686" t="inlineStr">
        <is>
          <t>GÄVLEBORGS LÄN</t>
        </is>
      </c>
      <c r="G686" t="inlineStr">
        <is>
          <t>NORDANSTIG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32082-2025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45835</v>
      </c>
      <c r="E687" s="1" t="n">
        <v>46292</v>
      </c>
      <c r="F687" t="inlineStr">
        <is>
          <t>GÄVLEBORGS LÄN</t>
        </is>
      </c>
      <c r="G687" t="inlineStr">
        <is>
          <t>NORDANSTIG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32635-2022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44783</v>
      </c>
      <c r="E688" s="1" t="n">
        <v>46292</v>
      </c>
      <c r="F688" t="inlineStr">
        <is>
          <t>GÄVLEBORGS LÄN</t>
        </is>
      </c>
      <c r="G688" t="inlineStr">
        <is>
          <t>NORDANSTIG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28680-2023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45103</v>
      </c>
      <c r="E689" s="1" t="n">
        <v>46292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46292</v>
      </c>
      <c r="F690" t="inlineStr">
        <is>
          <t>GÄVLEBORGS LÄN</t>
        </is>
      </c>
      <c r="G690" t="inlineStr">
        <is>
          <t>NORDANSTIG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33097-2025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46292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40104-2024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45554</v>
      </c>
      <c r="E692" s="1" t="n">
        <v>46292</v>
      </c>
      <c r="F692" t="inlineStr">
        <is>
          <t>GÄVLEBORGS LÄN</t>
        </is>
      </c>
      <c r="G692" t="inlineStr">
        <is>
          <t>NORDANSTIG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45839</v>
      </c>
      <c r="E693" s="1" t="n">
        <v>46292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46111</v>
      </c>
      <c r="E694" s="1" t="n">
        <v>46292</v>
      </c>
      <c r="F694" t="inlineStr">
        <is>
          <t>GÄVLEBORGS LÄN</t>
        </is>
      </c>
      <c r="G694" t="inlineStr">
        <is>
          <t>NORDANSTIG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33355-2025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45841</v>
      </c>
      <c r="E695" s="1" t="n">
        <v>46292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46051</v>
      </c>
      <c r="E696" s="1" t="n">
        <v>46292</v>
      </c>
      <c r="F696" t="inlineStr">
        <is>
          <t>GÄVLEBORGS LÄN</t>
        </is>
      </c>
      <c r="G696" t="inlineStr">
        <is>
          <t>NORDANSTIG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33339-2025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45841</v>
      </c>
      <c r="E697" s="1" t="n">
        <v>46292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46043</v>
      </c>
      <c r="E698" s="1" t="n">
        <v>46292</v>
      </c>
      <c r="F698" t="inlineStr">
        <is>
          <t>GÄVLEBORGS LÄN</t>
        </is>
      </c>
      <c r="G698" t="inlineStr">
        <is>
          <t>NORDANSTIG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23039-2026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46161</v>
      </c>
      <c r="E699" s="1" t="n">
        <v>46292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33532-2025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46292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60869-2024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45644</v>
      </c>
      <c r="E701" s="1" t="n">
        <v>46292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34311-2025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45846</v>
      </c>
      <c r="E702" s="1" t="n">
        <v>46292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34342-2025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45846</v>
      </c>
      <c r="E703" s="1" t="n">
        <v>46292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64835-2021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44512</v>
      </c>
      <c r="E704" s="1" t="n">
        <v>46292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46164</v>
      </c>
      <c r="E705" s="1" t="n">
        <v>46292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23506-2026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46163</v>
      </c>
      <c r="E706" s="1" t="n">
        <v>46292</v>
      </c>
      <c r="F706" t="inlineStr">
        <is>
          <t>GÄVLEBORGS LÄN</t>
        </is>
      </c>
      <c r="G706" t="inlineStr">
        <is>
          <t>NORDANSTIG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23654-2026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46164</v>
      </c>
      <c r="E707" s="1" t="n">
        <v>46292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45848</v>
      </c>
      <c r="E708" s="1" t="n">
        <v>46292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14866-2024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45397</v>
      </c>
      <c r="E709" s="1" t="n">
        <v>46292</v>
      </c>
      <c r="F709" t="inlineStr">
        <is>
          <t>GÄVLEBORGS LÄN</t>
        </is>
      </c>
      <c r="G709" t="inlineStr">
        <is>
          <t>NORDANSTIG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45848</v>
      </c>
      <c r="E710" s="1" t="n">
        <v>46292</v>
      </c>
      <c r="F710" t="inlineStr">
        <is>
          <t>GÄVLEBORGS LÄN</t>
        </is>
      </c>
      <c r="G710" t="inlineStr">
        <is>
          <t>NORDANSTIG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24178-2026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46168</v>
      </c>
      <c r="E711" s="1" t="n">
        <v>46292</v>
      </c>
      <c r="F711" t="inlineStr">
        <is>
          <t>GÄVLEBORGS LÄN</t>
        </is>
      </c>
      <c r="G711" t="inlineStr">
        <is>
          <t>NORDANSTIG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23895-2026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46167</v>
      </c>
      <c r="E712" s="1" t="n">
        <v>46292</v>
      </c>
      <c r="F712" t="inlineStr">
        <is>
          <t>GÄVLEBORGS LÄN</t>
        </is>
      </c>
      <c r="G712" t="inlineStr">
        <is>
          <t>NORDANSTIG</t>
        </is>
      </c>
      <c r="I712" t="n">
        <v>18.1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65039-2023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45287</v>
      </c>
      <c r="E713" s="1" t="n">
        <v>46292</v>
      </c>
      <c r="F713" t="inlineStr">
        <is>
          <t>GÄVLEBORGS LÄN</t>
        </is>
      </c>
      <c r="G713" t="inlineStr">
        <is>
          <t>NORDANSTIG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34694-2025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45848</v>
      </c>
      <c r="E714" s="1" t="n">
        <v>46292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44952</v>
      </c>
      <c r="E715" s="1" t="n">
        <v>46292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3.4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55694-2024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46292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46292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23900-2026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46167</v>
      </c>
      <c r="E718" s="1" t="n">
        <v>46292</v>
      </c>
      <c r="F718" t="inlineStr">
        <is>
          <t>GÄVLEBORGS LÄN</t>
        </is>
      </c>
      <c r="G718" t="inlineStr">
        <is>
          <t>NORDANSTIG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23770-2024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46292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24265-2026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46292</v>
      </c>
      <c r="F720" t="inlineStr">
        <is>
          <t>GÄVLEBORGS LÄN</t>
        </is>
      </c>
      <c r="G720" t="inlineStr">
        <is>
          <t>NORDANSTIG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45695</v>
      </c>
      <c r="E721" s="1" t="n">
        <v>46292</v>
      </c>
      <c r="F721" t="inlineStr">
        <is>
          <t>GÄVLEBORGS LÄN</t>
        </is>
      </c>
      <c r="G721" t="inlineStr">
        <is>
          <t>NORDANSTIG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24106-2023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45079</v>
      </c>
      <c r="E722" s="1" t="n">
        <v>46292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46030</v>
      </c>
      <c r="E723" s="1" t="n">
        <v>46292</v>
      </c>
      <c r="F723" t="inlineStr">
        <is>
          <t>GÄVLEBORGS LÄN</t>
        </is>
      </c>
      <c r="G723" t="inlineStr">
        <is>
          <t>NORDANSTIG</t>
        </is>
      </c>
      <c r="I723" t="n">
        <v>11.5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35707-2025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45860</v>
      </c>
      <c r="E724" s="1" t="n">
        <v>46292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35652-2025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45859</v>
      </c>
      <c r="E725" s="1" t="n">
        <v>46292</v>
      </c>
      <c r="F725" t="inlineStr">
        <is>
          <t>GÄVLEBORGS LÄN</t>
        </is>
      </c>
      <c r="G725" t="inlineStr">
        <is>
          <t>NORDANSTIG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24612-2026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46292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62816-2023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45271</v>
      </c>
      <c r="E727" s="1" t="n">
        <v>46292</v>
      </c>
      <c r="F727" t="inlineStr">
        <is>
          <t>GÄVLEBORGS LÄN</t>
        </is>
      </c>
      <c r="G727" t="inlineStr">
        <is>
          <t>NORDANSTIG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24646-2026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46171</v>
      </c>
      <c r="E728" s="1" t="n">
        <v>46292</v>
      </c>
      <c r="F728" t="inlineStr">
        <is>
          <t>GÄVLEBORGS LÄN</t>
        </is>
      </c>
      <c r="G728" t="inlineStr">
        <is>
          <t>NORDANSTIG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35733-2025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45860</v>
      </c>
      <c r="E729" s="1" t="n">
        <v>46292</v>
      </c>
      <c r="F729" t="inlineStr">
        <is>
          <t>GÄVLEBORGS LÄN</t>
        </is>
      </c>
      <c r="G729" t="inlineStr">
        <is>
          <t>NORDANSTIG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44938</v>
      </c>
      <c r="E730" s="1" t="n">
        <v>46292</v>
      </c>
      <c r="F730" t="inlineStr">
        <is>
          <t>GÄVLEBORGS LÄN</t>
        </is>
      </c>
      <c r="G730" t="inlineStr">
        <is>
          <t>NORDANSTIG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3819-2026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46043</v>
      </c>
      <c r="E731" s="1" t="n">
        <v>46292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46292</v>
      </c>
      <c r="F732" t="inlineStr">
        <is>
          <t>GÄVLEBORGS LÄN</t>
        </is>
      </c>
      <c r="G732" t="inlineStr">
        <is>
          <t>NORDANSTIG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46292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12095-2023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46292</v>
      </c>
      <c r="F734" t="inlineStr">
        <is>
          <t>GÄVLEBORGS LÄN</t>
        </is>
      </c>
      <c r="G734" t="inlineStr">
        <is>
          <t>NORDANSTIG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46292</v>
      </c>
      <c r="F735" t="inlineStr">
        <is>
          <t>GÄVLEBORGS LÄN</t>
        </is>
      </c>
      <c r="G735" t="inlineStr">
        <is>
          <t>NORDANSTIG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65208-2023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45289</v>
      </c>
      <c r="E736" s="1" t="n">
        <v>46292</v>
      </c>
      <c r="F736" t="inlineStr">
        <is>
          <t>GÄVLEBORGS LÄN</t>
        </is>
      </c>
      <c r="G736" t="inlineStr">
        <is>
          <t>NORDANSTIG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24500-2026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46292</v>
      </c>
      <c r="F737" t="inlineStr">
        <is>
          <t>GÄVLEBORGS LÄN</t>
        </is>
      </c>
      <c r="G737" t="inlineStr">
        <is>
          <t>NORDANSTIG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25166-2026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46175</v>
      </c>
      <c r="E738" s="1" t="n">
        <v>46292</v>
      </c>
      <c r="F738" t="inlineStr">
        <is>
          <t>GÄVLEBORGS LÄN</t>
        </is>
      </c>
      <c r="G738" t="inlineStr">
        <is>
          <t>NORDANSTIG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51380-2024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45604</v>
      </c>
      <c r="E739" s="1" t="n">
        <v>46292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46292</v>
      </c>
      <c r="F740" t="inlineStr">
        <is>
          <t>GÄVLEBORGS LÄN</t>
        </is>
      </c>
      <c r="G740" t="inlineStr">
        <is>
          <t>NORDANSTIG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25089-2026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46175</v>
      </c>
      <c r="E741" s="1" t="n">
        <v>46292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62089-2021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44502</v>
      </c>
      <c r="E742" s="1" t="n">
        <v>46292</v>
      </c>
      <c r="F742" t="inlineStr">
        <is>
          <t>GÄVLEBORGS LÄN</t>
        </is>
      </c>
      <c r="G742" t="inlineStr">
        <is>
          <t>NORDANSTIG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20747-2023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45058</v>
      </c>
      <c r="E743" s="1" t="n">
        <v>46292</v>
      </c>
      <c r="F743" t="inlineStr">
        <is>
          <t>GÄVLEBORGS LÄN</t>
        </is>
      </c>
      <c r="G743" t="inlineStr">
        <is>
          <t>NORDANSTIG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18288-2023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45041</v>
      </c>
      <c r="E744" s="1" t="n">
        <v>46292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11087-2022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44628</v>
      </c>
      <c r="E745" s="1" t="n">
        <v>46292</v>
      </c>
      <c r="F745" t="inlineStr">
        <is>
          <t>GÄVLEBORGS LÄN</t>
        </is>
      </c>
      <c r="G745" t="inlineStr">
        <is>
          <t>NORDANSTIG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50657-2024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45601</v>
      </c>
      <c r="E746" s="1" t="n">
        <v>46292</v>
      </c>
      <c r="F746" t="inlineStr">
        <is>
          <t>GÄVLEBORGS LÄN</t>
        </is>
      </c>
      <c r="G746" t="inlineStr">
        <is>
          <t>NORDANSTIG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25406-2026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46176</v>
      </c>
      <c r="E747" s="1" t="n">
        <v>46292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45306</v>
      </c>
      <c r="E748" s="1" t="n">
        <v>46292</v>
      </c>
      <c r="F748" t="inlineStr">
        <is>
          <t>GÄVLEBORGS LÄN</t>
        </is>
      </c>
      <c r="G748" t="inlineStr">
        <is>
          <t>NORDANSTIG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45141</v>
      </c>
      <c r="E749" s="1" t="n">
        <v>46292</v>
      </c>
      <c r="F749" t="inlineStr">
        <is>
          <t>GÄVLEBORGS LÄN</t>
        </is>
      </c>
      <c r="G749" t="inlineStr">
        <is>
          <t>NORDANSTIG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6923-2024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45343</v>
      </c>
      <c r="E750" s="1" t="n">
        <v>46292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6583-2022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44601</v>
      </c>
      <c r="E751" s="1" t="n">
        <v>46292</v>
      </c>
      <c r="F751" t="inlineStr">
        <is>
          <t>GÄVLEBORGS LÄN</t>
        </is>
      </c>
      <c r="G751" t="inlineStr">
        <is>
          <t>NORDANSTIG</t>
        </is>
      </c>
      <c r="I751" t="n">
        <v>8.800000000000001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46177</v>
      </c>
      <c r="E752" s="1" t="n">
        <v>46292</v>
      </c>
      <c r="F752" t="inlineStr">
        <is>
          <t>GÄVLEBORGS LÄN</t>
        </is>
      </c>
      <c r="G752" t="inlineStr">
        <is>
          <t>NORDANSTIG</t>
        </is>
      </c>
      <c r="H752" t="inlineStr">
        <is>
          <t>SCA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46042</v>
      </c>
      <c r="E753" s="1" t="n">
        <v>46292</v>
      </c>
      <c r="F753" t="inlineStr">
        <is>
          <t>GÄVLEBORGS LÄN</t>
        </is>
      </c>
      <c r="G753" t="inlineStr">
        <is>
          <t>NORDANSTIG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20133-2026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46136</v>
      </c>
      <c r="E754" s="1" t="n">
        <v>46292</v>
      </c>
      <c r="F754" t="inlineStr">
        <is>
          <t>GÄVLEBORGS LÄN</t>
        </is>
      </c>
      <c r="G754" t="inlineStr">
        <is>
          <t>NORDANSTIG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10910-2026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46292</v>
      </c>
      <c r="F755" t="inlineStr">
        <is>
          <t>GÄVLEBORGS LÄN</t>
        </is>
      </c>
      <c r="G755" t="inlineStr">
        <is>
          <t>NORDANSTIG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46292</v>
      </c>
      <c r="F756" t="inlineStr">
        <is>
          <t>GÄVLEBORGS LÄN</t>
        </is>
      </c>
      <c r="G756" t="inlineStr">
        <is>
          <t>NORDANSTIG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16640-2025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45754</v>
      </c>
      <c r="E757" s="1" t="n">
        <v>46292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11627-2026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46084</v>
      </c>
      <c r="E758" s="1" t="n">
        <v>46292</v>
      </c>
      <c r="F758" t="inlineStr">
        <is>
          <t>GÄVLEBORGS LÄN</t>
        </is>
      </c>
      <c r="G758" t="inlineStr">
        <is>
          <t>NORDANSTIG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32471-2023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45120</v>
      </c>
      <c r="E759" s="1" t="n">
        <v>46292</v>
      </c>
      <c r="F759" t="inlineStr">
        <is>
          <t>GÄVLEBORGS LÄN</t>
        </is>
      </c>
      <c r="G759" t="inlineStr">
        <is>
          <t>NORDANSTIG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25402-2024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45463</v>
      </c>
      <c r="E760" s="1" t="n">
        <v>46292</v>
      </c>
      <c r="F760" t="inlineStr">
        <is>
          <t>GÄVLEBORGS LÄN</t>
        </is>
      </c>
      <c r="G760" t="inlineStr">
        <is>
          <t>NORDANSTIG</t>
        </is>
      </c>
      <c r="H760" t="inlineStr">
        <is>
          <t>Holmen skog AB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45525</v>
      </c>
      <c r="E761" s="1" t="n">
        <v>46292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26126-2026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46181</v>
      </c>
      <c r="E762" s="1" t="n">
        <v>46292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26044-2026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46181</v>
      </c>
      <c r="E763" s="1" t="n">
        <v>46292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5608-2026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46051</v>
      </c>
      <c r="E764" s="1" t="n">
        <v>46292</v>
      </c>
      <c r="F764" t="inlineStr">
        <is>
          <t>GÄVLEBORGS LÄN</t>
        </is>
      </c>
      <c r="G764" t="inlineStr">
        <is>
          <t>NORDANSTIG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46292</v>
      </c>
      <c r="F765" t="inlineStr">
        <is>
          <t>GÄVLEBORGS LÄN</t>
        </is>
      </c>
      <c r="G765" t="inlineStr">
        <is>
          <t>NORDANSTIG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45566</v>
      </c>
      <c r="E766" s="1" t="n">
        <v>46292</v>
      </c>
      <c r="F766" t="inlineStr">
        <is>
          <t>GÄVLEBORGS LÄN</t>
        </is>
      </c>
      <c r="G766" t="inlineStr">
        <is>
          <t>NORDANSTIG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25931-2026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46179</v>
      </c>
      <c r="E767" s="1" t="n">
        <v>46292</v>
      </c>
      <c r="F767" t="inlineStr">
        <is>
          <t>GÄVLEBORGS LÄN</t>
        </is>
      </c>
      <c r="G767" t="inlineStr">
        <is>
          <t>NORDANSTIG</t>
        </is>
      </c>
      <c r="I767" t="n">
        <v>8.4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49455-2024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45596</v>
      </c>
      <c r="E768" s="1" t="n">
        <v>46292</v>
      </c>
      <c r="F768" t="inlineStr">
        <is>
          <t>GÄVLEBORGS LÄN</t>
        </is>
      </c>
      <c r="G768" t="inlineStr">
        <is>
          <t>NORDANSTIG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25704-2026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46292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44601</v>
      </c>
      <c r="E770" s="1" t="n">
        <v>46292</v>
      </c>
      <c r="F770" t="inlineStr">
        <is>
          <t>GÄVLEBORGS LÄN</t>
        </is>
      </c>
      <c r="G770" t="inlineStr">
        <is>
          <t>NORDANSTIG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54713-2024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45618</v>
      </c>
      <c r="E771" s="1" t="n">
        <v>46292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62646-2023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45271</v>
      </c>
      <c r="E772" s="1" t="n">
        <v>46292</v>
      </c>
      <c r="F772" t="inlineStr">
        <is>
          <t>GÄVLEBORGS LÄN</t>
        </is>
      </c>
      <c r="G772" t="inlineStr">
        <is>
          <t>NORDANSTIG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60193-2024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45642</v>
      </c>
      <c r="E773" s="1" t="n">
        <v>46292</v>
      </c>
      <c r="F773" t="inlineStr">
        <is>
          <t>GÄVLEBORGS LÄN</t>
        </is>
      </c>
      <c r="G773" t="inlineStr">
        <is>
          <t>NORDANSTIG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23417-2023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46292</v>
      </c>
      <c r="F774" t="inlineStr">
        <is>
          <t>GÄVLEBORGS LÄN</t>
        </is>
      </c>
      <c r="G774" t="inlineStr">
        <is>
          <t>NORDANSTIG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44603</v>
      </c>
      <c r="E775" s="1" t="n">
        <v>46292</v>
      </c>
      <c r="F775" t="inlineStr">
        <is>
          <t>GÄVLEBORGS LÄN</t>
        </is>
      </c>
      <c r="G775" t="inlineStr">
        <is>
          <t>NORDANSTIG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26486-2026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46183</v>
      </c>
      <c r="E776" s="1" t="n">
        <v>46292</v>
      </c>
      <c r="F776" t="inlineStr">
        <is>
          <t>GÄVLEBORGS LÄN</t>
        </is>
      </c>
      <c r="G776" t="inlineStr">
        <is>
          <t>NORDANSTIG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46292</v>
      </c>
      <c r="F777" t="inlineStr">
        <is>
          <t>GÄVLEBORGS LÄN</t>
        </is>
      </c>
      <c r="G777" t="inlineStr">
        <is>
          <t>NORDANSTIG</t>
        </is>
      </c>
      <c r="H777" t="inlineStr">
        <is>
          <t>SCA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9382-2022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44616</v>
      </c>
      <c r="E778" s="1" t="n">
        <v>46292</v>
      </c>
      <c r="F778" t="inlineStr">
        <is>
          <t>GÄVLEBORGS LÄN</t>
        </is>
      </c>
      <c r="G778" t="inlineStr">
        <is>
          <t>NORDANSTIG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26838-2026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46292</v>
      </c>
      <c r="F779" t="inlineStr">
        <is>
          <t>GÄVLEBORGS LÄN</t>
        </is>
      </c>
      <c r="G779" t="inlineStr">
        <is>
          <t>NORDANSTIG</t>
        </is>
      </c>
      <c r="H779" t="inlineStr">
        <is>
          <t>SCA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46292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36186-2023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45149</v>
      </c>
      <c r="E781" s="1" t="n">
        <v>46292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26893-2026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46292</v>
      </c>
      <c r="F782" t="inlineStr">
        <is>
          <t>GÄVLEBORGS LÄN</t>
        </is>
      </c>
      <c r="G782" t="inlineStr">
        <is>
          <t>NORDANSTIG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40738-2023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45170</v>
      </c>
      <c r="E783" s="1" t="n">
        <v>46292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62465-2021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44503</v>
      </c>
      <c r="E784" s="1" t="n">
        <v>46292</v>
      </c>
      <c r="F784" t="inlineStr">
        <is>
          <t>GÄVLEBORGS LÄN</t>
        </is>
      </c>
      <c r="G784" t="inlineStr">
        <is>
          <t>NORDANSTIG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21473-2023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46292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27114-2026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46292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36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54705-2024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46292</v>
      </c>
      <c r="F787" t="inlineStr">
        <is>
          <t>GÄVLEBORGS LÄN</t>
        </is>
      </c>
      <c r="G787" t="inlineStr">
        <is>
          <t>NORDANSTIG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27129-2026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46188</v>
      </c>
      <c r="E788" s="1" t="n">
        <v>46292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25.3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41773-2025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45902</v>
      </c>
      <c r="E789" s="1" t="n">
        <v>46292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27149-2026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46188</v>
      </c>
      <c r="E790" s="1" t="n">
        <v>46292</v>
      </c>
      <c r="F790" t="inlineStr">
        <is>
          <t>GÄVLEBORGS LÄN</t>
        </is>
      </c>
      <c r="G790" t="inlineStr">
        <is>
          <t>NORDANSTIG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36028-2024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45533</v>
      </c>
      <c r="E791" s="1" t="n">
        <v>46292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38332-2024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45545</v>
      </c>
      <c r="E792" s="1" t="n">
        <v>46292</v>
      </c>
      <c r="F792" t="inlineStr">
        <is>
          <t>GÄVLEBORGS LÄN</t>
        </is>
      </c>
      <c r="G792" t="inlineStr">
        <is>
          <t>NORDANSTIG</t>
        </is>
      </c>
      <c r="I792" t="n">
        <v>11.5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46292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27236-2026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46188</v>
      </c>
      <c r="E794" s="1" t="n">
        <v>46292</v>
      </c>
      <c r="F794" t="inlineStr">
        <is>
          <t>GÄVLEBORGS LÄN</t>
        </is>
      </c>
      <c r="G794" t="inlineStr">
        <is>
          <t>NORDANSTIG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18322-2024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45422</v>
      </c>
      <c r="E795" s="1" t="n">
        <v>46292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48636-2024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45593</v>
      </c>
      <c r="E796" s="1" t="n">
        <v>46292</v>
      </c>
      <c r="F796" t="inlineStr">
        <is>
          <t>GÄVLEBORGS LÄN</t>
        </is>
      </c>
      <c r="G796" t="inlineStr">
        <is>
          <t>NORDANSTIG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46292</v>
      </c>
      <c r="F797" t="inlineStr">
        <is>
          <t>GÄVLEBORGS LÄN</t>
        </is>
      </c>
      <c r="G797" t="inlineStr">
        <is>
          <t>NORDANSTIG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46292</v>
      </c>
      <c r="F798" t="inlineStr">
        <is>
          <t>GÄVLEBORGS LÄN</t>
        </is>
      </c>
      <c r="G798" t="inlineStr">
        <is>
          <t>NORDANSTIG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37031-2024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45539</v>
      </c>
      <c r="E799" s="1" t="n">
        <v>46292</v>
      </c>
      <c r="F799" t="inlineStr">
        <is>
          <t>GÄVLEBORGS LÄN</t>
        </is>
      </c>
      <c r="G799" t="inlineStr">
        <is>
          <t>NORDANSTIG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44500-2024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46292</v>
      </c>
      <c r="F800" t="inlineStr">
        <is>
          <t>GÄVLEBORGS LÄN</t>
        </is>
      </c>
      <c r="G800" t="inlineStr">
        <is>
          <t>NORDANSTIG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54685-2024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46292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27975-2026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46195</v>
      </c>
      <c r="E802" s="1" t="n">
        <v>46292</v>
      </c>
      <c r="F802" t="inlineStr">
        <is>
          <t>GÄVLEBORGS LÄN</t>
        </is>
      </c>
      <c r="G802" t="inlineStr">
        <is>
          <t>NORDANSTIG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46195</v>
      </c>
      <c r="E803" s="1" t="n">
        <v>46292</v>
      </c>
      <c r="F803" t="inlineStr">
        <is>
          <t>GÄVLEBORGS LÄN</t>
        </is>
      </c>
      <c r="G803" t="inlineStr">
        <is>
          <t>NORDANSTIG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46195</v>
      </c>
      <c r="E804" s="1" t="n">
        <v>46292</v>
      </c>
      <c r="F804" t="inlineStr">
        <is>
          <t>GÄVLEBORGS LÄN</t>
        </is>
      </c>
      <c r="G804" t="inlineStr">
        <is>
          <t>NORDANSTIG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44009-2023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45188</v>
      </c>
      <c r="E805" s="1" t="n">
        <v>46292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73389-2021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44551</v>
      </c>
      <c r="E806" s="1" t="n">
        <v>46292</v>
      </c>
      <c r="F806" t="inlineStr">
        <is>
          <t>GÄVLEBORGS LÄN</t>
        </is>
      </c>
      <c r="G806" t="inlineStr">
        <is>
          <t>NORDANSTIG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12858-2025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45733</v>
      </c>
      <c r="E807" s="1" t="n">
        <v>46292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28529-2026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46292</v>
      </c>
      <c r="F808" t="inlineStr">
        <is>
          <t>GÄVLEBORGS LÄN</t>
        </is>
      </c>
      <c r="G808" t="inlineStr">
        <is>
          <t>NORDANSTIG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44596</v>
      </c>
      <c r="E809" s="1" t="n">
        <v>46292</v>
      </c>
      <c r="F809" t="inlineStr">
        <is>
          <t>GÄVLEBORGS LÄN</t>
        </is>
      </c>
      <c r="G809" t="inlineStr">
        <is>
          <t>NORDANSTIG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46196</v>
      </c>
      <c r="E810" s="1" t="n">
        <v>46292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10042-2025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46292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6.6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57863-2024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46292</v>
      </c>
      <c r="F812" t="inlineStr">
        <is>
          <t>GÄVLEBORGS LÄN</t>
        </is>
      </c>
      <c r="G812" t="inlineStr">
        <is>
          <t>NORDANSTIG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57866-2024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45631</v>
      </c>
      <c r="E813" s="1" t="n">
        <v>46292</v>
      </c>
      <c r="F813" t="inlineStr">
        <is>
          <t>GÄVLEBORGS LÄN</t>
        </is>
      </c>
      <c r="G813" t="inlineStr">
        <is>
          <t>NORDANSTIG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41616-2023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45175</v>
      </c>
      <c r="E814" s="1" t="n">
        <v>46292</v>
      </c>
      <c r="F814" t="inlineStr">
        <is>
          <t>GÄVLEBORGS LÄN</t>
        </is>
      </c>
      <c r="G814" t="inlineStr">
        <is>
          <t>NORDANSTIG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46292</v>
      </c>
      <c r="F815" t="inlineStr">
        <is>
          <t>GÄVLEBORGS LÄN</t>
        </is>
      </c>
      <c r="G815" t="inlineStr">
        <is>
          <t>NORDANSTIG</t>
        </is>
      </c>
      <c r="I815" t="n">
        <v>4.1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28226-2026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46196</v>
      </c>
      <c r="E816" s="1" t="n">
        <v>46292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46292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28777-2026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46292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40613-2023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45170</v>
      </c>
      <c r="E819" s="1" t="n">
        <v>46292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46292</v>
      </c>
      <c r="F820" t="inlineStr">
        <is>
          <t>GÄVLEBORGS LÄN</t>
        </is>
      </c>
      <c r="G820" t="inlineStr">
        <is>
          <t>NORDANSTIG</t>
        </is>
      </c>
      <c r="I820" t="n">
        <v>11.2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45880</v>
      </c>
      <c r="E821" s="1" t="n">
        <v>46292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56733-2024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45628</v>
      </c>
      <c r="E822" s="1" t="n">
        <v>46292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13270-2022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44644</v>
      </c>
      <c r="E823" s="1" t="n">
        <v>46292</v>
      </c>
      <c r="F823" t="inlineStr">
        <is>
          <t>GÄVLEBORGS LÄN</t>
        </is>
      </c>
      <c r="G823" t="inlineStr">
        <is>
          <t>NORDANSTIG</t>
        </is>
      </c>
      <c r="I823" t="n">
        <v>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57977-2024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45631</v>
      </c>
      <c r="E824" s="1" t="n">
        <v>46292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28739-2026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46198</v>
      </c>
      <c r="E825" s="1" t="n">
        <v>46292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46292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45309</v>
      </c>
      <c r="E827" s="1" t="n">
        <v>46292</v>
      </c>
      <c r="F827" t="inlineStr">
        <is>
          <t>GÄVLEBORGS LÄN</t>
        </is>
      </c>
      <c r="G827" t="inlineStr">
        <is>
          <t>NORDANSTIG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60285-2024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45642</v>
      </c>
      <c r="E828" s="1" t="n">
        <v>46292</v>
      </c>
      <c r="F828" t="inlineStr">
        <is>
          <t>GÄVLEBORGS LÄN</t>
        </is>
      </c>
      <c r="G828" t="inlineStr">
        <is>
          <t>NORDANSTIG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28734-2026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46292</v>
      </c>
      <c r="F829" t="inlineStr">
        <is>
          <t>GÄVLEBORGS LÄN</t>
        </is>
      </c>
      <c r="G829" t="inlineStr">
        <is>
          <t>NORDANSTIG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7012-2025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45701</v>
      </c>
      <c r="E830" s="1" t="n">
        <v>46292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6.9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55477-2024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45622</v>
      </c>
      <c r="E831" s="1" t="n">
        <v>46292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45686</v>
      </c>
      <c r="E832" s="1" t="n">
        <v>46292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13.4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31002-2024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45499</v>
      </c>
      <c r="E833" s="1" t="n">
        <v>46292</v>
      </c>
      <c r="F833" t="inlineStr">
        <is>
          <t>GÄVLEBORGS LÄN</t>
        </is>
      </c>
      <c r="G833" t="inlineStr">
        <is>
          <t>NORDANSTIG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60675-2024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45644</v>
      </c>
      <c r="E834" s="1" t="n">
        <v>46292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37848-2025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45881</v>
      </c>
      <c r="E835" s="1" t="n">
        <v>46292</v>
      </c>
      <c r="F835" t="inlineStr">
        <is>
          <t>GÄVLEBORGS LÄN</t>
        </is>
      </c>
      <c r="G835" t="inlineStr">
        <is>
          <t>NORDANSTIG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55498-2024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45622</v>
      </c>
      <c r="E836" s="1" t="n">
        <v>46292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7503-2022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44607</v>
      </c>
      <c r="E837" s="1" t="n">
        <v>46292</v>
      </c>
      <c r="F837" t="inlineStr">
        <is>
          <t>GÄVLEBORGS LÄN</t>
        </is>
      </c>
      <c r="G837" t="inlineStr">
        <is>
          <t>NORDANSTIG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46292</v>
      </c>
      <c r="F838" t="inlineStr">
        <is>
          <t>GÄVLEBORGS LÄN</t>
        </is>
      </c>
      <c r="G838" t="inlineStr">
        <is>
          <t>NORDANSTIG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38091-2025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45882</v>
      </c>
      <c r="E839" s="1" t="n">
        <v>46292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47876-2023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45204</v>
      </c>
      <c r="E840" s="1" t="n">
        <v>46292</v>
      </c>
      <c r="F840" t="inlineStr">
        <is>
          <t>GÄVLEBORGS LÄN</t>
        </is>
      </c>
      <c r="G840" t="inlineStr">
        <is>
          <t>NORDANSTIG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38298-2024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45545</v>
      </c>
      <c r="E841" s="1" t="n">
        <v>46292</v>
      </c>
      <c r="F841" t="inlineStr">
        <is>
          <t>GÄVLEBORGS LÄN</t>
        </is>
      </c>
      <c r="G841" t="inlineStr">
        <is>
          <t>NORDANSTIG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51091-2024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45603</v>
      </c>
      <c r="E842" s="1" t="n">
        <v>46292</v>
      </c>
      <c r="F842" t="inlineStr">
        <is>
          <t>GÄVLEBORGS LÄN</t>
        </is>
      </c>
      <c r="G842" t="inlineStr">
        <is>
          <t>NORDANSTIG</t>
        </is>
      </c>
      <c r="H842" t="inlineStr">
        <is>
          <t>SCA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33478-2023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45131</v>
      </c>
      <c r="E843" s="1" t="n">
        <v>46292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38589-2025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45884</v>
      </c>
      <c r="E844" s="1" t="n">
        <v>46292</v>
      </c>
      <c r="F844" t="inlineStr">
        <is>
          <t>GÄVLEBORGS LÄN</t>
        </is>
      </c>
      <c r="G844" t="inlineStr">
        <is>
          <t>NORDANSTIG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53691-2024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45615</v>
      </c>
      <c r="E845" s="1" t="n">
        <v>46292</v>
      </c>
      <c r="F845" t="inlineStr">
        <is>
          <t>GÄVLEBORGS LÄN</t>
        </is>
      </c>
      <c r="G845" t="inlineStr">
        <is>
          <t>NORDANSTIG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48832-2022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44859</v>
      </c>
      <c r="E846" s="1" t="n">
        <v>46292</v>
      </c>
      <c r="F846" t="inlineStr">
        <is>
          <t>GÄVLEBORGS LÄN</t>
        </is>
      </c>
      <c r="G846" t="inlineStr">
        <is>
          <t>NORDANSTIG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29733-2026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46292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38246-2025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45883</v>
      </c>
      <c r="E848" s="1" t="n">
        <v>46292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1860-2025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45671</v>
      </c>
      <c r="E849" s="1" t="n">
        <v>46292</v>
      </c>
      <c r="F849" t="inlineStr">
        <is>
          <t>GÄVLEBORGS LÄN</t>
        </is>
      </c>
      <c r="G849" t="inlineStr">
        <is>
          <t>NORDANSTIG</t>
        </is>
      </c>
      <c r="H849" t="inlineStr">
        <is>
          <t>Holmen skog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5963-2025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45695</v>
      </c>
      <c r="E850" s="1" t="n">
        <v>46292</v>
      </c>
      <c r="F850" t="inlineStr">
        <is>
          <t>GÄVLEBORGS LÄN</t>
        </is>
      </c>
      <c r="G850" t="inlineStr">
        <is>
          <t>NORDANSTIG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33884-2026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46251</v>
      </c>
      <c r="E851" s="1" t="n">
        <v>46292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30428-2026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46209</v>
      </c>
      <c r="E852" s="1" t="n">
        <v>46292</v>
      </c>
      <c r="F852" t="inlineStr">
        <is>
          <t>GÄVLEBORGS LÄN</t>
        </is>
      </c>
      <c r="G852" t="inlineStr">
        <is>
          <t>NORDANSTIG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30259-2026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46206</v>
      </c>
      <c r="E853" s="1" t="n">
        <v>46292</v>
      </c>
      <c r="F853" t="inlineStr">
        <is>
          <t>GÄVLEBORGS LÄN</t>
        </is>
      </c>
      <c r="G853" t="inlineStr">
        <is>
          <t>NORDANSTIG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30267-2026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46292</v>
      </c>
      <c r="F854" t="inlineStr">
        <is>
          <t>GÄVLEBORGS LÄN</t>
        </is>
      </c>
      <c r="G854" t="inlineStr">
        <is>
          <t>NORDANSTIG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58891-2024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45636</v>
      </c>
      <c r="E855" s="1" t="n">
        <v>46292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46299-2023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45197</v>
      </c>
      <c r="E856" s="1" t="n">
        <v>46292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72820-2021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44547</v>
      </c>
      <c r="E857" s="1" t="n">
        <v>46292</v>
      </c>
      <c r="F857" t="inlineStr">
        <is>
          <t>GÄVLEBORGS LÄN</t>
        </is>
      </c>
      <c r="G857" t="inlineStr">
        <is>
          <t>NORDANSTIG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30263-2026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46206</v>
      </c>
      <c r="E858" s="1" t="n">
        <v>46292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46292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30390-2026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46209</v>
      </c>
      <c r="E860" s="1" t="n">
        <v>46292</v>
      </c>
      <c r="F860" t="inlineStr">
        <is>
          <t>GÄVLEBORGS LÄN</t>
        </is>
      </c>
      <c r="G860" t="inlineStr">
        <is>
          <t>NORDANSTIG</t>
        </is>
      </c>
      <c r="I860" t="n">
        <v>9.199999999999999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46292</v>
      </c>
      <c r="F861" t="inlineStr">
        <is>
          <t>GÄVLEBORGS LÄN</t>
        </is>
      </c>
      <c r="G861" t="inlineStr">
        <is>
          <t>NORDANSTIG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5143-2025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45691</v>
      </c>
      <c r="E862" s="1" t="n">
        <v>46292</v>
      </c>
      <c r="F862" t="inlineStr">
        <is>
          <t>GÄVLEBORGS LÄN</t>
        </is>
      </c>
      <c r="G862" t="inlineStr">
        <is>
          <t>NORDANSTIG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30431-2026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46209</v>
      </c>
      <c r="E863" s="1" t="n">
        <v>46292</v>
      </c>
      <c r="F863" t="inlineStr">
        <is>
          <t>GÄVLEBORGS LÄN</t>
        </is>
      </c>
      <c r="G863" t="inlineStr">
        <is>
          <t>NORDANSTIG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4559-2025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45687</v>
      </c>
      <c r="E864" s="1" t="n">
        <v>46292</v>
      </c>
      <c r="F864" t="inlineStr">
        <is>
          <t>GÄVLEBORGS LÄN</t>
        </is>
      </c>
      <c r="G864" t="inlineStr">
        <is>
          <t>NORDANSTIG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46253</v>
      </c>
      <c r="E865" s="1" t="n">
        <v>46292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51740-2023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45222</v>
      </c>
      <c r="E866" s="1" t="n">
        <v>46292</v>
      </c>
      <c r="F866" t="inlineStr">
        <is>
          <t>GÄVLEBORGS LÄN</t>
        </is>
      </c>
      <c r="G866" t="inlineStr">
        <is>
          <t>NORDANSTIG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51438-2023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46292</v>
      </c>
      <c r="F867" t="inlineStr">
        <is>
          <t>GÄVLEBORGS LÄN</t>
        </is>
      </c>
      <c r="G867" t="inlineStr">
        <is>
          <t>NORDANSTIG</t>
        </is>
      </c>
      <c r="H867" t="inlineStr">
        <is>
          <t>SCA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34235-2026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46253</v>
      </c>
      <c r="E868" s="1" t="n">
        <v>46292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34248-2026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46253</v>
      </c>
      <c r="E869" s="1" t="n">
        <v>46292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55494-2024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45622</v>
      </c>
      <c r="E870" s="1" t="n">
        <v>46292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55531-2024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45622</v>
      </c>
      <c r="E871" s="1" t="n">
        <v>46292</v>
      </c>
      <c r="F871" t="inlineStr">
        <is>
          <t>GÄVLEBORGS LÄN</t>
        </is>
      </c>
      <c r="G871" t="inlineStr">
        <is>
          <t>NORDANSTIG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8646-2026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46066</v>
      </c>
      <c r="E872" s="1" t="n">
        <v>46292</v>
      </c>
      <c r="F872" t="inlineStr">
        <is>
          <t>GÄVLEBORGS LÄN</t>
        </is>
      </c>
      <c r="G872" t="inlineStr">
        <is>
          <t>NORDANSTIG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34212-2026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46253</v>
      </c>
      <c r="E873" s="1" t="n">
        <v>46292</v>
      </c>
      <c r="F873" t="inlineStr">
        <is>
          <t>GÄVLEBORGS LÄN</t>
        </is>
      </c>
      <c r="G873" t="inlineStr">
        <is>
          <t>NORDANSTIG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20512-2022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44699</v>
      </c>
      <c r="E874" s="1" t="n">
        <v>46292</v>
      </c>
      <c r="F874" t="inlineStr">
        <is>
          <t>GÄVLEBORGS LÄN</t>
        </is>
      </c>
      <c r="G874" t="inlineStr">
        <is>
          <t>NORDANSTIG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17482-2022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44679</v>
      </c>
      <c r="E875" s="1" t="n">
        <v>46292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17271-2022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44678</v>
      </c>
      <c r="E876" s="1" t="n">
        <v>46292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36025-2023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45149</v>
      </c>
      <c r="E877" s="1" t="n">
        <v>46292</v>
      </c>
      <c r="F877" t="inlineStr">
        <is>
          <t>GÄVLEBORGS LÄN</t>
        </is>
      </c>
      <c r="G877" t="inlineStr">
        <is>
          <t>NORDANSTIG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46255</v>
      </c>
      <c r="E878" s="1" t="n">
        <v>46292</v>
      </c>
      <c r="F878" t="inlineStr">
        <is>
          <t>GÄVLEBORGS LÄN</t>
        </is>
      </c>
      <c r="G878" t="inlineStr">
        <is>
          <t>NORDANSTIG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46213</v>
      </c>
      <c r="E879" s="1" t="n">
        <v>46292</v>
      </c>
      <c r="F879" t="inlineStr">
        <is>
          <t>GÄVLEBORGS LÄN</t>
        </is>
      </c>
      <c r="G879" t="inlineStr">
        <is>
          <t>NORDANSTIG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50413-2023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45216</v>
      </c>
      <c r="E880" s="1" t="n">
        <v>46292</v>
      </c>
      <c r="F880" t="inlineStr">
        <is>
          <t>GÄVLEBORGS LÄN</t>
        </is>
      </c>
      <c r="G880" t="inlineStr">
        <is>
          <t>NORDANSTIG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30899-2026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46213</v>
      </c>
      <c r="E881" s="1" t="n">
        <v>46292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18529-2022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44686</v>
      </c>
      <c r="E882" s="1" t="n">
        <v>46292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34475-2026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46254</v>
      </c>
      <c r="E883" s="1" t="n">
        <v>46292</v>
      </c>
      <c r="F883" t="inlineStr">
        <is>
          <t>GÄVLEBORGS LÄN</t>
        </is>
      </c>
      <c r="G883" t="inlineStr">
        <is>
          <t>NORDANSTIG</t>
        </is>
      </c>
      <c r="H883" t="inlineStr">
        <is>
          <t>SCA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46043</v>
      </c>
      <c r="E884" s="1" t="n">
        <v>46292</v>
      </c>
      <c r="F884" t="inlineStr">
        <is>
          <t>GÄVLEBORGS LÄN</t>
        </is>
      </c>
      <c r="G884" t="inlineStr">
        <is>
          <t>NORDANSTIG</t>
        </is>
      </c>
      <c r="I884" t="n">
        <v>14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31366-2026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46213</v>
      </c>
      <c r="E885" s="1" t="n">
        <v>46292</v>
      </c>
      <c r="F885" t="inlineStr">
        <is>
          <t>GÄVLEBORGS LÄN</t>
        </is>
      </c>
      <c r="G885" t="inlineStr">
        <is>
          <t>NORDANSTIG</t>
        </is>
      </c>
      <c r="I885" t="n">
        <v>9.6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34693-2026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46258</v>
      </c>
      <c r="E886" s="1" t="n">
        <v>46292</v>
      </c>
      <c r="F886" t="inlineStr">
        <is>
          <t>GÄVLEBORGS LÄN</t>
        </is>
      </c>
      <c r="G886" t="inlineStr">
        <is>
          <t>NORDANSTIG</t>
        </is>
      </c>
      <c r="I886" t="n">
        <v>9.199999999999999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59930-2024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45642</v>
      </c>
      <c r="E887" s="1" t="n">
        <v>46292</v>
      </c>
      <c r="F887" t="inlineStr">
        <is>
          <t>GÄVLEBORGS LÄN</t>
        </is>
      </c>
      <c r="G887" t="inlineStr">
        <is>
          <t>NORDANSTIG</t>
        </is>
      </c>
      <c r="I887" t="n">
        <v>0.1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26671-2026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46292</v>
      </c>
      <c r="F888" t="inlineStr">
        <is>
          <t>GÄVLEBORGS LÄN</t>
        </is>
      </c>
      <c r="G888" t="inlineStr">
        <is>
          <t>NORDANSTIG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32149-2024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45511</v>
      </c>
      <c r="E889" s="1" t="n">
        <v>46292</v>
      </c>
      <c r="F889" t="inlineStr">
        <is>
          <t>GÄVLEBORGS LÄN</t>
        </is>
      </c>
      <c r="G889" t="inlineStr">
        <is>
          <t>NORDANSTIG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30630-2022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44763</v>
      </c>
      <c r="E890" s="1" t="n">
        <v>46292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34999-2026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46259</v>
      </c>
      <c r="E891" s="1" t="n">
        <v>46292</v>
      </c>
      <c r="F891" t="inlineStr">
        <is>
          <t>GÄVLEBORGS LÄN</t>
        </is>
      </c>
      <c r="G891" t="inlineStr">
        <is>
          <t>NORDANSTIG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28711-2022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44748</v>
      </c>
      <c r="E892" s="1" t="n">
        <v>46292</v>
      </c>
      <c r="F892" t="inlineStr">
        <is>
          <t>GÄVLEBORGS LÄN</t>
        </is>
      </c>
      <c r="G892" t="inlineStr">
        <is>
          <t>NORDANSTIG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34998-2026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46259</v>
      </c>
      <c r="E893" s="1" t="n">
        <v>46292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14402-2025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45741</v>
      </c>
      <c r="E894" s="1" t="n">
        <v>46292</v>
      </c>
      <c r="F894" t="inlineStr">
        <is>
          <t>GÄVLEBORGS LÄN</t>
        </is>
      </c>
      <c r="G894" t="inlineStr">
        <is>
          <t>NORDANSTIG</t>
        </is>
      </c>
      <c r="I894" t="n">
        <v>17.1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35546-2026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46292</v>
      </c>
      <c r="F895" t="inlineStr">
        <is>
          <t>GÄVLEBORGS LÄN</t>
        </is>
      </c>
      <c r="G895" t="inlineStr">
        <is>
          <t>NORDANSTIG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36960-2023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45154</v>
      </c>
      <c r="E896" s="1" t="n">
        <v>46292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30940-2022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44768</v>
      </c>
      <c r="E897" s="1" t="n">
        <v>46292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55002-2023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45236</v>
      </c>
      <c r="E898" s="1" t="n">
        <v>46292</v>
      </c>
      <c r="F898" t="inlineStr">
        <is>
          <t>GÄVLEBORGS LÄN</t>
        </is>
      </c>
      <c r="G898" t="inlineStr">
        <is>
          <t>NORDANSTIG</t>
        </is>
      </c>
      <c r="H898" t="inlineStr">
        <is>
          <t>SCA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60398-2023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45259</v>
      </c>
      <c r="E899" s="1" t="n">
        <v>46292</v>
      </c>
      <c r="F899" t="inlineStr">
        <is>
          <t>GÄVLEBORGS LÄN</t>
        </is>
      </c>
      <c r="G899" t="inlineStr">
        <is>
          <t>NORDANSTIG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26700-2026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46184</v>
      </c>
      <c r="E900" s="1" t="n">
        <v>46292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35342-2026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46292</v>
      </c>
      <c r="F901" t="inlineStr">
        <is>
          <t>GÄVLEBORGS LÄN</t>
        </is>
      </c>
      <c r="G901" t="inlineStr">
        <is>
          <t>NORDANSTIG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26696-2026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46184</v>
      </c>
      <c r="E902" s="1" t="n">
        <v>46292</v>
      </c>
      <c r="F902" t="inlineStr">
        <is>
          <t>GÄVLEBORGS LÄN</t>
        </is>
      </c>
      <c r="G902" t="inlineStr">
        <is>
          <t>NORDANSTIG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7916-2022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44608</v>
      </c>
      <c r="E903" s="1" t="n">
        <v>46292</v>
      </c>
      <c r="F903" t="inlineStr">
        <is>
          <t>GÄVLEBORGS LÄN</t>
        </is>
      </c>
      <c r="G903" t="inlineStr">
        <is>
          <t>NORDANSTIG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23369-2022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44720</v>
      </c>
      <c r="E904" s="1" t="n">
        <v>46292</v>
      </c>
      <c r="F904" t="inlineStr">
        <is>
          <t>GÄVLEBORGS LÄN</t>
        </is>
      </c>
      <c r="G904" t="inlineStr">
        <is>
          <t>NORDANSTIG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40269-2023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45169</v>
      </c>
      <c r="E905" s="1" t="n">
        <v>46292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12216-2025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45729</v>
      </c>
      <c r="E906" s="1" t="n">
        <v>46292</v>
      </c>
      <c r="F906" t="inlineStr">
        <is>
          <t>GÄVLEBORGS LÄN</t>
        </is>
      </c>
      <c r="G906" t="inlineStr">
        <is>
          <t>NORDANSTIG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41620-2023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45175</v>
      </c>
      <c r="E907" s="1" t="n">
        <v>46292</v>
      </c>
      <c r="F907" t="inlineStr">
        <is>
          <t>GÄVLEBORGS LÄN</t>
        </is>
      </c>
      <c r="G907" t="inlineStr">
        <is>
          <t>NORDANSTIG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20577-2025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18445-2025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45762</v>
      </c>
      <c r="E909" s="1" t="n">
        <v>46292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5.2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31385-2026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46292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46223</v>
      </c>
      <c r="E911" s="1" t="n">
        <v>46292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31422-2026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46292</v>
      </c>
      <c r="F912" t="inlineStr">
        <is>
          <t>GÄVLEBORGS LÄN</t>
        </is>
      </c>
      <c r="G912" t="inlineStr">
        <is>
          <t>NORDANSTIG</t>
        </is>
      </c>
      <c r="I912" t="n">
        <v>3.8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31538-2026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46292</v>
      </c>
      <c r="F913" t="inlineStr">
        <is>
          <t>GÄVLEBORGS LÄN</t>
        </is>
      </c>
      <c r="G913" t="inlineStr">
        <is>
          <t>NORDANSTIG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44446-2023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45189</v>
      </c>
      <c r="E914" s="1" t="n">
        <v>46292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35782-2026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46292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31406-2026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46220</v>
      </c>
      <c r="E916" s="1" t="n">
        <v>46292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31423-2026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46292</v>
      </c>
      <c r="F917" t="inlineStr">
        <is>
          <t>GÄVLEBORGS LÄN</t>
        </is>
      </c>
      <c r="G917" t="inlineStr">
        <is>
          <t>NORDANSTIG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31899-2022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44777</v>
      </c>
      <c r="E918" s="1" t="n">
        <v>46292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37295-2022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44808</v>
      </c>
      <c r="E919" s="1" t="n">
        <v>46292</v>
      </c>
      <c r="F919" t="inlineStr">
        <is>
          <t>GÄVLEBORGS LÄN</t>
        </is>
      </c>
      <c r="G919" t="inlineStr">
        <is>
          <t>NORDANSTIG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62496-2025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46007</v>
      </c>
      <c r="E920" s="1" t="n">
        <v>46292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62495-2025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46007</v>
      </c>
      <c r="E921" s="1" t="n">
        <v>46292</v>
      </c>
      <c r="F921" t="inlineStr">
        <is>
          <t>GÄVLEBORGS LÄN</t>
        </is>
      </c>
      <c r="G921" t="inlineStr">
        <is>
          <t>NORDANSTIG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2573-2024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45313</v>
      </c>
      <c r="E922" s="1" t="n">
        <v>46292</v>
      </c>
      <c r="F922" t="inlineStr">
        <is>
          <t>GÄVLEBORGS LÄN</t>
        </is>
      </c>
      <c r="G922" t="inlineStr">
        <is>
          <t>NORDANSTIG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5411-2022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44595</v>
      </c>
      <c r="E923" s="1" t="n">
        <v>46292</v>
      </c>
      <c r="F923" t="inlineStr">
        <is>
          <t>GÄVLEBORGS LÄN</t>
        </is>
      </c>
      <c r="G923" t="inlineStr">
        <is>
          <t>NORDANSTIG</t>
        </is>
      </c>
      <c r="I923" t="n">
        <v>3.5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31708-2026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46226</v>
      </c>
      <c r="E924" s="1" t="n">
        <v>46292</v>
      </c>
      <c r="F924" t="inlineStr">
        <is>
          <t>GÄVLEBORGS LÄN</t>
        </is>
      </c>
      <c r="G924" t="inlineStr">
        <is>
          <t>NORDANSTIG</t>
        </is>
      </c>
      <c r="I924" t="n">
        <v>2.8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36432-2026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46269</v>
      </c>
      <c r="E925" s="1" t="n">
        <v>46292</v>
      </c>
      <c r="F925" t="inlineStr">
        <is>
          <t>GÄVLEBORGS LÄN</t>
        </is>
      </c>
      <c r="G925" t="inlineStr">
        <is>
          <t>NORDANSTIG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37972-2022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44811</v>
      </c>
      <c r="E926" s="1" t="n">
        <v>46292</v>
      </c>
      <c r="F926" t="inlineStr">
        <is>
          <t>GÄVLEBORGS LÄN</t>
        </is>
      </c>
      <c r="G926" t="inlineStr">
        <is>
          <t>NORDANSTIG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37986-2022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44811</v>
      </c>
      <c r="E927" s="1" t="n">
        <v>46292</v>
      </c>
      <c r="F927" t="inlineStr">
        <is>
          <t>GÄVLEBORGS LÄN</t>
        </is>
      </c>
      <c r="G927" t="inlineStr">
        <is>
          <t>NORDANSTIG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31732-2026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46227</v>
      </c>
      <c r="E928" s="1" t="n">
        <v>46292</v>
      </c>
      <c r="F928" t="inlineStr">
        <is>
          <t>GÄVLEBORGS LÄN</t>
        </is>
      </c>
      <c r="G928" t="inlineStr">
        <is>
          <t>NORDANSTIG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36825-2026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46272</v>
      </c>
      <c r="E929" s="1" t="n">
        <v>46292</v>
      </c>
      <c r="F929" t="inlineStr">
        <is>
          <t>GÄVLEBORGS LÄN</t>
        </is>
      </c>
      <c r="G929" t="inlineStr">
        <is>
          <t>NORDANSTIG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36714-2026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46272</v>
      </c>
      <c r="E930" s="1" t="n">
        <v>46292</v>
      </c>
      <c r="F930" t="inlineStr">
        <is>
          <t>GÄVLEBORGS LÄN</t>
        </is>
      </c>
      <c r="G930" t="inlineStr">
        <is>
          <t>NORDANSTIG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35070-2022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44797</v>
      </c>
      <c r="E931" s="1" t="n">
        <v>46292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46111-2023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45196</v>
      </c>
      <c r="E932" s="1" t="n">
        <v>46292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31698-2026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46226</v>
      </c>
      <c r="E933" s="1" t="n">
        <v>46292</v>
      </c>
      <c r="F933" t="inlineStr">
        <is>
          <t>GÄVLEBORGS LÄN</t>
        </is>
      </c>
      <c r="G933" t="inlineStr">
        <is>
          <t>NORDANSTIG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37241-2026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46274</v>
      </c>
      <c r="E934" s="1" t="n">
        <v>46292</v>
      </c>
      <c r="F934" t="inlineStr">
        <is>
          <t>GÄVLEBORGS LÄN</t>
        </is>
      </c>
      <c r="G934" t="inlineStr">
        <is>
          <t>NORDANSTIG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37013-2026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46273</v>
      </c>
      <c r="E935" s="1" t="n">
        <v>46292</v>
      </c>
      <c r="F935" t="inlineStr">
        <is>
          <t>GÄVLEBORGS LÄN</t>
        </is>
      </c>
      <c r="G935" t="inlineStr">
        <is>
          <t>NORDANSTIG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55026-2022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44886</v>
      </c>
      <c r="E936" s="1" t="n">
        <v>46292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55120-2022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44886</v>
      </c>
      <c r="E937" s="1" t="n">
        <v>46292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37028-2026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46273</v>
      </c>
      <c r="E938" s="1" t="n">
        <v>46292</v>
      </c>
      <c r="F938" t="inlineStr">
        <is>
          <t>GÄVLEBORGS LÄN</t>
        </is>
      </c>
      <c r="G938" t="inlineStr">
        <is>
          <t>NORDANSTIG</t>
        </is>
      </c>
      <c r="H938" t="inlineStr">
        <is>
          <t>SCA</t>
        </is>
      </c>
      <c r="I938" t="n">
        <v>6.9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6820-2023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44967</v>
      </c>
      <c r="E939" s="1" t="n">
        <v>46292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31894-2026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46231</v>
      </c>
      <c r="E940" s="1" t="n">
        <v>46292</v>
      </c>
      <c r="F940" t="inlineStr">
        <is>
          <t>GÄVLEBORGS LÄN</t>
        </is>
      </c>
      <c r="G940" t="inlineStr">
        <is>
          <t>NORDANSTIG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37016-2026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46273</v>
      </c>
      <c r="E941" s="1" t="n">
        <v>46292</v>
      </c>
      <c r="F941" t="inlineStr">
        <is>
          <t>GÄVLEBORGS LÄN</t>
        </is>
      </c>
      <c r="G941" t="inlineStr">
        <is>
          <t>NORDANSTIG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32622-2022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44783</v>
      </c>
      <c r="E942" s="1" t="n">
        <v>46292</v>
      </c>
      <c r="F942" t="inlineStr">
        <is>
          <t>GÄVLEBORGS LÄN</t>
        </is>
      </c>
      <c r="G942" t="inlineStr">
        <is>
          <t>NORDANSTIG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37454-2026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46275</v>
      </c>
      <c r="E943" s="1" t="n">
        <v>46292</v>
      </c>
      <c r="F943" t="inlineStr">
        <is>
          <t>GÄVLEBORGS LÄN</t>
        </is>
      </c>
      <c r="G943" t="inlineStr">
        <is>
          <t>NORDANSTIG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37135-2026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46274</v>
      </c>
      <c r="E944" s="1" t="n">
        <v>46292</v>
      </c>
      <c r="F944" t="inlineStr">
        <is>
          <t>GÄVLEBORGS LÄN</t>
        </is>
      </c>
      <c r="G944" t="inlineStr">
        <is>
          <t>NORDANSTIG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15226-2023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45019</v>
      </c>
      <c r="E945" s="1" t="n">
        <v>46292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7436-2024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45345</v>
      </c>
      <c r="E946" s="1" t="n">
        <v>46292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62.5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7460-2024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45345</v>
      </c>
      <c r="E947" s="1" t="n">
        <v>46292</v>
      </c>
      <c r="F947" t="inlineStr">
        <is>
          <t>GÄVLEBORGS LÄN</t>
        </is>
      </c>
      <c r="G947" t="inlineStr">
        <is>
          <t>NORDANSTIG</t>
        </is>
      </c>
      <c r="I947" t="n">
        <v>10.8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56586-2023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45243</v>
      </c>
      <c r="E948" s="1" t="n">
        <v>46292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37977-2026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46280</v>
      </c>
      <c r="E949" s="1" t="n">
        <v>46292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51250-2022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44868</v>
      </c>
      <c r="E950" s="1" t="n">
        <v>46292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15088-2024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45399</v>
      </c>
      <c r="E951" s="1" t="n">
        <v>46292</v>
      </c>
      <c r="F951" t="inlineStr">
        <is>
          <t>GÄVLEBORGS LÄN</t>
        </is>
      </c>
      <c r="G951" t="inlineStr">
        <is>
          <t>NORDANSTIG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37979-2026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46280</v>
      </c>
      <c r="E952" s="1" t="n">
        <v>46292</v>
      </c>
      <c r="F952" t="inlineStr">
        <is>
          <t>GÄVLEBORGS LÄN</t>
        </is>
      </c>
      <c r="G952" t="inlineStr">
        <is>
          <t>NORDANSTIG</t>
        </is>
      </c>
      <c r="I952" t="n">
        <v>6.5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32092-2026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46234</v>
      </c>
      <c r="E953" s="1" t="n">
        <v>46292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19569-2024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45429</v>
      </c>
      <c r="E954" s="1" t="n">
        <v>46292</v>
      </c>
      <c r="F954" t="inlineStr">
        <is>
          <t>GÄVLEBORGS LÄN</t>
        </is>
      </c>
      <c r="G954" t="inlineStr">
        <is>
          <t>NORDANSTIG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35765-2024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45532</v>
      </c>
      <c r="E955" s="1" t="n">
        <v>46292</v>
      </c>
      <c r="F955" t="inlineStr">
        <is>
          <t>GÄVLEBORGS LÄN</t>
        </is>
      </c>
      <c r="G955" t="inlineStr">
        <is>
          <t>NORDANSTIG</t>
        </is>
      </c>
      <c r="I955" t="n">
        <v>2.6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38380-2026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46282</v>
      </c>
      <c r="E956" s="1" t="n">
        <v>46292</v>
      </c>
      <c r="F956" t="inlineStr">
        <is>
          <t>GÄVLEBORGS LÄN</t>
        </is>
      </c>
      <c r="G956" t="inlineStr">
        <is>
          <t>NORDANSTIG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32340-2026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46238</v>
      </c>
      <c r="E957" s="1" t="n">
        <v>46292</v>
      </c>
      <c r="F957" t="inlineStr">
        <is>
          <t>GÄVLEBORGS LÄN</t>
        </is>
      </c>
      <c r="G957" t="inlineStr">
        <is>
          <t>NORDANSTIG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26684-2026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46184</v>
      </c>
      <c r="E958" s="1" t="n">
        <v>46292</v>
      </c>
      <c r="F958" t="inlineStr">
        <is>
          <t>GÄVLEBORGS LÄN</t>
        </is>
      </c>
      <c r="G958" t="inlineStr">
        <is>
          <t>NORDANSTIG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18479-2024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45425</v>
      </c>
      <c r="E959" s="1" t="n">
        <v>46292</v>
      </c>
      <c r="F959" t="inlineStr">
        <is>
          <t>GÄVLEBORGS LÄN</t>
        </is>
      </c>
      <c r="G959" t="inlineStr">
        <is>
          <t>NORDANSTIG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59912-2024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45641</v>
      </c>
      <c r="E960" s="1" t="n">
        <v>46292</v>
      </c>
      <c r="F960" t="inlineStr">
        <is>
          <t>GÄVLEBORGS LÄN</t>
        </is>
      </c>
      <c r="G960" t="inlineStr">
        <is>
          <t>NORDANSTIG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44965</v>
      </c>
      <c r="E961" s="1" t="n">
        <v>46292</v>
      </c>
      <c r="F961" t="inlineStr">
        <is>
          <t>GÄVLEBORGS LÄN</t>
        </is>
      </c>
      <c r="G961" t="inlineStr">
        <is>
          <t>NORDANSTIG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14961-2025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45743</v>
      </c>
      <c r="E962" s="1" t="n">
        <v>46292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46292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50.7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38548-2026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46283</v>
      </c>
      <c r="E964" s="1" t="n">
        <v>46292</v>
      </c>
      <c r="F964" t="inlineStr">
        <is>
          <t>GÄVLEBORGS LÄN</t>
        </is>
      </c>
      <c r="G964" t="inlineStr">
        <is>
          <t>NORDANSTIG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32726-2026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46241</v>
      </c>
      <c r="E965" s="1" t="n">
        <v>46292</v>
      </c>
      <c r="F965" t="inlineStr">
        <is>
          <t>GÄVLEBORGS LÄN</t>
        </is>
      </c>
      <c r="G965" t="inlineStr">
        <is>
          <t>NORDANSTIG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30130-2024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45489</v>
      </c>
      <c r="E966" s="1" t="n">
        <v>46292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3.9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39314-2026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46288</v>
      </c>
      <c r="E967" s="1" t="n">
        <v>46292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40798-2022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44824</v>
      </c>
      <c r="E968" s="1" t="n">
        <v>46292</v>
      </c>
      <c r="F968" t="inlineStr">
        <is>
          <t>GÄVLEBORGS LÄN</t>
        </is>
      </c>
      <c r="G968" t="inlineStr">
        <is>
          <t>NORDANSTIG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37005-2022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44806</v>
      </c>
      <c r="E969" s="1" t="n">
        <v>46292</v>
      </c>
      <c r="F969" t="inlineStr">
        <is>
          <t>GÄVLEBORGS LÄN</t>
        </is>
      </c>
      <c r="G969" t="inlineStr">
        <is>
          <t>NORDANSTIG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14415-2022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44652</v>
      </c>
      <c r="E970" s="1" t="n">
        <v>46292</v>
      </c>
      <c r="F970" t="inlineStr">
        <is>
          <t>GÄVLEBORGS LÄN</t>
        </is>
      </c>
      <c r="G970" t="inlineStr">
        <is>
          <t>NORDANSTIG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39376-2026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46288</v>
      </c>
      <c r="E971" s="1" t="n">
        <v>46292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43893-2023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45187</v>
      </c>
      <c r="E972" s="1" t="n">
        <v>46292</v>
      </c>
      <c r="F972" t="inlineStr">
        <is>
          <t>GÄVLEBORGS LÄN</t>
        </is>
      </c>
      <c r="G972" t="inlineStr">
        <is>
          <t>NORDANSTIG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5999-2024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45336</v>
      </c>
      <c r="E973" s="1" t="n">
        <v>46292</v>
      </c>
      <c r="F973" t="inlineStr">
        <is>
          <t>GÄVLEBORGS LÄN</t>
        </is>
      </c>
      <c r="G973" t="inlineStr">
        <is>
          <t>NORDANSTIG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32938-2026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46244</v>
      </c>
      <c r="E974" s="1" t="n">
        <v>46292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43465-2024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45568</v>
      </c>
      <c r="E975" s="1" t="n">
        <v>46292</v>
      </c>
      <c r="F975" t="inlineStr">
        <is>
          <t>GÄVLEBORGS LÄN</t>
        </is>
      </c>
      <c r="G975" t="inlineStr">
        <is>
          <t>NORDANSTIG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32917-2026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46244</v>
      </c>
      <c r="E976" s="1" t="n">
        <v>46292</v>
      </c>
      <c r="F976" t="inlineStr">
        <is>
          <t>GÄVLEBORGS LÄN</t>
        </is>
      </c>
      <c r="G976" t="inlineStr">
        <is>
          <t>NORDANSTIG</t>
        </is>
      </c>
      <c r="I976" t="n">
        <v>7.4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57463-2023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45246</v>
      </c>
      <c r="E977" s="1" t="n">
        <v>46292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37217-2024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45539</v>
      </c>
      <c r="E978" s="1" t="n">
        <v>46292</v>
      </c>
      <c r="F978" t="inlineStr">
        <is>
          <t>GÄVLEBORGS LÄN</t>
        </is>
      </c>
      <c r="G978" t="inlineStr">
        <is>
          <t>NORDANSTIG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51988-2024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45607</v>
      </c>
      <c r="E979" s="1" t="n">
        <v>46292</v>
      </c>
      <c r="F979" t="inlineStr">
        <is>
          <t>GÄVLEBORGS LÄN</t>
        </is>
      </c>
      <c r="G979" t="inlineStr">
        <is>
          <t>NORDANSTIG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39675-2026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46289</v>
      </c>
      <c r="E980" s="1" t="n">
        <v>46292</v>
      </c>
      <c r="F980" t="inlineStr">
        <is>
          <t>GÄVLEBORGS LÄN</t>
        </is>
      </c>
      <c r="G980" t="inlineStr">
        <is>
          <t>NORDANSTIG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25665-2023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45089</v>
      </c>
      <c r="E981" s="1" t="n">
        <v>46292</v>
      </c>
      <c r="F981" t="inlineStr">
        <is>
          <t>GÄVLEBORGS LÄN</t>
        </is>
      </c>
      <c r="G981" t="inlineStr">
        <is>
          <t>NORDANSTIG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12764-2025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45733</v>
      </c>
      <c r="E982" s="1" t="n">
        <v>46292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39584-2026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46289</v>
      </c>
      <c r="E983" s="1" t="n">
        <v>46292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37974-2024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46292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52006-2024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45607</v>
      </c>
      <c r="E985" s="1" t="n">
        <v>46292</v>
      </c>
      <c r="F985" t="inlineStr">
        <is>
          <t>GÄVLEBORGS LÄN</t>
        </is>
      </c>
      <c r="G985" t="inlineStr">
        <is>
          <t>NORDANSTIG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18988-2022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44690</v>
      </c>
      <c r="E986" s="1" t="n">
        <v>46292</v>
      </c>
      <c r="F986" t="inlineStr">
        <is>
          <t>GÄVLEBORGS LÄN</t>
        </is>
      </c>
      <c r="G986" t="inlineStr">
        <is>
          <t>NORDANSTIG</t>
        </is>
      </c>
      <c r="I986" t="n">
        <v>9.300000000000001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12607-2024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45382</v>
      </c>
      <c r="E987" s="1" t="n">
        <v>46292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18332-2024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46292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51387-2024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45604</v>
      </c>
      <c r="E989" s="1" t="n">
        <v>46292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38581-2024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45546</v>
      </c>
      <c r="E990" s="1" t="n">
        <v>46292</v>
      </c>
      <c r="F990" t="inlineStr">
        <is>
          <t>GÄVLEBORGS LÄN</t>
        </is>
      </c>
      <c r="G990" t="inlineStr">
        <is>
          <t>NORDANSTIG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45546</v>
      </c>
      <c r="E991" s="1" t="n">
        <v>46292</v>
      </c>
      <c r="F991" t="inlineStr">
        <is>
          <t>GÄVLEBORGS LÄN</t>
        </is>
      </c>
      <c r="G991" t="inlineStr">
        <is>
          <t>NORDANSTIG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40078-2024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45554</v>
      </c>
      <c r="E992" s="1" t="n">
        <v>46292</v>
      </c>
      <c r="F992" t="inlineStr">
        <is>
          <t>GÄVLEBORGS LÄN</t>
        </is>
      </c>
      <c r="G992" t="inlineStr">
        <is>
          <t>NORDANSTIG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55704-2024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45622</v>
      </c>
      <c r="E993" s="1" t="n">
        <v>46292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19566-2025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45770</v>
      </c>
      <c r="E994" s="1" t="n">
        <v>46292</v>
      </c>
      <c r="F994" t="inlineStr">
        <is>
          <t>GÄVLEBORGS LÄN</t>
        </is>
      </c>
      <c r="G994" t="inlineStr">
        <is>
          <t>NORDANSTIG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45770</v>
      </c>
      <c r="E995" s="1" t="n">
        <v>46292</v>
      </c>
      <c r="F995" t="inlineStr">
        <is>
          <t>GÄVLEBORGS LÄN</t>
        </is>
      </c>
      <c r="G995" t="inlineStr">
        <is>
          <t>NORDANSTIG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58870-2023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45252</v>
      </c>
      <c r="E996" s="1" t="n">
        <v>46292</v>
      </c>
      <c r="F996" t="inlineStr">
        <is>
          <t>GÄVLEBORGS LÄN</t>
        </is>
      </c>
      <c r="G996" t="inlineStr">
        <is>
          <t>NORDANSTIG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3404-2025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45680</v>
      </c>
      <c r="E997" s="1" t="n">
        <v>46292</v>
      </c>
      <c r="F997" t="inlineStr">
        <is>
          <t>GÄVLEBORGS LÄN</t>
        </is>
      </c>
      <c r="G997" t="inlineStr">
        <is>
          <t>NORDANSTIG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17843-2023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45037</v>
      </c>
      <c r="E998" s="1" t="n">
        <v>46292</v>
      </c>
      <c r="F998" t="inlineStr">
        <is>
          <t>GÄVLEBORGS LÄN</t>
        </is>
      </c>
      <c r="G998" t="inlineStr">
        <is>
          <t>NORDANSTIG</t>
        </is>
      </c>
      <c r="I998" t="n">
        <v>3.7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12815-2023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45001</v>
      </c>
      <c r="E999" s="1" t="n">
        <v>46292</v>
      </c>
      <c r="F999" t="inlineStr">
        <is>
          <t>GÄVLEBORGS LÄN</t>
        </is>
      </c>
      <c r="G999" t="inlineStr">
        <is>
          <t>NORDANSTIG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20044-2024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45434</v>
      </c>
      <c r="E1000" s="1" t="n">
        <v>46292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9.1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11599-2024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45373</v>
      </c>
      <c r="E1001" s="1" t="n">
        <v>46292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30842-2024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45497</v>
      </c>
      <c r="E1002" s="1" t="n">
        <v>46292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6.9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39068-2023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45163</v>
      </c>
      <c r="E1003" s="1" t="n">
        <v>46292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SCA</t>
        </is>
      </c>
      <c r="I1003" t="n">
        <v>11.8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19231-2024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45428</v>
      </c>
      <c r="E1004" s="1" t="n">
        <v>46292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21.5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52746-2022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44874</v>
      </c>
      <c r="E1005" s="1" t="n">
        <v>46292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SCA</t>
        </is>
      </c>
      <c r="I1005" t="n">
        <v>7.1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54524-2024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46292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8898-2024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45357</v>
      </c>
      <c r="E1007" s="1" t="n">
        <v>46292</v>
      </c>
      <c r="F1007" t="inlineStr">
        <is>
          <t>GÄVLEBORGS LÄN</t>
        </is>
      </c>
      <c r="G1007" t="inlineStr">
        <is>
          <t>NORDANSTIG</t>
        </is>
      </c>
      <c r="I1007" t="n">
        <v>8.199999999999999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41318-2024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45559</v>
      </c>
      <c r="E1008" s="1" t="n">
        <v>46292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15385-2023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45019</v>
      </c>
      <c r="E1009" s="1" t="n">
        <v>46292</v>
      </c>
      <c r="F1009" t="inlineStr">
        <is>
          <t>GÄVLEBORGS LÄN</t>
        </is>
      </c>
      <c r="G1009" t="inlineStr">
        <is>
          <t>NORDANSTIG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1351-2024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45303</v>
      </c>
      <c r="E1010" s="1" t="n">
        <v>46292</v>
      </c>
      <c r="F1010" t="inlineStr">
        <is>
          <t>GÄVLEBORGS LÄN</t>
        </is>
      </c>
      <c r="G1010" t="inlineStr">
        <is>
          <t>NORDANSTIG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1564-2025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45667</v>
      </c>
      <c r="E1011" s="1" t="n">
        <v>46292</v>
      </c>
      <c r="F1011" t="inlineStr">
        <is>
          <t>GÄVLEBORGS LÄN</t>
        </is>
      </c>
      <c r="G1011" t="inlineStr">
        <is>
          <t>NORDANSTIG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45670</v>
      </c>
      <c r="E1012" s="1" t="n">
        <v>46292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45670</v>
      </c>
      <c r="E1013" s="1" t="n">
        <v>46292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2705-2025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45677</v>
      </c>
      <c r="E1014" s="1" t="n">
        <v>46292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55276-2024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45621</v>
      </c>
      <c r="E1015" s="1" t="n">
        <v>46292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58749-2024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45635</v>
      </c>
      <c r="E1016" s="1" t="n">
        <v>46292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25631-2023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45089</v>
      </c>
      <c r="E1017" s="1" t="n">
        <v>46292</v>
      </c>
      <c r="F1017" t="inlineStr">
        <is>
          <t>GÄVLEBORGS LÄN</t>
        </is>
      </c>
      <c r="G1017" t="inlineStr">
        <is>
          <t>NORDANSTIG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51842-2024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45607</v>
      </c>
      <c r="E1018" s="1" t="n">
        <v>46292</v>
      </c>
      <c r="F1018" t="inlineStr">
        <is>
          <t>GÄVLEBORGS LÄN</t>
        </is>
      </c>
      <c r="G1018" t="inlineStr">
        <is>
          <t>NORDANSTIG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54401-2024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45617</v>
      </c>
      <c r="E1019" s="1" t="n">
        <v>46292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17641-2025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45758</v>
      </c>
      <c r="E1020" s="1" t="n">
        <v>46292</v>
      </c>
      <c r="F1020" t="inlineStr">
        <is>
          <t>GÄVLEBORGS LÄN</t>
        </is>
      </c>
      <c r="G1020" t="inlineStr">
        <is>
          <t>NORDANSTIG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54200-2023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45232</v>
      </c>
      <c r="E1021" s="1" t="n">
        <v>46292</v>
      </c>
      <c r="F1021" t="inlineStr">
        <is>
          <t>GÄVLEBORGS LÄN</t>
        </is>
      </c>
      <c r="G1021" t="inlineStr">
        <is>
          <t>NORDANSTIG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59043-2024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45636</v>
      </c>
      <c r="E1022" s="1" t="n">
        <v>46292</v>
      </c>
      <c r="F1022" t="inlineStr">
        <is>
          <t>GÄVLEBORGS LÄN</t>
        </is>
      </c>
      <c r="G1022" t="inlineStr">
        <is>
          <t>NORDANSTIG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10069-2025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45719</v>
      </c>
      <c r="E1023" s="1" t="n">
        <v>46292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40241-2023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45169</v>
      </c>
      <c r="E1024" s="1" t="n">
        <v>46292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11394-2025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45726</v>
      </c>
      <c r="E1025" s="1" t="n">
        <v>46292</v>
      </c>
      <c r="F1025" t="inlineStr">
        <is>
          <t>GÄVLEBORGS LÄN</t>
        </is>
      </c>
      <c r="G1025" t="inlineStr">
        <is>
          <t>NORDANSTIG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55523-2024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45622</v>
      </c>
      <c r="E1026" s="1" t="n">
        <v>46292</v>
      </c>
      <c r="F1026" t="inlineStr">
        <is>
          <t>GÄVLEBORGS LÄN</t>
        </is>
      </c>
      <c r="G1026" t="inlineStr">
        <is>
          <t>NORDANSTIG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32350-2022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46292</v>
      </c>
      <c r="F1027" t="inlineStr">
        <is>
          <t>GÄVLEBORGS LÄN</t>
        </is>
      </c>
      <c r="G1027" t="inlineStr">
        <is>
          <t>NORDANSTIG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55948-2024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45623</v>
      </c>
      <c r="E1028" s="1" t="n">
        <v>46292</v>
      </c>
      <c r="F1028" t="inlineStr">
        <is>
          <t>GÄVLEBORGS LÄN</t>
        </is>
      </c>
      <c r="G1028" t="inlineStr">
        <is>
          <t>NORDANSTIG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32827-2023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45124</v>
      </c>
      <c r="E1029" s="1" t="n">
        <v>46292</v>
      </c>
      <c r="F1029" t="inlineStr">
        <is>
          <t>GÄVLEBORGS LÄN</t>
        </is>
      </c>
      <c r="G1029" t="inlineStr">
        <is>
          <t>NORDANSTIG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28697-2023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45103</v>
      </c>
      <c r="E1030" s="1" t="n">
        <v>46292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1708-2023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44938</v>
      </c>
      <c r="E1031" s="1" t="n">
        <v>46292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59799-2022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44908</v>
      </c>
      <c r="E1032" s="1" t="n">
        <v>46292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36525-2024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45537</v>
      </c>
      <c r="E1033" s="1" t="n">
        <v>46292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59422-2022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44907</v>
      </c>
      <c r="E1034" s="1" t="n">
        <v>46292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22547-2022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44713</v>
      </c>
      <c r="E1035" s="1" t="n">
        <v>46292</v>
      </c>
      <c r="F1035" t="inlineStr">
        <is>
          <t>GÄVLEBORGS LÄN</t>
        </is>
      </c>
      <c r="G1035" t="inlineStr">
        <is>
          <t>NORDANSTIG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38451-2024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45546</v>
      </c>
      <c r="E1036" s="1" t="n">
        <v>46292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45551-2024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45579</v>
      </c>
      <c r="E1037" s="1" t="n">
        <v>46292</v>
      </c>
      <c r="F1037" t="inlineStr">
        <is>
          <t>GÄVLEBORGS LÄN</t>
        </is>
      </c>
      <c r="G1037" t="inlineStr">
        <is>
          <t>NORDANSTIG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58162-2024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45632</v>
      </c>
      <c r="E1038" s="1" t="n">
        <v>46292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Kyrkan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58876-2024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45636</v>
      </c>
      <c r="E1039" s="1" t="n">
        <v>46292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20876-2025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45777</v>
      </c>
      <c r="E1040" s="1" t="n">
        <v>46292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5.5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21725-2025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45783</v>
      </c>
      <c r="E1041" s="1" t="n">
        <v>46292</v>
      </c>
      <c r="F1041" t="inlineStr">
        <is>
          <t>GÄVLEBORGS LÄN</t>
        </is>
      </c>
      <c r="G1041" t="inlineStr">
        <is>
          <t>NORDANSTIG</t>
        </is>
      </c>
      <c r="I1041" t="n">
        <v>6.4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18716-2025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45763</v>
      </c>
      <c r="E1042" s="1" t="n">
        <v>46292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18707-2025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46292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12389-2023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44999</v>
      </c>
      <c r="E1044" s="1" t="n">
        <v>46292</v>
      </c>
      <c r="F1044" t="inlineStr">
        <is>
          <t>GÄVLEBORGS LÄN</t>
        </is>
      </c>
      <c r="G1044" t="inlineStr">
        <is>
          <t>NORDANSTIG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21928-2025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45784</v>
      </c>
      <c r="E1045" s="1" t="n">
        <v>46292</v>
      </c>
      <c r="F1045" t="inlineStr">
        <is>
          <t>GÄVLEBORGS LÄN</t>
        </is>
      </c>
      <c r="G1045" t="inlineStr">
        <is>
          <t>NORDANSTIG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30879-2024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45498</v>
      </c>
      <c r="E1046" s="1" t="n">
        <v>46292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32470-2023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45120</v>
      </c>
      <c r="E1047" s="1" t="n">
        <v>46292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22310-2025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46292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67879-2021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44525</v>
      </c>
      <c r="E1049" s="1" t="n">
        <v>46292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45754</v>
      </c>
      <c r="E1050" s="1" t="n">
        <v>46292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22319-2025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46292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23122-2025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45791</v>
      </c>
      <c r="E1052" s="1" t="n">
        <v>46292</v>
      </c>
      <c r="F1052" t="inlineStr">
        <is>
          <t>GÄVLEBORGS LÄN</t>
        </is>
      </c>
      <c r="G1052" t="inlineStr">
        <is>
          <t>NORDANSTIG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17678-2025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45758</v>
      </c>
      <c r="E1053" s="1" t="n">
        <v>46292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23623-2025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45792</v>
      </c>
      <c r="E1054" s="1" t="n">
        <v>46292</v>
      </c>
      <c r="F1054" t="inlineStr">
        <is>
          <t>GÄVLEBORGS LÄN</t>
        </is>
      </c>
      <c r="G1054" t="inlineStr">
        <is>
          <t>NORDANSTIG</t>
        </is>
      </c>
      <c r="I1054" t="n">
        <v>12.9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23154-2025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45791</v>
      </c>
      <c r="E1055" s="1" t="n">
        <v>46292</v>
      </c>
      <c r="F1055" t="inlineStr">
        <is>
          <t>GÄVLEBORGS LÄN</t>
        </is>
      </c>
      <c r="G1055" t="inlineStr">
        <is>
          <t>NORDANSTIG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20137-2023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45055</v>
      </c>
      <c r="E1056" s="1" t="n">
        <v>46292</v>
      </c>
      <c r="F1056" t="inlineStr">
        <is>
          <t>GÄVLEBORGS LÄN</t>
        </is>
      </c>
      <c r="G1056" t="inlineStr">
        <is>
          <t>NORDANSTIG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54803-2023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45236</v>
      </c>
      <c r="E1057" s="1" t="n">
        <v>46292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33414-2022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44788</v>
      </c>
      <c r="E1058" s="1" t="n">
        <v>46292</v>
      </c>
      <c r="F1058" t="inlineStr">
        <is>
          <t>GÄVLEBORGS LÄN</t>
        </is>
      </c>
      <c r="G1058" t="inlineStr">
        <is>
          <t>NORDANSTIG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23119-2025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45791</v>
      </c>
      <c r="E1059" s="1" t="n">
        <v>46292</v>
      </c>
      <c r="F1059" t="inlineStr">
        <is>
          <t>GÄVLEBORGS LÄN</t>
        </is>
      </c>
      <c r="G1059" t="inlineStr">
        <is>
          <t>NORDANSTIG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23072-2025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45790</v>
      </c>
      <c r="E1060" s="1" t="n">
        <v>46292</v>
      </c>
      <c r="F1060" t="inlineStr">
        <is>
          <t>GÄVLEBORGS LÄN</t>
        </is>
      </c>
      <c r="G1060" t="inlineStr">
        <is>
          <t>NORDANSTIG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46292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46292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46292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46292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46292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46292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46292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46292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46292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46292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46292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46292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46292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2026-09-27T02:01:37Z</dcterms:created>
  <dcterms:modified xmlns:dcterms="http://purl.org/dc/terms/" xmlns:xsi="http://www.w3.org/2001/XMLSchema-instance" xsi:type="dcterms:W3CDTF">2026-09-27T02:01:38Z</dcterms:modified>
</cp:coreProperties>
</file>