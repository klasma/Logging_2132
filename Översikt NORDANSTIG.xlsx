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46275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46275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46275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46275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46275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12</v>
      </c>
      <c r="U11" t="n">
        <v>3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46275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46275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46275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46275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46275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46275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46275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46275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46275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46275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46275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46275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46275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46275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46275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46275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46275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321-2024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45295</v>
      </c>
      <c r="E35" s="1" t="n">
        <v>46275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1.5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Tibast
Tvåblad</t>
        </is>
      </c>
      <c r="W35">
        <f>HYPERLINK("https://klasma.github.io/Logging_2132/artfynd/A 321-2024 artfynd.xlsx", "A 321-2024")</f>
        <v/>
      </c>
      <c r="X35">
        <f>HYPERLINK("https://klasma.github.io/Logging_2132/kartor/A 321-2024 karta.png", "A 321-2024")</f>
        <v/>
      </c>
      <c r="Y35">
        <f>HYPERLINK("https://klasma.github.io/Logging_2132/kartor_geotiff/A 321-2024 georefererad karta.tif", "A 321-2024")</f>
        <v/>
      </c>
      <c r="AA35">
        <f>HYPERLINK("https://klasma.github.io/Logging_2132/klagomål/A 321-2024 FSC-klagomål.docx", "A 321-2024")</f>
        <v/>
      </c>
      <c r="AB35">
        <f>HYPERLINK("https://klasma.github.io/Logging_2132/klagomålsmail/A 321-2024 FSC-klagomål mail.docx", "A 321-2024")</f>
        <v/>
      </c>
      <c r="AC35">
        <f>HYPERLINK("https://klasma.github.io/Logging_2132/tillsyn/A 321-2024 tillsynsbegäran.docx", "A 321-2024")</f>
        <v/>
      </c>
      <c r="AD35">
        <f>HYPERLINK("https://klasma.github.io/Logging_2132/tillsynsmail/A 321-2024 tillsynsbegäran mail.docx", "A 321-2024")</f>
        <v/>
      </c>
    </row>
    <row r="36" ht="15" customHeight="1">
      <c r="A36" t="inlineStr">
        <is>
          <t>A 29578-2023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46275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Blåsippa</t>
        </is>
      </c>
      <c r="W36">
        <f>HYPERLINK("https://klasma.github.io/Logging_2132/artfynd/A 29578-2023 artfynd.xlsx", "A 29578-2023")</f>
        <v/>
      </c>
      <c r="X36">
        <f>HYPERLINK("https://klasma.github.io/Logging_2132/kartor/A 29578-2023 karta.png", "A 29578-2023")</f>
        <v/>
      </c>
      <c r="Y36">
        <f>HYPERLINK("https://klasma.github.io/Logging_2132/kartor_geotiff/A 29578-2023 georefererad karta.tif", "A 29578-2023")</f>
        <v/>
      </c>
      <c r="AA36">
        <f>HYPERLINK("https://klasma.github.io/Logging_2132/klagomål/A 29578-2023 FSC-klagomål.docx", "A 29578-2023")</f>
        <v/>
      </c>
      <c r="AB36">
        <f>HYPERLINK("https://klasma.github.io/Logging_2132/klagomålsmail/A 29578-2023 FSC-klagomål mail.docx", "A 29578-2023")</f>
        <v/>
      </c>
      <c r="AC36">
        <f>HYPERLINK("https://klasma.github.io/Logging_2132/tillsyn/A 29578-2023 tillsynsbegäran.docx", "A 29578-2023")</f>
        <v/>
      </c>
      <c r="AD36">
        <f>HYPERLINK("https://klasma.github.io/Logging_2132/tillsynsmail/A 29578-2023 tillsynsbegäran mail.docx", "A 29578-2023")</f>
        <v/>
      </c>
      <c r="AE36">
        <f>HYPERLINK("https://klasma.github.io/Logging_2132/fåglar/A 29578-2023 prioriterade fågelarter.docx", "A 29578-2023")</f>
        <v/>
      </c>
    </row>
    <row r="37" ht="15" customHeight="1">
      <c r="A37" t="inlineStr">
        <is>
          <t>A 470-2024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45297</v>
      </c>
      <c r="E37" s="1" t="n">
        <v>46275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Duvhök
Kungsfågel</t>
        </is>
      </c>
      <c r="W37">
        <f>HYPERLINK("https://klasma.github.io/Logging_2132/artfynd/A 470-2024 artfynd.xlsx", "A 470-2024")</f>
        <v/>
      </c>
      <c r="X37">
        <f>HYPERLINK("https://klasma.github.io/Logging_2132/kartor/A 470-2024 karta.png", "A 470-2024")</f>
        <v/>
      </c>
      <c r="Y37">
        <f>HYPERLINK("https://klasma.github.io/Logging_2132/kartor_geotiff/A 470-2024 georefererad karta.tif", "A 470-2024")</f>
        <v/>
      </c>
      <c r="AA37">
        <f>HYPERLINK("https://klasma.github.io/Logging_2132/klagomål/A 470-2024 FSC-klagomål.docx", "A 470-2024")</f>
        <v/>
      </c>
      <c r="AB37">
        <f>HYPERLINK("https://klasma.github.io/Logging_2132/klagomålsmail/A 470-2024 FSC-klagomål mail.docx", "A 470-2024")</f>
        <v/>
      </c>
      <c r="AC37">
        <f>HYPERLINK("https://klasma.github.io/Logging_2132/tillsyn/A 470-2024 tillsynsbegäran.docx", "A 470-2024")</f>
        <v/>
      </c>
      <c r="AD37">
        <f>HYPERLINK("https://klasma.github.io/Logging_2132/tillsynsmail/A 470-2024 tillsynsbegäran mail.docx", "A 470-2024")</f>
        <v/>
      </c>
      <c r="AE37">
        <f>HYPERLINK("https://klasma.github.io/Logging_2132/fåglar/A 470-2024 prioriterade fågelarter.docx", "A 470-2024")</f>
        <v/>
      </c>
    </row>
    <row r="38" ht="15" customHeight="1">
      <c r="A38" t="inlineStr">
        <is>
          <t>A 62767-2022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44884</v>
      </c>
      <c r="E38" s="1" t="n">
        <v>46275</v>
      </c>
      <c r="F38" t="inlineStr">
        <is>
          <t>GÄVLEBORGS LÄN</t>
        </is>
      </c>
      <c r="G38" t="inlineStr">
        <is>
          <t>NORDANSTIG</t>
        </is>
      </c>
      <c r="H38" t="inlineStr">
        <is>
          <t>SCA</t>
        </is>
      </c>
      <c r="I38" t="n">
        <v>13.3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26</v>
      </c>
      <c r="U38" t="n">
        <v>1</v>
      </c>
      <c r="V38" s="2" t="inlineStr">
        <is>
          <t>Skogsknipprot
Törnskata</t>
        </is>
      </c>
      <c r="W38">
        <f>HYPERLINK("https://klasma.github.io/Logging_2132/artfynd/A 62767-2022 artfynd.xlsx", "A 62767-2022")</f>
        <v/>
      </c>
      <c r="X38">
        <f>HYPERLINK("https://klasma.github.io/Logging_2132/kartor/A 62767-2022 karta.png", "A 62767-2022")</f>
        <v/>
      </c>
      <c r="Y38">
        <f>HYPERLINK("https://klasma.github.io/Logging_2132/kartor_geotiff/A 62767-2022 georefererad karta.tif", "A 62767-2022")</f>
        <v/>
      </c>
      <c r="AA38">
        <f>HYPERLINK("https://klasma.github.io/Logging_2132/klagomål/A 62767-2022 FSC-klagomål.docx", "A 62767-2022")</f>
        <v/>
      </c>
      <c r="AB38">
        <f>HYPERLINK("https://klasma.github.io/Logging_2132/klagomålsmail/A 62767-2022 FSC-klagomål mail.docx", "A 62767-2022")</f>
        <v/>
      </c>
      <c r="AC38">
        <f>HYPERLINK("https://klasma.github.io/Logging_2132/tillsyn/A 62767-2022 tillsynsbegäran.docx", "A 62767-2022")</f>
        <v/>
      </c>
      <c r="AD38">
        <f>HYPERLINK("https://klasma.github.io/Logging_2132/tillsynsmail/A 62767-2022 tillsynsbegäran mail.docx", "A 62767-2022")</f>
        <v/>
      </c>
      <c r="AE38">
        <f>HYPERLINK("https://klasma.github.io/Logging_2132/fåglar/A 62767-2022 prioriterade fågelarter.docx", "A 62767-2022")</f>
        <v/>
      </c>
    </row>
    <row r="39" ht="15" customHeight="1">
      <c r="A39" t="inlineStr">
        <is>
          <t>A 18926-2022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44690</v>
      </c>
      <c r="E39" s="1" t="n">
        <v>46275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Trana</t>
        </is>
      </c>
      <c r="W39">
        <f>HYPERLINK("https://klasma.github.io/Logging_2132/artfynd/A 18926-2022 artfynd.xlsx", "A 18926-2022")</f>
        <v/>
      </c>
      <c r="X39">
        <f>HYPERLINK("https://klasma.github.io/Logging_2132/kartor/A 18926-2022 karta.png", "A 18926-2022")</f>
        <v/>
      </c>
      <c r="Y39">
        <f>HYPERLINK("https://klasma.github.io/Logging_2132/kartor_geotiff/A 18926-2022 georefererad karta.tif", "A 18926-2022")</f>
        <v/>
      </c>
      <c r="AA39">
        <f>HYPERLINK("https://klasma.github.io/Logging_2132/klagomål/A 18926-2022 FSC-klagomål.docx", "A 18926-2022")</f>
        <v/>
      </c>
      <c r="AB39">
        <f>HYPERLINK("https://klasma.github.io/Logging_2132/klagomålsmail/A 18926-2022 FSC-klagomål mail.docx", "A 18926-2022")</f>
        <v/>
      </c>
      <c r="AC39">
        <f>HYPERLINK("https://klasma.github.io/Logging_2132/tillsyn/A 18926-2022 tillsynsbegäran.docx", "A 18926-2022")</f>
        <v/>
      </c>
      <c r="AD39">
        <f>HYPERLINK("https://klasma.github.io/Logging_2132/tillsynsmail/A 18926-2022 tillsynsbegäran mail.docx", "A 18926-2022")</f>
        <v/>
      </c>
      <c r="AE39">
        <f>HYPERLINK("https://klasma.github.io/Logging_2132/fåglar/A 18926-2022 prioriterade fågelarter.docx", "A 18926-2022")</f>
        <v/>
      </c>
    </row>
    <row r="40" ht="15" customHeight="1">
      <c r="A40" t="inlineStr">
        <is>
          <t>A 31053-2024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46275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Smal svampklubba
Fläcknycklar</t>
        </is>
      </c>
      <c r="W40">
        <f>HYPERLINK("https://klasma.github.io/Logging_2132/artfynd/A 31053-2024 artfynd.xlsx", "A 31053-2024")</f>
        <v/>
      </c>
      <c r="X40">
        <f>HYPERLINK("https://klasma.github.io/Logging_2132/kartor/A 31053-2024 karta.png", "A 31053-2024")</f>
        <v/>
      </c>
      <c r="Y40">
        <f>HYPERLINK("https://klasma.github.io/Logging_2132/kartor_geotiff/A 31053-2024 georefererad karta.tif", "A 31053-2024")</f>
        <v/>
      </c>
      <c r="AA40">
        <f>HYPERLINK("https://klasma.github.io/Logging_2132/klagomål/A 31053-2024 FSC-klagomål.docx", "A 31053-2024")</f>
        <v/>
      </c>
      <c r="AB40">
        <f>HYPERLINK("https://klasma.github.io/Logging_2132/klagomålsmail/A 31053-2024 FSC-klagomål mail.docx", "A 31053-2024")</f>
        <v/>
      </c>
      <c r="AC40">
        <f>HYPERLINK("https://klasma.github.io/Logging_2132/tillsyn/A 31053-2024 tillsynsbegäran.docx", "A 31053-2024")</f>
        <v/>
      </c>
      <c r="AD40">
        <f>HYPERLINK("https://klasma.github.io/Logging_2132/tillsynsmail/A 31053-2024 tillsynsbegäran mail.docx", "A 31053-2024")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46275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46275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46275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Fläcknycklar</t>
        </is>
      </c>
      <c r="W43">
        <f>HYPERLINK("https://klasma.github.io/Logging_2132/artfynd/A 3781-2026 artfynd.xlsx", "A 3781-2026")</f>
        <v/>
      </c>
      <c r="X43">
        <f>HYPERLINK("https://klasma.github.io/Logging_2132/kartor/A 3781-2026 karta.png", "A 3781-2026")</f>
        <v/>
      </c>
      <c r="Y43">
        <f>HYPERLINK("https://klasma.github.io/Logging_2132/kartor_geotiff/A 3781-2026 georefererad karta.tif", "A 3781-2026")</f>
        <v/>
      </c>
      <c r="AA43">
        <f>HYPERLINK("https://klasma.github.io/Logging_2132/klagomål/A 3781-2026 FSC-klagomål.docx", "A 3781-2026")</f>
        <v/>
      </c>
      <c r="AB43">
        <f>HYPERLINK("https://klasma.github.io/Logging_2132/klagomålsmail/A 3781-2026 FSC-klagomål mail.docx", "A 3781-2026")</f>
        <v/>
      </c>
      <c r="AC43">
        <f>HYPERLINK("https://klasma.github.io/Logging_2132/tillsyn/A 3781-2026 tillsynsbegäran.docx", "A 3781-2026")</f>
        <v/>
      </c>
      <c r="AD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46275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Aspgelélav
Skinnlav</t>
        </is>
      </c>
      <c r="W44">
        <f>HYPERLINK("https://klasma.github.io/Logging_2132/artfynd/A 3760-2026 artfynd.xlsx", "A 3760-2026")</f>
        <v/>
      </c>
      <c r="X44">
        <f>HYPERLINK("https://klasma.github.io/Logging_2132/kartor/A 3760-2026 karta.png", "A 3760-2026")</f>
        <v/>
      </c>
      <c r="Y44">
        <f>HYPERLINK("https://klasma.github.io/Logging_2132/kartor_geotiff/A 3760-2026 georefererad karta.tif", "A 3760-2026")</f>
        <v/>
      </c>
      <c r="AA44">
        <f>HYPERLINK("https://klasma.github.io/Logging_2132/klagomål/A 3760-2026 FSC-klagomål.docx", "A 3760-2026")</f>
        <v/>
      </c>
      <c r="AB44">
        <f>HYPERLINK("https://klasma.github.io/Logging_2132/klagomålsmail/A 3760-2026 FSC-klagomål mail.docx", "A 3760-2026")</f>
        <v/>
      </c>
      <c r="AC44">
        <f>HYPERLINK("https://klasma.github.io/Logging_2132/tillsyn/A 3760-2026 tillsynsbegäran.docx", "A 3760-2026")</f>
        <v/>
      </c>
      <c r="AD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46275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46275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t="n">
        <v>0</v>
      </c>
      <c r="V46" s="2" t="inlineStr">
        <is>
          <t>Tjäder
Fläcknycklar</t>
        </is>
      </c>
      <c r="W46">
        <f>HYPERLINK("https://klasma.github.io/Logging_2132/artfynd/A 17006-2026 artfynd.xlsx", "A 17006-2026")</f>
        <v/>
      </c>
      <c r="X46">
        <f>HYPERLINK("https://klasma.github.io/Logging_2132/kartor/A 17006-2026 karta.png", "A 17006-2026")</f>
        <v/>
      </c>
      <c r="Y46">
        <f>HYPERLINK("https://klasma.github.io/Logging_2132/kartor_geotiff/A 17006-2026 georefererad karta.tif", "A 17006-2026")</f>
        <v/>
      </c>
      <c r="AA46">
        <f>HYPERLINK("https://klasma.github.io/Logging_2132/klagomål/A 17006-2026 FSC-klagomål.docx", "A 17006-2026")</f>
        <v/>
      </c>
      <c r="AB46">
        <f>HYPERLINK("https://klasma.github.io/Logging_2132/klagomålsmail/A 17006-2026 FSC-klagomål mail.docx", "A 17006-2026")</f>
        <v/>
      </c>
      <c r="AC46">
        <f>HYPERLINK("https://klasma.github.io/Logging_2132/tillsyn/A 17006-2026 tillsynsbegäran.docx", "A 17006-2026")</f>
        <v/>
      </c>
      <c r="AD46">
        <f>HYPERLINK("https://klasma.github.io/Logging_2132/tillsynsmail/A 17006-2026 tillsynsbegäran mail.docx", "A 17006-2026")</f>
        <v/>
      </c>
      <c r="AE46">
        <f>HYPERLINK("https://klasma.github.io/Logging_2132/fåglar/A 17006-2026 prioriterade fågelarter.docx", "A 17006-2026")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46275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46275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46275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46275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46275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46275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46275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46275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3692-2022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44586</v>
      </c>
      <c r="E55" s="1" t="n">
        <v>46275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HYPERLINK("https://klasma.github.io/Logging_2132/artfynd/A 3692-2022 artfynd.xlsx", "A 3692-2022")</f>
        <v/>
      </c>
      <c r="X55">
        <f>HYPERLINK("https://klasma.github.io/Logging_2132/kartor/A 3692-2022 karta.png", "A 3692-2022")</f>
        <v/>
      </c>
      <c r="Y55">
        <f>HYPERLINK("https://klasma.github.io/Logging_2132/kartor_geotiff/A 3692-2022 georefererad karta.tif", "A 3692-2022")</f>
        <v/>
      </c>
      <c r="AA55">
        <f>HYPERLINK("https://klasma.github.io/Logging_2132/klagomål/A 3692-2022 FSC-klagomål.docx", "A 3692-2022")</f>
        <v/>
      </c>
      <c r="AB55">
        <f>HYPERLINK("https://klasma.github.io/Logging_2132/klagomålsmail/A 3692-2022 FSC-klagomål mail.docx", "A 3692-2022")</f>
        <v/>
      </c>
      <c r="AC55">
        <f>HYPERLINK("https://klasma.github.io/Logging_2132/tillsyn/A 3692-2022 tillsynsbegäran.docx", "A 3692-2022")</f>
        <v/>
      </c>
      <c r="AD55">
        <f>HYPERLINK("https://klasma.github.io/Logging_2132/tillsynsmail/A 3692-2022 tillsynsbegäran mail.docx", "A 3692-2022")</f>
        <v/>
      </c>
    </row>
    <row r="56" ht="15" customHeight="1">
      <c r="A56" t="inlineStr">
        <is>
          <t>A 20441-2023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46275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Orre</t>
        </is>
      </c>
      <c r="W56">
        <f>HYPERLINK("https://klasma.github.io/Logging_2132/artfynd/A 20441-2023 artfynd.xlsx", "A 20441-2023")</f>
        <v/>
      </c>
      <c r="X56">
        <f>HYPERLINK("https://klasma.github.io/Logging_2132/kartor/A 20441-2023 karta.png", "A 20441-2023")</f>
        <v/>
      </c>
      <c r="Y56">
        <f>HYPERLINK("https://klasma.github.io/Logging_2132/kartor_geotiff/A 20441-2023 georefererad karta.tif", "A 20441-2023")</f>
        <v/>
      </c>
      <c r="AA56">
        <f>HYPERLINK("https://klasma.github.io/Logging_2132/klagomål/A 20441-2023 FSC-klagomål.docx", "A 20441-2023")</f>
        <v/>
      </c>
      <c r="AB56">
        <f>HYPERLINK("https://klasma.github.io/Logging_2132/klagomålsmail/A 20441-2023 FSC-klagomål mail.docx", "A 20441-2023")</f>
        <v/>
      </c>
      <c r="AC56">
        <f>HYPERLINK("https://klasma.github.io/Logging_2132/tillsyn/A 20441-2023 tillsynsbegäran.docx", "A 20441-2023")</f>
        <v/>
      </c>
      <c r="AD56">
        <f>HYPERLINK("https://klasma.github.io/Logging_2132/tillsynsmail/A 20441-2023 tillsynsbegäran mail.docx", "A 20441-2023")</f>
        <v/>
      </c>
      <c r="AE56">
        <f>HYPERLINK("https://klasma.github.io/Logging_2132/fåglar/A 20441-2023 prioriterade fågelarter.docx", "A 20441-2023")</f>
        <v/>
      </c>
    </row>
    <row r="57" ht="15" customHeight="1">
      <c r="A57" t="inlineStr">
        <is>
          <t>A 2254-2025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46275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Bredgentiana</t>
        </is>
      </c>
      <c r="W57">
        <f>HYPERLINK("https://klasma.github.io/Logging_2132/artfynd/A 2254-2025 artfynd.xlsx", "A 2254-2025")</f>
        <v/>
      </c>
      <c r="X57">
        <f>HYPERLINK("https://klasma.github.io/Logging_2132/kartor/A 2254-2025 karta.png", "A 2254-2025")</f>
        <v/>
      </c>
      <c r="Y57">
        <f>HYPERLINK("https://klasma.github.io/Logging_2132/kartor_geotiff/A 2254-2025 georefererad karta.tif", "A 2254-2025")</f>
        <v/>
      </c>
      <c r="AA57">
        <f>HYPERLINK("https://klasma.github.io/Logging_2132/klagomål/A 2254-2025 FSC-klagomål.docx", "A 2254-2025")</f>
        <v/>
      </c>
      <c r="AB57">
        <f>HYPERLINK("https://klasma.github.io/Logging_2132/klagomålsmail/A 2254-2025 FSC-klagomål mail.docx", "A 2254-2025")</f>
        <v/>
      </c>
      <c r="AC57">
        <f>HYPERLINK("https://klasma.github.io/Logging_2132/tillsyn/A 2254-2025 tillsynsbegäran.docx", "A 2254-2025")</f>
        <v/>
      </c>
      <c r="AD57">
        <f>HYPERLINK("https://klasma.github.io/Logging_2132/tillsynsmail/A 2254-2025 tillsynsbegäran mail.docx", "A 2254-2025")</f>
        <v/>
      </c>
    </row>
    <row r="58" ht="15" customHeight="1">
      <c r="A58" t="inlineStr">
        <is>
          <t>A 20566-2025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45775</v>
      </c>
      <c r="E58" s="1" t="n">
        <v>46275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HYPERLINK("https://klasma.github.io/Logging_2132/artfynd/A 20566-2025 artfynd.xlsx", "A 20566-2025")</f>
        <v/>
      </c>
      <c r="X58">
        <f>HYPERLINK("https://klasma.github.io/Logging_2132/kartor/A 20566-2025 karta.png", "A 20566-2025")</f>
        <v/>
      </c>
      <c r="Y58">
        <f>HYPERLINK("https://klasma.github.io/Logging_2132/kartor_geotiff/A 20566-2025 georefererad karta.tif", "A 20566-2025")</f>
        <v/>
      </c>
      <c r="AA58">
        <f>HYPERLINK("https://klasma.github.io/Logging_2132/klagomål/A 20566-2025 FSC-klagomål.docx", "A 20566-2025")</f>
        <v/>
      </c>
      <c r="AB58">
        <f>HYPERLINK("https://klasma.github.io/Logging_2132/klagomålsmail/A 20566-2025 FSC-klagomål mail.docx", "A 20566-2025")</f>
        <v/>
      </c>
      <c r="AC58">
        <f>HYPERLINK("https://klasma.github.io/Logging_2132/tillsyn/A 20566-2025 tillsynsbegäran.docx", "A 20566-2025")</f>
        <v/>
      </c>
      <c r="AD58">
        <f>HYPERLINK("https://klasma.github.io/Logging_2132/tillsynsmail/A 20566-2025 tillsynsbegäran mail.docx", "A 20566-2025")</f>
        <v/>
      </c>
    </row>
    <row r="59" ht="15" customHeight="1">
      <c r="A59" t="inlineStr">
        <is>
          <t>A 13089-2025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45734</v>
      </c>
      <c r="E59" s="1" t="n">
        <v>46275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5.5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HYPERLINK("https://klasma.github.io/Logging_2132/artfynd/A 13089-2025 artfynd.xlsx", "A 13089-2025")</f>
        <v/>
      </c>
      <c r="X59">
        <f>HYPERLINK("https://klasma.github.io/Logging_2132/kartor/A 13089-2025 karta.png", "A 13089-2025")</f>
        <v/>
      </c>
      <c r="Y59">
        <f>HYPERLINK("https://klasma.github.io/Logging_2132/kartor_geotiff/A 13089-2025 georefererad karta.tif", "A 13089-2025")</f>
        <v/>
      </c>
      <c r="AA59">
        <f>HYPERLINK("https://klasma.github.io/Logging_2132/klagomål/A 13089-2025 FSC-klagomål.docx", "A 13089-2025")</f>
        <v/>
      </c>
      <c r="AB59">
        <f>HYPERLINK("https://klasma.github.io/Logging_2132/klagomålsmail/A 13089-2025 FSC-klagomål mail.docx", "A 13089-2025")</f>
        <v/>
      </c>
      <c r="AC59">
        <f>HYPERLINK("https://klasma.github.io/Logging_2132/tillsyn/A 13089-2025 tillsynsbegäran.docx", "A 13089-2025")</f>
        <v/>
      </c>
      <c r="AD59">
        <f>HYPERLINK("https://klasma.github.io/Logging_2132/tillsynsmail/A 13089-2025 tillsynsbegäran mail.docx", "A 13089-2025")</f>
        <v/>
      </c>
      <c r="AE59">
        <f>HYPERLINK("https://klasma.github.io/Logging_2132/fåglar/A 13089-2025 prioriterade fågelarter.docx", "A 13089-2025")</f>
        <v/>
      </c>
    </row>
    <row r="60" ht="15" customHeight="1">
      <c r="A60" t="inlineStr">
        <is>
          <t>A 377-2024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46275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HYPERLINK("https://klasma.github.io/Logging_2132/artfynd/A 377-2024 artfynd.xlsx", "A 377-2024")</f>
        <v/>
      </c>
      <c r="X60">
        <f>HYPERLINK("https://klasma.github.io/Logging_2132/kartor/A 377-2024 karta.png", "A 377-2024")</f>
        <v/>
      </c>
      <c r="Y60">
        <f>HYPERLINK("https://klasma.github.io/Logging_2132/kartor_geotiff/A 377-2024 georefererad karta.tif", "A 377-2024")</f>
        <v/>
      </c>
      <c r="AA60">
        <f>HYPERLINK("https://klasma.github.io/Logging_2132/klagomål/A 377-2024 FSC-klagomål.docx", "A 377-2024")</f>
        <v/>
      </c>
      <c r="AB60">
        <f>HYPERLINK("https://klasma.github.io/Logging_2132/klagomålsmail/A 377-2024 FSC-klagomål mail.docx", "A 377-2024")</f>
        <v/>
      </c>
      <c r="AC60">
        <f>HYPERLINK("https://klasma.github.io/Logging_2132/tillsyn/A 377-2024 tillsynsbegäran.docx", "A 377-2024")</f>
        <v/>
      </c>
      <c r="AD60">
        <f>HYPERLINK("https://klasma.github.io/Logging_2132/tillsynsmail/A 377-2024 tillsynsbegäran mail.docx", "A 377-2024")</f>
        <v/>
      </c>
      <c r="AE60">
        <f>HYPERLINK("https://klasma.github.io/Logging_2132/fåglar/A 377-2024 prioriterade fågelarter.docx", "A 377-2024")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46275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3755-2023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44951</v>
      </c>
      <c r="E62" s="1" t="n">
        <v>46275</v>
      </c>
      <c r="F62" t="inlineStr">
        <is>
          <t>GÄVLEBORGS LÄN</t>
        </is>
      </c>
      <c r="G62" t="inlineStr">
        <is>
          <t>NORDANSTIG</t>
        </is>
      </c>
      <c r="I62" t="n">
        <v>8.199999999999999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Bredgentiana</t>
        </is>
      </c>
      <c r="W62">
        <f>HYPERLINK("https://klasma.github.io/Logging_2132/artfynd/A 3755-2023 artfynd.xlsx", "A 3755-2023")</f>
        <v/>
      </c>
      <c r="X62">
        <f>HYPERLINK("https://klasma.github.io/Logging_2132/kartor/A 3755-2023 karta.png", "A 3755-2023")</f>
        <v/>
      </c>
      <c r="Y62">
        <f>HYPERLINK("https://klasma.github.io/Logging_2132/kartor_geotiff/A 3755-2023 georefererad karta.tif", "A 3755-2023")</f>
        <v/>
      </c>
      <c r="AA62">
        <f>HYPERLINK("https://klasma.github.io/Logging_2132/klagomål/A 3755-2023 FSC-klagomål.docx", "A 3755-2023")</f>
        <v/>
      </c>
      <c r="AB62">
        <f>HYPERLINK("https://klasma.github.io/Logging_2132/klagomålsmail/A 3755-2023 FSC-klagomål mail.docx", "A 3755-2023")</f>
        <v/>
      </c>
      <c r="AC62">
        <f>HYPERLINK("https://klasma.github.io/Logging_2132/tillsyn/A 3755-2023 tillsynsbegäran.docx", "A 3755-2023")</f>
        <v/>
      </c>
      <c r="AD62">
        <f>HYPERLINK("https://klasma.github.io/Logging_2132/tillsynsmail/A 3755-2023 tillsynsbegäran mail.docx", "A 3755-2023")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46275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46275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18681-2025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45763</v>
      </c>
      <c r="E65" s="1" t="n">
        <v>46275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HYPERLINK("https://klasma.github.io/Logging_2132/artfynd/A 18681-2025 artfynd.xlsx", "A 18681-2025")</f>
        <v/>
      </c>
      <c r="X65">
        <f>HYPERLINK("https://klasma.github.io/Logging_2132/kartor/A 18681-2025 karta.png", "A 18681-2025")</f>
        <v/>
      </c>
      <c r="Y65">
        <f>HYPERLINK("https://klasma.github.io/Logging_2132/kartor_geotiff/A 18681-2025 georefererad karta.tif", "A 18681-2025")</f>
        <v/>
      </c>
      <c r="AA65">
        <f>HYPERLINK("https://klasma.github.io/Logging_2132/klagomål/A 18681-2025 FSC-klagomål.docx", "A 18681-2025")</f>
        <v/>
      </c>
      <c r="AB65">
        <f>HYPERLINK("https://klasma.github.io/Logging_2132/klagomålsmail/A 18681-2025 FSC-klagomål mail.docx", "A 18681-2025")</f>
        <v/>
      </c>
      <c r="AC65">
        <f>HYPERLINK("https://klasma.github.io/Logging_2132/tillsyn/A 18681-2025 tillsynsbegäran.docx", "A 18681-2025")</f>
        <v/>
      </c>
      <c r="AD65">
        <f>HYPERLINK("https://klasma.github.io/Logging_2132/tillsynsmail/A 18681-2025 tillsynsbegäran mail.docx", "A 18681-2025")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46275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23333-2025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45791</v>
      </c>
      <c r="E67" s="1" t="n">
        <v>46275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19.1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HYPERLINK("https://klasma.github.io/Logging_2132/artfynd/A 23333-2025 artfynd.xlsx", "A 23333-2025")</f>
        <v/>
      </c>
      <c r="X67">
        <f>HYPERLINK("https://klasma.github.io/Logging_2132/kartor/A 23333-2025 karta.png", "A 23333-2025")</f>
        <v/>
      </c>
      <c r="Y67">
        <f>HYPERLINK("https://klasma.github.io/Logging_2132/kartor_geotiff/A 23333-2025 georefererad karta.tif", "A 23333-2025")</f>
        <v/>
      </c>
      <c r="AA67">
        <f>HYPERLINK("https://klasma.github.io/Logging_2132/klagomål/A 23333-2025 FSC-klagomål.docx", "A 23333-2025")</f>
        <v/>
      </c>
      <c r="AB67">
        <f>HYPERLINK("https://klasma.github.io/Logging_2132/klagomålsmail/A 23333-2025 FSC-klagomål mail.docx", "A 23333-2025")</f>
        <v/>
      </c>
      <c r="AC67">
        <f>HYPERLINK("https://klasma.github.io/Logging_2132/tillsyn/A 23333-2025 tillsynsbegäran.docx", "A 23333-2025")</f>
        <v/>
      </c>
      <c r="AD67">
        <f>HYPERLINK("https://klasma.github.io/Logging_2132/tillsynsmail/A 23333-2025 tillsynsbegäran mail.docx", "A 23333-2025")</f>
        <v/>
      </c>
      <c r="AE67">
        <f>HYPERLINK("https://klasma.github.io/Logging_2132/fåglar/A 23333-2025 prioriterade fågelarter.docx", "A 23333-2025")</f>
        <v/>
      </c>
    </row>
    <row r="68" ht="15" customHeight="1">
      <c r="A68" t="inlineStr">
        <is>
          <t>A 57806-2024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45631</v>
      </c>
      <c r="E68" s="1" t="n">
        <v>46275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HYPERLINK("https://klasma.github.io/Logging_2132/artfynd/A 57806-2024 artfynd.xlsx", "A 57806-2024")</f>
        <v/>
      </c>
      <c r="X68">
        <f>HYPERLINK("https://klasma.github.io/Logging_2132/kartor/A 57806-2024 karta.png", "A 57806-2024")</f>
        <v/>
      </c>
      <c r="Y68">
        <f>HYPERLINK("https://klasma.github.io/Logging_2132/kartor_geotiff/A 57806-2024 georefererad karta.tif", "A 57806-2024")</f>
        <v/>
      </c>
      <c r="Z68">
        <f>HYPERLINK("https://klasma.github.io/Logging_2132/knärot/A 57806-2024 karta knärot.png", "A 57806-2024")</f>
        <v/>
      </c>
      <c r="AA68">
        <f>HYPERLINK("https://klasma.github.io/Logging_2132/klagomål/A 57806-2024 FSC-klagomål.docx", "A 57806-2024")</f>
        <v/>
      </c>
      <c r="AB68">
        <f>HYPERLINK("https://klasma.github.io/Logging_2132/klagomålsmail/A 57806-2024 FSC-klagomål mail.docx", "A 57806-2024")</f>
        <v/>
      </c>
      <c r="AC68">
        <f>HYPERLINK("https://klasma.github.io/Logging_2132/tillsyn/A 57806-2024 tillsynsbegäran.docx", "A 57806-2024")</f>
        <v/>
      </c>
      <c r="AD68">
        <f>HYPERLINK("https://klasma.github.io/Logging_2132/tillsynsmail/A 57806-2024 tillsynsbegäran mail.docx", "A 57806-2024")</f>
        <v/>
      </c>
    </row>
    <row r="69" ht="15" customHeight="1">
      <c r="A69" t="inlineStr">
        <is>
          <t>A 24758-2025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46275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23.2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24758-2025 artfynd.xlsx", "A 24758-2025")</f>
        <v/>
      </c>
      <c r="X69">
        <f>HYPERLINK("https://klasma.github.io/Logging_2132/kartor/A 24758-2025 karta.png", "A 24758-2025")</f>
        <v/>
      </c>
      <c r="Y69">
        <f>HYPERLINK("https://klasma.github.io/Logging_2132/kartor_geotiff/A 24758-2025 georefererad karta.tif", "A 24758-2025")</f>
        <v/>
      </c>
      <c r="Z69">
        <f>HYPERLINK("https://klasma.github.io/Logging_2132/knärot/A 24758-2025 karta knärot.png", "A 24758-2025")</f>
        <v/>
      </c>
      <c r="AA69">
        <f>HYPERLINK("https://klasma.github.io/Logging_2132/klagomål/A 24758-2025 FSC-klagomål.docx", "A 24758-2025")</f>
        <v/>
      </c>
      <c r="AB69">
        <f>HYPERLINK("https://klasma.github.io/Logging_2132/klagomålsmail/A 24758-2025 FSC-klagomål mail.docx", "A 24758-2025")</f>
        <v/>
      </c>
      <c r="AC69">
        <f>HYPERLINK("https://klasma.github.io/Logging_2132/tillsyn/A 24758-2025 tillsynsbegäran.docx", "A 24758-2025")</f>
        <v/>
      </c>
      <c r="AD69">
        <f>HYPERLINK("https://klasma.github.io/Logging_2132/tillsynsmail/A 24758-2025 tillsynsbegäran mail.docx", "A 24758-2025")</f>
        <v/>
      </c>
    </row>
    <row r="70" ht="15" customHeight="1">
      <c r="A70" t="inlineStr">
        <is>
          <t>A 31845-2025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46275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Skinnlav</t>
        </is>
      </c>
      <c r="W70">
        <f>HYPERLINK("https://klasma.github.io/Logging_2132/artfynd/A 31845-2025 artfynd.xlsx", "A 31845-2025")</f>
        <v/>
      </c>
      <c r="X70">
        <f>HYPERLINK("https://klasma.github.io/Logging_2132/kartor/A 31845-2025 karta.png", "A 31845-2025")</f>
        <v/>
      </c>
      <c r="Y70">
        <f>HYPERLINK("https://klasma.github.io/Logging_2132/kartor_geotiff/A 31845-2025 georefererad karta.tif", "A 31845-2025")</f>
        <v/>
      </c>
      <c r="AA70">
        <f>HYPERLINK("https://klasma.github.io/Logging_2132/klagomål/A 31845-2025 FSC-klagomål.docx", "A 31845-2025")</f>
        <v/>
      </c>
      <c r="AB70">
        <f>HYPERLINK("https://klasma.github.io/Logging_2132/klagomålsmail/A 31845-2025 FSC-klagomål mail.docx", "A 31845-2025")</f>
        <v/>
      </c>
      <c r="AC70">
        <f>HYPERLINK("https://klasma.github.io/Logging_2132/tillsyn/A 31845-2025 tillsynsbegäran.docx", "A 31845-2025")</f>
        <v/>
      </c>
      <c r="AD70">
        <f>HYPERLINK("https://klasma.github.io/Logging_2132/tillsynsmail/A 31845-2025 tillsynsbegäran mail.docx", "A 31845-2025")</f>
        <v/>
      </c>
    </row>
    <row r="71" ht="15" customHeight="1">
      <c r="A71" t="inlineStr">
        <is>
          <t>A 3474-2024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45320</v>
      </c>
      <c r="E71" s="1" t="n">
        <v>46275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5.7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t="n">
        <v>0</v>
      </c>
      <c r="V71" s="2" t="inlineStr">
        <is>
          <t>Bredgentiana</t>
        </is>
      </c>
      <c r="W71">
        <f>HYPERLINK("https://klasma.github.io/Logging_2132/artfynd/A 3474-2024 artfynd.xlsx", "A 3474-2024")</f>
        <v/>
      </c>
      <c r="X71">
        <f>HYPERLINK("https://klasma.github.io/Logging_2132/kartor/A 3474-2024 karta.png", "A 3474-2024")</f>
        <v/>
      </c>
      <c r="Y71">
        <f>HYPERLINK("https://klasma.github.io/Logging_2132/kartor_geotiff/A 3474-2024 georefererad karta.tif", "A 3474-2024")</f>
        <v/>
      </c>
      <c r="AA71">
        <f>HYPERLINK("https://klasma.github.io/Logging_2132/klagomål/A 3474-2024 FSC-klagomål.docx", "A 3474-2024")</f>
        <v/>
      </c>
      <c r="AB71">
        <f>HYPERLINK("https://klasma.github.io/Logging_2132/klagomålsmail/A 3474-2024 FSC-klagomål mail.docx", "A 3474-2024")</f>
        <v/>
      </c>
      <c r="AC71">
        <f>HYPERLINK("https://klasma.github.io/Logging_2132/tillsyn/A 3474-2024 tillsynsbegäran.docx", "A 3474-2024")</f>
        <v/>
      </c>
      <c r="AD71">
        <f>HYPERLINK("https://klasma.github.io/Logging_2132/tillsynsmail/A 3474-2024 tillsynsbegäran mail.docx", "A 3474-2024")</f>
        <v/>
      </c>
    </row>
    <row r="72" ht="15" customHeight="1">
      <c r="A72" t="inlineStr">
        <is>
          <t>A 47605-2025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46275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3</v>
      </c>
      <c r="U72" t="n">
        <v>1</v>
      </c>
      <c r="V72" s="2" t="inlineStr">
        <is>
          <t>Tjäder</t>
        </is>
      </c>
      <c r="W72">
        <f>HYPERLINK("https://klasma.github.io/Logging_2132/artfynd/A 47605-2025 artfynd.xlsx", "A 47605-2025")</f>
        <v/>
      </c>
      <c r="X72">
        <f>HYPERLINK("https://klasma.github.io/Logging_2132/kartor/A 47605-2025 karta.png", "A 47605-2025")</f>
        <v/>
      </c>
      <c r="Y72">
        <f>HYPERLINK("https://klasma.github.io/Logging_2132/kartor_geotiff/A 47605-2025 georefererad karta.tif", "A 47605-2025")</f>
        <v/>
      </c>
      <c r="AA72">
        <f>HYPERLINK("https://klasma.github.io/Logging_2132/klagomål/A 47605-2025 FSC-klagomål.docx", "A 47605-2025")</f>
        <v/>
      </c>
      <c r="AB72">
        <f>HYPERLINK("https://klasma.github.io/Logging_2132/klagomålsmail/A 47605-2025 FSC-klagomål mail.docx", "A 47605-2025")</f>
        <v/>
      </c>
      <c r="AC72">
        <f>HYPERLINK("https://klasma.github.io/Logging_2132/tillsyn/A 47605-2025 tillsynsbegäran.docx", "A 47605-2025")</f>
        <v/>
      </c>
      <c r="AD72">
        <f>HYPERLINK("https://klasma.github.io/Logging_2132/tillsynsmail/A 47605-2025 tillsynsbegäran mail.docx", "A 47605-2025")</f>
        <v/>
      </c>
      <c r="AE72">
        <f>HYPERLINK("https://klasma.github.io/Logging_2132/fåglar/A 47605-2025 prioriterade fågelarter.docx", "A 47605-2025")</f>
        <v/>
      </c>
    </row>
    <row r="73" ht="15" customHeight="1">
      <c r="A73" t="inlineStr">
        <is>
          <t>A 55476-2025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45971</v>
      </c>
      <c r="E73" s="1" t="n">
        <v>46275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HYPERLINK("https://klasma.github.io/Logging_2132/artfynd/A 55476-2025 artfynd.xlsx", "A 55476-2025")</f>
        <v/>
      </c>
      <c r="X73">
        <f>HYPERLINK("https://klasma.github.io/Logging_2132/kartor/A 55476-2025 karta.png", "A 55476-2025")</f>
        <v/>
      </c>
      <c r="Y73">
        <f>HYPERLINK("https://klasma.github.io/Logging_2132/kartor_geotiff/A 55476-2025 georefererad karta.tif", "A 55476-2025")</f>
        <v/>
      </c>
      <c r="AA73">
        <f>HYPERLINK("https://klasma.github.io/Logging_2132/klagomål/A 55476-2025 FSC-klagomål.docx", "A 55476-2025")</f>
        <v/>
      </c>
      <c r="AB73">
        <f>HYPERLINK("https://klasma.github.io/Logging_2132/klagomålsmail/A 55476-2025 FSC-klagomål mail.docx", "A 55476-2025")</f>
        <v/>
      </c>
      <c r="AC73">
        <f>HYPERLINK("https://klasma.github.io/Logging_2132/tillsyn/A 55476-2025 tillsynsbegäran.docx", "A 55476-2025")</f>
        <v/>
      </c>
      <c r="AD73">
        <f>HYPERLINK("https://klasma.github.io/Logging_2132/tillsynsmail/A 55476-2025 tillsynsbegäran mail.docx", "A 55476-2025")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46275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57186-2025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45979</v>
      </c>
      <c r="E75" s="1" t="n">
        <v>46275</v>
      </c>
      <c r="F75" t="inlineStr">
        <is>
          <t>GÄVLEBORGS LÄN</t>
        </is>
      </c>
      <c r="G75" t="inlineStr">
        <is>
          <t>NORDANSTIG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Stjärnstarr</t>
        </is>
      </c>
      <c r="W75">
        <f>HYPERLINK("https://klasma.github.io/Logging_2132/artfynd/A 57186-2025 artfynd.xlsx", "A 57186-2025")</f>
        <v/>
      </c>
      <c r="X75">
        <f>HYPERLINK("https://klasma.github.io/Logging_2132/kartor/A 57186-2025 karta.png", "A 57186-2025")</f>
        <v/>
      </c>
      <c r="Y75">
        <f>HYPERLINK("https://klasma.github.io/Logging_2132/kartor_geotiff/A 57186-2025 georefererad karta.tif", "A 57186-2025")</f>
        <v/>
      </c>
      <c r="AA75">
        <f>HYPERLINK("https://klasma.github.io/Logging_2132/klagomål/A 57186-2025 FSC-klagomål.docx", "A 57186-2025")</f>
        <v/>
      </c>
      <c r="AB75">
        <f>HYPERLINK("https://klasma.github.io/Logging_2132/klagomålsmail/A 57186-2025 FSC-klagomål mail.docx", "A 57186-2025")</f>
        <v/>
      </c>
      <c r="AC75">
        <f>HYPERLINK("https://klasma.github.io/Logging_2132/tillsyn/A 57186-2025 tillsynsbegäran.docx", "A 57186-2025")</f>
        <v/>
      </c>
      <c r="AD75">
        <f>HYPERLINK("https://klasma.github.io/Logging_2132/tillsynsmail/A 57186-2025 tillsynsbegäran mail.docx", "A 57186-2025")</f>
        <v/>
      </c>
    </row>
    <row r="76" ht="15" customHeight="1">
      <c r="A76" t="inlineStr">
        <is>
          <t>A 60371-2025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46275</v>
      </c>
      <c r="F76" t="inlineStr">
        <is>
          <t>GÄVLEBORGS LÄN</t>
        </is>
      </c>
      <c r="G76" t="inlineStr">
        <is>
          <t>NORDANSTIG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HYPERLINK("https://klasma.github.io/Logging_2132/artfynd/A 60371-2025 artfynd.xlsx", "A 60371-2025")</f>
        <v/>
      </c>
      <c r="X76">
        <f>HYPERLINK("https://klasma.github.io/Logging_2132/kartor/A 60371-2025 karta.png", "A 60371-2025")</f>
        <v/>
      </c>
      <c r="Y76">
        <f>HYPERLINK("https://klasma.github.io/Logging_2132/kartor_geotiff/A 60371-2025 georefererad karta.tif", "A 60371-2025")</f>
        <v/>
      </c>
      <c r="AA76">
        <f>HYPERLINK("https://klasma.github.io/Logging_2132/klagomål/A 60371-2025 FSC-klagomål.docx", "A 60371-2025")</f>
        <v/>
      </c>
      <c r="AB76">
        <f>HYPERLINK("https://klasma.github.io/Logging_2132/klagomålsmail/A 60371-2025 FSC-klagomål mail.docx", "A 60371-2025")</f>
        <v/>
      </c>
      <c r="AC76">
        <f>HYPERLINK("https://klasma.github.io/Logging_2132/tillsyn/A 60371-2025 tillsynsbegäran.docx", "A 60371-2025")</f>
        <v/>
      </c>
      <c r="AD76">
        <f>HYPERLINK("https://klasma.github.io/Logging_2132/tillsynsmail/A 60371-2025 tillsynsbegäran mail.docx", "A 60371-2025")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46275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2878-2026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46275</v>
      </c>
      <c r="F78" t="inlineStr">
        <is>
          <t>GÄVLEBORGS LÄN</t>
        </is>
      </c>
      <c r="G78" t="inlineStr">
        <is>
          <t>NORDANSTIG</t>
        </is>
      </c>
      <c r="I78" t="n">
        <v>3.4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HYPERLINK("https://klasma.github.io/Logging_2132/artfynd/A 2878-2026 artfynd.xlsx", "A 2878-2026")</f>
        <v/>
      </c>
      <c r="X78">
        <f>HYPERLINK("https://klasma.github.io/Logging_2132/kartor/A 2878-2026 karta.png", "A 2878-2026")</f>
        <v/>
      </c>
      <c r="Y78">
        <f>HYPERLINK("https://klasma.github.io/Logging_2132/kartor_geotiff/A 2878-2026 georefererad karta.tif", "A 2878-2026")</f>
        <v/>
      </c>
      <c r="AA78">
        <f>HYPERLINK("https://klasma.github.io/Logging_2132/klagomål/A 2878-2026 FSC-klagomål.docx", "A 2878-2026")</f>
        <v/>
      </c>
      <c r="AB78">
        <f>HYPERLINK("https://klasma.github.io/Logging_2132/klagomålsmail/A 2878-2026 FSC-klagomål mail.docx", "A 2878-2026")</f>
        <v/>
      </c>
      <c r="AC78">
        <f>HYPERLINK("https://klasma.github.io/Logging_2132/tillsyn/A 2878-2026 tillsynsbegäran.docx", "A 2878-2026")</f>
        <v/>
      </c>
      <c r="AD78">
        <f>HYPERLINK("https://klasma.github.io/Logging_2132/tillsynsmail/A 2878-2026 tillsynsbegäran mail.docx", "A 2878-2026")</f>
        <v/>
      </c>
      <c r="AE78">
        <f>HYPERLINK("https://klasma.github.io/Logging_2132/fåglar/A 2878-2026 prioriterade fågelarter.docx", "A 2878-2026")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46275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Sötgräs</t>
        </is>
      </c>
      <c r="W79">
        <f>HYPERLINK("https://klasma.github.io/Logging_2132/artfynd/A 11895-2026 artfynd.xlsx", "A 11895-2026")</f>
        <v/>
      </c>
      <c r="X79">
        <f>HYPERLINK("https://klasma.github.io/Logging_2132/kartor/A 11895-2026 karta.png", "A 11895-2026")</f>
        <v/>
      </c>
      <c r="Y79">
        <f>HYPERLINK("https://klasma.github.io/Logging_2132/kartor_geotiff/A 11895-2026 georefererad karta.tif", "A 11895-2026")</f>
        <v/>
      </c>
      <c r="AA79">
        <f>HYPERLINK("https://klasma.github.io/Logging_2132/klagomål/A 11895-2026 FSC-klagomål.docx", "A 11895-2026")</f>
        <v/>
      </c>
      <c r="AB79">
        <f>HYPERLINK("https://klasma.github.io/Logging_2132/klagomålsmail/A 11895-2026 FSC-klagomål mail.docx", "A 11895-2026")</f>
        <v/>
      </c>
      <c r="AC79">
        <f>HYPERLINK("https://klasma.github.io/Logging_2132/tillsyn/A 11895-2026 tillsynsbegäran.docx", "A 11895-2026")</f>
        <v/>
      </c>
      <c r="AD79">
        <f>HYPERLINK("https://klasma.github.io/Logging_2132/tillsynsmail/A 11895-2026 tillsynsbegäran mail.docx", "A 11895-2026")</f>
        <v/>
      </c>
    </row>
    <row r="80" ht="15" customHeight="1">
      <c r="A80" t="inlineStr">
        <is>
          <t>A 25625-2026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46275</v>
      </c>
      <c r="F80" t="inlineStr">
        <is>
          <t>GÄVLEBORGS LÄN</t>
        </is>
      </c>
      <c r="G80" t="inlineStr">
        <is>
          <t>NORDANSTIG</t>
        </is>
      </c>
      <c r="H80" t="inlineStr">
        <is>
          <t>SCA</t>
        </is>
      </c>
      <c r="I80" t="n">
        <v>0.7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13</v>
      </c>
      <c r="U80" t="n">
        <v>0</v>
      </c>
      <c r="V80" s="2" t="inlineStr">
        <is>
          <t>Skogsknipprot</t>
        </is>
      </c>
      <c r="W80">
        <f>HYPERLINK("https://klasma.github.io/Logging_2132/artfynd/A 25625-2026 artfynd.xlsx", "A 25625-2026")</f>
        <v/>
      </c>
      <c r="X80">
        <f>HYPERLINK("https://klasma.github.io/Logging_2132/kartor/A 25625-2026 karta.png", "A 25625-2026")</f>
        <v/>
      </c>
      <c r="Y80">
        <f>HYPERLINK("https://klasma.github.io/Logging_2132/kartor_geotiff/A 25625-2026 georefererad karta.tif", "A 25625-2026")</f>
        <v/>
      </c>
      <c r="AA80">
        <f>HYPERLINK("https://klasma.github.io/Logging_2132/klagomål/A 25625-2026 FSC-klagomål.docx", "A 25625-2026")</f>
        <v/>
      </c>
      <c r="AB80">
        <f>HYPERLINK("https://klasma.github.io/Logging_2132/klagomålsmail/A 25625-2026 FSC-klagomål mail.docx", "A 25625-2026")</f>
        <v/>
      </c>
      <c r="AC80">
        <f>HYPERLINK("https://klasma.github.io/Logging_2132/tillsyn/A 25625-2026 tillsynsbegäran.docx", "A 25625-2026")</f>
        <v/>
      </c>
      <c r="AD80">
        <f>HYPERLINK("https://klasma.github.io/Logging_2132/tillsynsmail/A 25625-2026 tillsynsbegäran mail.docx", "A 25625-2026")</f>
        <v/>
      </c>
    </row>
    <row r="81" ht="15" customHeight="1">
      <c r="A81" t="inlineStr">
        <is>
          <t>A 26278-2026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46275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Lavskrika</t>
        </is>
      </c>
      <c r="W81">
        <f>HYPERLINK("https://klasma.github.io/Logging_2132/artfynd/A 26278-2026 artfynd.xlsx", "A 26278-2026")</f>
        <v/>
      </c>
      <c r="X81">
        <f>HYPERLINK("https://klasma.github.io/Logging_2132/kartor/A 26278-2026 karta.png", "A 26278-2026")</f>
        <v/>
      </c>
      <c r="Y81">
        <f>HYPERLINK("https://klasma.github.io/Logging_2132/kartor_geotiff/A 26278-2026 georefererad karta.tif", "A 26278-2026")</f>
        <v/>
      </c>
      <c r="AA81">
        <f>HYPERLINK("https://klasma.github.io/Logging_2132/klagomål/A 26278-2026 FSC-klagomål.docx", "A 26278-2026")</f>
        <v/>
      </c>
      <c r="AB81">
        <f>HYPERLINK("https://klasma.github.io/Logging_2132/klagomålsmail/A 26278-2026 FSC-klagomål mail.docx", "A 26278-2026")</f>
        <v/>
      </c>
      <c r="AC81">
        <f>HYPERLINK("https://klasma.github.io/Logging_2132/tillsyn/A 26278-2026 tillsynsbegäran.docx", "A 26278-2026")</f>
        <v/>
      </c>
      <c r="AD81">
        <f>HYPERLINK("https://klasma.github.io/Logging_2132/tillsynsmail/A 26278-2026 tillsynsbegäran mail.docx", "A 26278-2026")</f>
        <v/>
      </c>
      <c r="AE81">
        <f>HYPERLINK("https://klasma.github.io/Logging_2132/fåglar/A 26278-2026 prioriterade fågelarter.docx", "A 26278-2026")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46275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46275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46275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46275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46275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46275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46275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46275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46275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46275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46275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46275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46275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46275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46275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46275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50036-2021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44456</v>
      </c>
      <c r="E100" s="1" t="n">
        <v>46275</v>
      </c>
      <c r="F100" t="inlineStr">
        <is>
          <t>GÄVLEBORGS LÄN</t>
        </is>
      </c>
      <c r="G100" t="inlineStr">
        <is>
          <t>NORDANSTIG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46275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12.1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46275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63656-2021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44509</v>
      </c>
      <c r="E103" s="1" t="n">
        <v>46275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46275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46275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46275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51223-2021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46275</v>
      </c>
      <c r="F107" t="inlineStr">
        <is>
          <t>GÄVLEBORGS LÄN</t>
        </is>
      </c>
      <c r="G107" t="inlineStr">
        <is>
          <t>NORDANSTIG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46275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46275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46275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46275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46275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46275</v>
      </c>
      <c r="F113" t="inlineStr">
        <is>
          <t>GÄVLEBORGS LÄN</t>
        </is>
      </c>
      <c r="G113" t="inlineStr">
        <is>
          <t>NORDANSTIG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46275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46275</v>
      </c>
      <c r="F115" t="inlineStr">
        <is>
          <t>GÄVLEBORGS LÄN</t>
        </is>
      </c>
      <c r="G115" t="inlineStr">
        <is>
          <t>NORDANSTIG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44816</v>
      </c>
      <c r="E116" s="1" t="n">
        <v>46275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44651</v>
      </c>
      <c r="E117" s="1" t="n">
        <v>46275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46275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72435-2021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44545</v>
      </c>
      <c r="E119" s="1" t="n">
        <v>46275</v>
      </c>
      <c r="F119" t="inlineStr">
        <is>
          <t>GÄVLEBORGS LÄN</t>
        </is>
      </c>
      <c r="G119" t="inlineStr">
        <is>
          <t>NORDANSTIG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44691</v>
      </c>
      <c r="E120" s="1" t="n">
        <v>46275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46275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46275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46275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46275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59270-2021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44490</v>
      </c>
      <c r="E125" s="1" t="n">
        <v>46275</v>
      </c>
      <c r="F125" t="inlineStr">
        <is>
          <t>GÄVLEBORGS LÄN</t>
        </is>
      </c>
      <c r="G125" t="inlineStr">
        <is>
          <t>NORDANSTIG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46275</v>
      </c>
      <c r="F126" t="inlineStr">
        <is>
          <t>GÄVLEBORGS LÄN</t>
        </is>
      </c>
      <c r="G126" t="inlineStr">
        <is>
          <t>NORDANSTIG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52990-2021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46275</v>
      </c>
      <c r="F127" t="inlineStr">
        <is>
          <t>GÄVLEBORGS LÄN</t>
        </is>
      </c>
      <c r="G127" t="inlineStr">
        <is>
          <t>NORDANSTIG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46275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46275</v>
      </c>
      <c r="F129" t="inlineStr">
        <is>
          <t>GÄVLEBORGS LÄN</t>
        </is>
      </c>
      <c r="G129" t="inlineStr">
        <is>
          <t>NORDANSTIG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46275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46275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44692</v>
      </c>
      <c r="E132" s="1" t="n">
        <v>46275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46275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25001-2022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44728</v>
      </c>
      <c r="E134" s="1" t="n">
        <v>46275</v>
      </c>
      <c r="F134" t="inlineStr">
        <is>
          <t>GÄVLEBORGS LÄN</t>
        </is>
      </c>
      <c r="G134" t="inlineStr">
        <is>
          <t>NORDANSTIG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46275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46275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46275</v>
      </c>
      <c r="F137" t="inlineStr">
        <is>
          <t>GÄVLEBORGS LÄN</t>
        </is>
      </c>
      <c r="G137" t="inlineStr">
        <is>
          <t>NORDANSTIG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62065-2021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46275</v>
      </c>
      <c r="F138" t="inlineStr">
        <is>
          <t>GÄVLEBORGS LÄN</t>
        </is>
      </c>
      <c r="G138" t="inlineStr">
        <is>
          <t>NORDANSTIG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44571</v>
      </c>
      <c r="E139" s="1" t="n">
        <v>46275</v>
      </c>
      <c r="F139" t="inlineStr">
        <is>
          <t>GÄVLEBORGS LÄN</t>
        </is>
      </c>
      <c r="G139" t="inlineStr">
        <is>
          <t>NORDANSTIG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44586</v>
      </c>
      <c r="E140" s="1" t="n">
        <v>46275</v>
      </c>
      <c r="F140" t="inlineStr">
        <is>
          <t>GÄVLEBORGS LÄN</t>
        </is>
      </c>
      <c r="G140" t="inlineStr">
        <is>
          <t>NORDANSTIG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51543-2021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46275</v>
      </c>
      <c r="F141" t="inlineStr">
        <is>
          <t>GÄVLEBORGS LÄN</t>
        </is>
      </c>
      <c r="G141" t="inlineStr">
        <is>
          <t>NORDANSTIG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46275</v>
      </c>
      <c r="F142" t="inlineStr">
        <is>
          <t>GÄVLEBORGS LÄN</t>
        </is>
      </c>
      <c r="G142" t="inlineStr">
        <is>
          <t>NORDANSTIG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46275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46275</v>
      </c>
      <c r="F144" t="inlineStr">
        <is>
          <t>GÄVLEBORGS LÄN</t>
        </is>
      </c>
      <c r="G144" t="inlineStr">
        <is>
          <t>NORDANSTIG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46275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46275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44739</v>
      </c>
      <c r="E147" s="1" t="n">
        <v>46275</v>
      </c>
      <c r="F147" t="inlineStr">
        <is>
          <t>GÄVLEBORGS LÄN</t>
        </is>
      </c>
      <c r="G147" t="inlineStr">
        <is>
          <t>NORDANSTIG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46275</v>
      </c>
      <c r="F148" t="inlineStr">
        <is>
          <t>GÄVLEBORGS LÄN</t>
        </is>
      </c>
      <c r="G148" t="inlineStr">
        <is>
          <t>NORDANSTIG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46275</v>
      </c>
      <c r="F149" t="inlineStr">
        <is>
          <t>GÄVLEBORGS LÄN</t>
        </is>
      </c>
      <c r="G149" t="inlineStr">
        <is>
          <t>NORDANSTIG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44795</v>
      </c>
      <c r="E150" s="1" t="n">
        <v>46275</v>
      </c>
      <c r="F150" t="inlineStr">
        <is>
          <t>GÄVLEBORGS LÄN</t>
        </is>
      </c>
      <c r="G150" t="inlineStr">
        <is>
          <t>NORDANSTIG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46275</v>
      </c>
      <c r="F151" t="inlineStr">
        <is>
          <t>GÄVLEBORGS LÄN</t>
        </is>
      </c>
      <c r="G151" t="inlineStr">
        <is>
          <t>NORDANSTIG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46275</v>
      </c>
      <c r="F152" t="inlineStr">
        <is>
          <t>GÄVLEBORGS LÄN</t>
        </is>
      </c>
      <c r="G152" t="inlineStr">
        <is>
          <t>NORDANSTIG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46275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46275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46275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46275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26113-2022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44734</v>
      </c>
      <c r="E157" s="1" t="n">
        <v>46275</v>
      </c>
      <c r="F157" t="inlineStr">
        <is>
          <t>GÄVLEBORGS LÄN</t>
        </is>
      </c>
      <c r="G157" t="inlineStr">
        <is>
          <t>NORDANSTIG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46275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62450-2021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46275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44566</v>
      </c>
      <c r="E160" s="1" t="n">
        <v>46275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46275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44945</v>
      </c>
      <c r="E162" s="1" t="n">
        <v>46275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44832</v>
      </c>
      <c r="E163" s="1" t="n">
        <v>46275</v>
      </c>
      <c r="F163" t="inlineStr">
        <is>
          <t>GÄVLEBORGS LÄN</t>
        </is>
      </c>
      <c r="G163" t="inlineStr">
        <is>
          <t>NORDANSTIG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44790</v>
      </c>
      <c r="E164" s="1" t="n">
        <v>46275</v>
      </c>
      <c r="F164" t="inlineStr">
        <is>
          <t>GÄVLEBORGS LÄN</t>
        </is>
      </c>
      <c r="G164" t="inlineStr">
        <is>
          <t>NORDANSTIG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46275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46275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46275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44833</v>
      </c>
      <c r="E168" s="1" t="n">
        <v>46275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45712</v>
      </c>
      <c r="E169" s="1" t="n">
        <v>46275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46275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46275</v>
      </c>
      <c r="F171" t="inlineStr">
        <is>
          <t>GÄVLEBORGS LÄN</t>
        </is>
      </c>
      <c r="G171" t="inlineStr">
        <is>
          <t>NORDANSTIG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46275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44765</v>
      </c>
      <c r="E173" s="1" t="n">
        <v>46275</v>
      </c>
      <c r="F173" t="inlineStr">
        <is>
          <t>GÄVLEBORGS LÄN</t>
        </is>
      </c>
      <c r="G173" t="inlineStr">
        <is>
          <t>NORDANSTIG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46275</v>
      </c>
      <c r="F174" t="inlineStr">
        <is>
          <t>GÄVLEBORGS LÄN</t>
        </is>
      </c>
      <c r="G174" t="inlineStr">
        <is>
          <t>NORDANSTIG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46275</v>
      </c>
      <c r="F175" t="inlineStr">
        <is>
          <t>GÄVLEBORGS LÄN</t>
        </is>
      </c>
      <c r="G175" t="inlineStr">
        <is>
          <t>NORDANSTIG</t>
        </is>
      </c>
      <c r="I175" t="n">
        <v>11.3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46275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46275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44987</v>
      </c>
      <c r="E178" s="1" t="n">
        <v>46275</v>
      </c>
      <c r="F178" t="inlineStr">
        <is>
          <t>GÄVLEBORGS LÄN</t>
        </is>
      </c>
      <c r="G178" t="inlineStr">
        <is>
          <t>NORDANSTIG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46275</v>
      </c>
      <c r="F179" t="inlineStr">
        <is>
          <t>GÄVLEBORGS LÄN</t>
        </is>
      </c>
      <c r="G179" t="inlineStr">
        <is>
          <t>NORDANSTIG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73748-2021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46275</v>
      </c>
      <c r="F180" t="inlineStr">
        <is>
          <t>GÄVLEBORGS LÄN</t>
        </is>
      </c>
      <c r="G180" t="inlineStr">
        <is>
          <t>NORDANSTIG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44797</v>
      </c>
      <c r="E181" s="1" t="n">
        <v>46275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46275</v>
      </c>
      <c r="F182" t="inlineStr">
        <is>
          <t>GÄVLEBORGS LÄN</t>
        </is>
      </c>
      <c r="G182" t="inlineStr">
        <is>
          <t>NORDANSTIG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46275</v>
      </c>
      <c r="F183" t="inlineStr">
        <is>
          <t>GÄVLEBORGS LÄN</t>
        </is>
      </c>
      <c r="G183" t="inlineStr">
        <is>
          <t>NORDANSTIG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45139</v>
      </c>
      <c r="E184" s="1" t="n">
        <v>46275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46275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46275</v>
      </c>
      <c r="F186" t="inlineStr">
        <is>
          <t>GÄVLEBORGS LÄN</t>
        </is>
      </c>
      <c r="G186" t="inlineStr">
        <is>
          <t>NORDANSTIG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44985</v>
      </c>
      <c r="E187" s="1" t="n">
        <v>46275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46275</v>
      </c>
      <c r="F188" t="inlineStr">
        <is>
          <t>GÄVLEBORGS LÄN</t>
        </is>
      </c>
      <c r="G188" t="inlineStr">
        <is>
          <t>NORDANSTIG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46275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42118-2022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46275</v>
      </c>
      <c r="F190" t="inlineStr">
        <is>
          <t>GÄVLEBORGS LÄN</t>
        </is>
      </c>
      <c r="G190" t="inlineStr">
        <is>
          <t>NORDANSTIG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46275</v>
      </c>
      <c r="F191" t="inlineStr">
        <is>
          <t>GÄVLEBORGS LÄN</t>
        </is>
      </c>
      <c r="G191" t="inlineStr">
        <is>
          <t>NORDANSTIG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45537</v>
      </c>
      <c r="E192" s="1" t="n">
        <v>46275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45489</v>
      </c>
      <c r="E193" s="1" t="n">
        <v>46275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46275</v>
      </c>
      <c r="F194" t="inlineStr">
        <is>
          <t>GÄVLEBORGS LÄN</t>
        </is>
      </c>
      <c r="G194" t="inlineStr">
        <is>
          <t>NORDANSTIG</t>
        </is>
      </c>
      <c r="I194" t="n">
        <v>16.7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44789</v>
      </c>
      <c r="E195" s="1" t="n">
        <v>46275</v>
      </c>
      <c r="F195" t="inlineStr">
        <is>
          <t>GÄVLEBORGS LÄN</t>
        </is>
      </c>
      <c r="G195" t="inlineStr">
        <is>
          <t>NORDANSTIG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46275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45419</v>
      </c>
      <c r="E197" s="1" t="n">
        <v>46275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45687</v>
      </c>
      <c r="E198" s="1" t="n">
        <v>46275</v>
      </c>
      <c r="F198" t="inlineStr">
        <is>
          <t>GÄVLEBORGS LÄN</t>
        </is>
      </c>
      <c r="G198" t="inlineStr">
        <is>
          <t>NORDANSTIG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45273</v>
      </c>
      <c r="E199" s="1" t="n">
        <v>46275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46275</v>
      </c>
      <c r="F200" t="inlineStr">
        <is>
          <t>GÄVLEBORGS LÄN</t>
        </is>
      </c>
      <c r="G200" t="inlineStr">
        <is>
          <t>NORDANSTIG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46275</v>
      </c>
      <c r="F201" t="inlineStr">
        <is>
          <t>GÄVLEBORGS LÄN</t>
        </is>
      </c>
      <c r="G201" t="inlineStr">
        <is>
          <t>NORDANSTIG</t>
        </is>
      </c>
      <c r="H201" t="inlineStr">
        <is>
          <t>SCA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46275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46275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46275</v>
      </c>
      <c r="F204" t="inlineStr">
        <is>
          <t>GÄVLEBORGS LÄN</t>
        </is>
      </c>
      <c r="G204" t="inlineStr">
        <is>
          <t>NORDANSTIG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46275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45513</v>
      </c>
      <c r="E206" s="1" t="n">
        <v>46275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45504</v>
      </c>
      <c r="E207" s="1" t="n">
        <v>46275</v>
      </c>
      <c r="F207" t="inlineStr">
        <is>
          <t>GÄVLEBORGS LÄN</t>
        </is>
      </c>
      <c r="G207" t="inlineStr">
        <is>
          <t>NORDANSTIG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46275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46275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45622</v>
      </c>
      <c r="E210" s="1" t="n">
        <v>46275</v>
      </c>
      <c r="F210" t="inlineStr">
        <is>
          <t>GÄVLEBORGS LÄN</t>
        </is>
      </c>
      <c r="G210" t="inlineStr">
        <is>
          <t>NORDANSTIG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45525</v>
      </c>
      <c r="E211" s="1" t="n">
        <v>46275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45426</v>
      </c>
      <c r="E212" s="1" t="n">
        <v>46275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46275</v>
      </c>
      <c r="F213" t="inlineStr">
        <is>
          <t>GÄVLEBORGS LÄN</t>
        </is>
      </c>
      <c r="G213" t="inlineStr">
        <is>
          <t>NORDANSTIG</t>
        </is>
      </c>
      <c r="I213" t="n">
        <v>15.1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46275</v>
      </c>
      <c r="F214" t="inlineStr">
        <is>
          <t>GÄVLEBORGS LÄN</t>
        </is>
      </c>
      <c r="G214" t="inlineStr">
        <is>
          <t>NORDANSTIG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46275</v>
      </c>
      <c r="F215" t="inlineStr">
        <is>
          <t>GÄVLEBORGS LÄN</t>
        </is>
      </c>
      <c r="G215" t="inlineStr">
        <is>
          <t>NORDANSTIG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46275</v>
      </c>
      <c r="F216" t="inlineStr">
        <is>
          <t>GÄVLEBORGS LÄN</t>
        </is>
      </c>
      <c r="G216" t="inlineStr">
        <is>
          <t>NORDANSTIG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45499</v>
      </c>
      <c r="E217" s="1" t="n">
        <v>46275</v>
      </c>
      <c r="F217" t="inlineStr">
        <is>
          <t>GÄVLEBORGS LÄN</t>
        </is>
      </c>
      <c r="G217" t="inlineStr">
        <is>
          <t>NORDANSTIG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45177</v>
      </c>
      <c r="E218" s="1" t="n">
        <v>46275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46275</v>
      </c>
      <c r="F219" t="inlineStr">
        <is>
          <t>GÄVLEBORGS LÄN</t>
        </is>
      </c>
      <c r="G219" t="inlineStr">
        <is>
          <t>NORDANSTIG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45176</v>
      </c>
      <c r="E220" s="1" t="n">
        <v>46275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20512-2022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44699</v>
      </c>
      <c r="E221" s="1" t="n">
        <v>46275</v>
      </c>
      <c r="F221" t="inlineStr">
        <is>
          <t>GÄVLEBORGS LÄN</t>
        </is>
      </c>
      <c r="G221" t="inlineStr">
        <is>
          <t>NORDANSTIG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17482-2022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44679</v>
      </c>
      <c r="E222" s="1" t="n">
        <v>46275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45428</v>
      </c>
      <c r="E223" s="1" t="n">
        <v>46275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46275</v>
      </c>
      <c r="F224" t="inlineStr">
        <is>
          <t>GÄVLEBORGS LÄN</t>
        </is>
      </c>
      <c r="G224" t="inlineStr">
        <is>
          <t>NORDANSTIG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44678</v>
      </c>
      <c r="E225" s="1" t="n">
        <v>46275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46275</v>
      </c>
      <c r="F226" t="inlineStr">
        <is>
          <t>GÄVLEBORGS LÄN</t>
        </is>
      </c>
      <c r="G226" t="inlineStr">
        <is>
          <t>NORDANSTIG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46275</v>
      </c>
      <c r="F227" t="inlineStr">
        <is>
          <t>GÄVLEBORGS LÄN</t>
        </is>
      </c>
      <c r="G227" t="inlineStr">
        <is>
          <t>NORDANSTIG</t>
        </is>
      </c>
      <c r="H227" t="inlineStr">
        <is>
          <t>SCA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46275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45357</v>
      </c>
      <c r="E229" s="1" t="n">
        <v>46275</v>
      </c>
      <c r="F229" t="inlineStr">
        <is>
          <t>GÄVLEBORGS LÄN</t>
        </is>
      </c>
      <c r="G229" t="inlineStr">
        <is>
          <t>NORDANSTIG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46275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46275</v>
      </c>
      <c r="F231" t="inlineStr">
        <is>
          <t>GÄVLEBORGS LÄN</t>
        </is>
      </c>
      <c r="G231" t="inlineStr">
        <is>
          <t>NORDANSTIG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46275</v>
      </c>
      <c r="F232" t="inlineStr">
        <is>
          <t>GÄVLEBORGS LÄN</t>
        </is>
      </c>
      <c r="G232" t="inlineStr">
        <is>
          <t>NORDANSTIG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46275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46275</v>
      </c>
      <c r="F234" t="inlineStr">
        <is>
          <t>GÄVLEBORGS LÄN</t>
        </is>
      </c>
      <c r="G234" t="inlineStr">
        <is>
          <t>NORDANSTIG</t>
        </is>
      </c>
      <c r="I234" t="n">
        <v>9.5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45618</v>
      </c>
      <c r="E235" s="1" t="n">
        <v>46275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46275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45559</v>
      </c>
      <c r="E237" s="1" t="n">
        <v>46275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74460-2021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44560</v>
      </c>
      <c r="E238" s="1" t="n">
        <v>46275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46275</v>
      </c>
      <c r="F239" t="inlineStr">
        <is>
          <t>GÄVLEBORGS LÄN</t>
        </is>
      </c>
      <c r="G239" t="inlineStr">
        <is>
          <t>NORDANSTIG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45303</v>
      </c>
      <c r="E240" s="1" t="n">
        <v>46275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46275</v>
      </c>
      <c r="F241" t="inlineStr">
        <is>
          <t>GÄVLEBORGS LÄN</t>
        </is>
      </c>
      <c r="G241" t="inlineStr">
        <is>
          <t>NORDANSTIG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46275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46275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45352</v>
      </c>
      <c r="E244" s="1" t="n">
        <v>46275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46275</v>
      </c>
      <c r="F245" t="inlineStr">
        <is>
          <t>GÄVLEBORGS LÄN</t>
        </is>
      </c>
      <c r="G245" t="inlineStr">
        <is>
          <t>NORDANSTIG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46275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46275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46275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46275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46275</v>
      </c>
      <c r="F250" t="inlineStr">
        <is>
          <t>GÄVLEBORGS LÄN</t>
        </is>
      </c>
      <c r="G250" t="inlineStr">
        <is>
          <t>NORDANSTIG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44573</v>
      </c>
      <c r="E251" s="1" t="n">
        <v>46275</v>
      </c>
      <c r="F251" t="inlineStr">
        <is>
          <t>GÄVLEBORGS LÄN</t>
        </is>
      </c>
      <c r="G251" t="inlineStr">
        <is>
          <t>NORDANSTIG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36464-2024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45537</v>
      </c>
      <c r="E252" s="1" t="n">
        <v>46275</v>
      </c>
      <c r="F252" t="inlineStr">
        <is>
          <t>GÄVLEBORGS LÄN</t>
        </is>
      </c>
      <c r="G252" t="inlineStr">
        <is>
          <t>NORDANSTIG</t>
        </is>
      </c>
      <c r="H252" t="inlineStr">
        <is>
          <t>SCA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55276-2024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46275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46275</v>
      </c>
      <c r="F254" t="inlineStr">
        <is>
          <t>GÄVLEBORGS LÄN</t>
        </is>
      </c>
      <c r="G254" t="inlineStr">
        <is>
          <t>NORDANSTIG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46275</v>
      </c>
      <c r="F255" t="inlineStr">
        <is>
          <t>GÄVLEBORGS LÄN</t>
        </is>
      </c>
      <c r="G255" t="inlineStr">
        <is>
          <t>NORDANSTIG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46275</v>
      </c>
      <c r="F256" t="inlineStr">
        <is>
          <t>GÄVLEBORGS LÄN</t>
        </is>
      </c>
      <c r="G256" t="inlineStr">
        <is>
          <t>NORDANSTIG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45044</v>
      </c>
      <c r="E257" s="1" t="n">
        <v>46275</v>
      </c>
      <c r="F257" t="inlineStr">
        <is>
          <t>GÄVLEBORGS LÄN</t>
        </is>
      </c>
      <c r="G257" t="inlineStr">
        <is>
          <t>NORDANSTIG</t>
        </is>
      </c>
      <c r="I257" t="n">
        <v>26.6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45635</v>
      </c>
      <c r="E258" s="1" t="n">
        <v>46275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45358</v>
      </c>
      <c r="E259" s="1" t="n">
        <v>46275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35931-2023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45148</v>
      </c>
      <c r="E260" s="1" t="n">
        <v>46275</v>
      </c>
      <c r="F260" t="inlineStr">
        <is>
          <t>GÄVLEBORGS LÄN</t>
        </is>
      </c>
      <c r="G260" t="inlineStr">
        <is>
          <t>NORDANSTIG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46275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46275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57983-2022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46275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46275</v>
      </c>
      <c r="F264" t="inlineStr">
        <is>
          <t>GÄVLEBORGS LÄN</t>
        </is>
      </c>
      <c r="G264" t="inlineStr">
        <is>
          <t>NORDANSTIG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45541</v>
      </c>
      <c r="E265" s="1" t="n">
        <v>46275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45301</v>
      </c>
      <c r="E266" s="1" t="n">
        <v>46275</v>
      </c>
      <c r="F266" t="inlineStr">
        <is>
          <t>GÄVLEBORGS LÄN</t>
        </is>
      </c>
      <c r="G266" t="inlineStr">
        <is>
          <t>NORDANSTIG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46275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61419-2024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45646</v>
      </c>
      <c r="E268" s="1" t="n">
        <v>46275</v>
      </c>
      <c r="F268" t="inlineStr">
        <is>
          <t>GÄVLEBORGS LÄN</t>
        </is>
      </c>
      <c r="G268" t="inlineStr">
        <is>
          <t>NORDANSTIG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46275</v>
      </c>
      <c r="F269" t="inlineStr">
        <is>
          <t>GÄVLEBORGS LÄN</t>
        </is>
      </c>
      <c r="G269" t="inlineStr">
        <is>
          <t>NORDANSTIG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44664</v>
      </c>
      <c r="E270" s="1" t="n">
        <v>46275</v>
      </c>
      <c r="F270" t="inlineStr">
        <is>
          <t>GÄVLEBORGS LÄN</t>
        </is>
      </c>
      <c r="G270" t="inlineStr">
        <is>
          <t>NORDANSTIG</t>
        </is>
      </c>
      <c r="H270" t="inlineStr">
        <is>
          <t>SCA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44900</v>
      </c>
      <c r="E271" s="1" t="n">
        <v>46275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44869</v>
      </c>
      <c r="E272" s="1" t="n">
        <v>46275</v>
      </c>
      <c r="F272" t="inlineStr">
        <is>
          <t>GÄVLEBORGS LÄN</t>
        </is>
      </c>
      <c r="G272" t="inlineStr">
        <is>
          <t>NORDANSTIG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45297</v>
      </c>
      <c r="E273" s="1" t="n">
        <v>46275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46275</v>
      </c>
      <c r="F274" t="inlineStr">
        <is>
          <t>GÄVLEBORGS LÄN</t>
        </is>
      </c>
      <c r="G274" t="inlineStr">
        <is>
          <t>NORDANSTIG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45462</v>
      </c>
      <c r="E275" s="1" t="n">
        <v>46275</v>
      </c>
      <c r="F275" t="inlineStr">
        <is>
          <t>GÄVLEBORGS LÄN</t>
        </is>
      </c>
      <c r="G275" t="inlineStr">
        <is>
          <t>NORDANSTIG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46275</v>
      </c>
      <c r="F276" t="inlineStr">
        <is>
          <t>GÄVLEBORGS LÄN</t>
        </is>
      </c>
      <c r="G276" t="inlineStr">
        <is>
          <t>NORDANSTIG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45607</v>
      </c>
      <c r="E277" s="1" t="n">
        <v>46275</v>
      </c>
      <c r="F277" t="inlineStr">
        <is>
          <t>GÄVLEBORGS LÄN</t>
        </is>
      </c>
      <c r="G277" t="inlineStr">
        <is>
          <t>NORDANSTIG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46275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46275</v>
      </c>
      <c r="F279" t="inlineStr">
        <is>
          <t>GÄVLEBORGS LÄN</t>
        </is>
      </c>
      <c r="G279" t="inlineStr">
        <is>
          <t>NORDANSTIG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44339-2024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45573</v>
      </c>
      <c r="E280" s="1" t="n">
        <v>46275</v>
      </c>
      <c r="F280" t="inlineStr">
        <is>
          <t>GÄVLEBORGS LÄN</t>
        </is>
      </c>
      <c r="G280" t="inlineStr">
        <is>
          <t>NORDANSTIG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46275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46275</v>
      </c>
      <c r="F282" t="inlineStr">
        <is>
          <t>GÄVLEBORGS LÄN</t>
        </is>
      </c>
      <c r="G282" t="inlineStr">
        <is>
          <t>NORDANSTIG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45671</v>
      </c>
      <c r="E283" s="1" t="n">
        <v>46275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46275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45687</v>
      </c>
      <c r="E285" s="1" t="n">
        <v>46275</v>
      </c>
      <c r="F285" t="inlineStr">
        <is>
          <t>GÄVLEBORGS LÄN</t>
        </is>
      </c>
      <c r="G285" t="inlineStr">
        <is>
          <t>NORDANSTIG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44783</v>
      </c>
      <c r="E286" s="1" t="n">
        <v>46275</v>
      </c>
      <c r="F286" t="inlineStr">
        <is>
          <t>GÄVLEBORGS LÄN</t>
        </is>
      </c>
      <c r="G286" t="inlineStr">
        <is>
          <t>NORDANSTIG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46275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46275</v>
      </c>
      <c r="F288" t="inlineStr">
        <is>
          <t>GÄVLEBORGS LÄN</t>
        </is>
      </c>
      <c r="G288" t="inlineStr">
        <is>
          <t>NORDANSTIG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46275</v>
      </c>
      <c r="F289" t="inlineStr">
        <is>
          <t>GÄVLEBORGS LÄN</t>
        </is>
      </c>
      <c r="G289" t="inlineStr">
        <is>
          <t>NORDANSTIG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46275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40241-2023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45169</v>
      </c>
      <c r="E291" s="1" t="n">
        <v>46275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44659</v>
      </c>
      <c r="E292" s="1" t="n">
        <v>46275</v>
      </c>
      <c r="F292" t="inlineStr">
        <is>
          <t>GÄVLEBORGS LÄN</t>
        </is>
      </c>
      <c r="G292" t="inlineStr">
        <is>
          <t>NORDANSTIG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45506</v>
      </c>
      <c r="E293" s="1" t="n">
        <v>46275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46275</v>
      </c>
      <c r="F294" t="inlineStr">
        <is>
          <t>GÄVLEBORGS LÄN</t>
        </is>
      </c>
      <c r="G294" t="inlineStr">
        <is>
          <t>NORDANSTIG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59128-2024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45637</v>
      </c>
      <c r="E295" s="1" t="n">
        <v>46275</v>
      </c>
      <c r="F295" t="inlineStr">
        <is>
          <t>GÄVLEBORGS LÄN</t>
        </is>
      </c>
      <c r="G295" t="inlineStr">
        <is>
          <t>NORDANSTIG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46275</v>
      </c>
      <c r="F296" t="inlineStr">
        <is>
          <t>GÄVLEBORGS LÄN</t>
        </is>
      </c>
      <c r="G296" t="inlineStr">
        <is>
          <t>NORDANSTIG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59930-2024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45642</v>
      </c>
      <c r="E297" s="1" t="n">
        <v>46275</v>
      </c>
      <c r="F297" t="inlineStr">
        <is>
          <t>GÄVLEBORGS LÄN</t>
        </is>
      </c>
      <c r="G297" t="inlineStr">
        <is>
          <t>NORDANSTIG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44692</v>
      </c>
      <c r="E298" s="1" t="n">
        <v>46275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32350-2022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44781</v>
      </c>
      <c r="E299" s="1" t="n">
        <v>46275</v>
      </c>
      <c r="F299" t="inlineStr">
        <is>
          <t>GÄVLEBORGS LÄN</t>
        </is>
      </c>
      <c r="G299" t="inlineStr">
        <is>
          <t>NORDANSTIG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46275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45623</v>
      </c>
      <c r="E301" s="1" t="n">
        <v>46275</v>
      </c>
      <c r="F301" t="inlineStr">
        <is>
          <t>GÄVLEBORGS LÄN</t>
        </is>
      </c>
      <c r="G301" t="inlineStr">
        <is>
          <t>NORDANSTIG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64835-2021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46275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45124</v>
      </c>
      <c r="E303" s="1" t="n">
        <v>46275</v>
      </c>
      <c r="F303" t="inlineStr">
        <is>
          <t>GÄVLEBORGS LÄN</t>
        </is>
      </c>
      <c r="G303" t="inlineStr">
        <is>
          <t>NORDANSTIG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46275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14866-2024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45397</v>
      </c>
      <c r="E305" s="1" t="n">
        <v>46275</v>
      </c>
      <c r="F305" t="inlineStr">
        <is>
          <t>GÄVLEBORGS LÄN</t>
        </is>
      </c>
      <c r="G305" t="inlineStr">
        <is>
          <t>NORDANSTIG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65039-2023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45287</v>
      </c>
      <c r="E306" s="1" t="n">
        <v>46275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46275</v>
      </c>
      <c r="F307" t="inlineStr">
        <is>
          <t>GÄVLEBORGS LÄN</t>
        </is>
      </c>
      <c r="G307" t="inlineStr">
        <is>
          <t>NORDANSTIG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46275</v>
      </c>
      <c r="F308" t="inlineStr">
        <is>
          <t>GÄVLEBORGS LÄN</t>
        </is>
      </c>
      <c r="G308" t="inlineStr">
        <is>
          <t>NORDANSTIG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44952</v>
      </c>
      <c r="E309" s="1" t="n">
        <v>46275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46275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45455</v>
      </c>
      <c r="E311" s="1" t="n">
        <v>46275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44938</v>
      </c>
      <c r="E312" s="1" t="n">
        <v>46275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46275</v>
      </c>
      <c r="F313" t="inlineStr">
        <is>
          <t>GÄVLEBORGS LÄN</t>
        </is>
      </c>
      <c r="G313" t="inlineStr">
        <is>
          <t>NORDANSTIG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46275</v>
      </c>
      <c r="F314" t="inlineStr">
        <is>
          <t>GÄVLEBORGS LÄN</t>
        </is>
      </c>
      <c r="G314" t="inlineStr">
        <is>
          <t>NORDANSTIG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46275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45079</v>
      </c>
      <c r="E316" s="1" t="n">
        <v>46275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45253</v>
      </c>
      <c r="E317" s="1" t="n">
        <v>46275</v>
      </c>
      <c r="F317" t="inlineStr">
        <is>
          <t>GÄVLEBORGS LÄN</t>
        </is>
      </c>
      <c r="G317" t="inlineStr">
        <is>
          <t>NORDANSTIG</t>
        </is>
      </c>
      <c r="I317" t="n">
        <v>12.5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4414-2022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44589</v>
      </c>
      <c r="E318" s="1" t="n">
        <v>46275</v>
      </c>
      <c r="F318" t="inlineStr">
        <is>
          <t>GÄVLEBORGS LÄN</t>
        </is>
      </c>
      <c r="G318" t="inlineStr">
        <is>
          <t>NORDANSTIG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45271</v>
      </c>
      <c r="E319" s="1" t="n">
        <v>46275</v>
      </c>
      <c r="F319" t="inlineStr">
        <is>
          <t>GÄVLEBORGS LÄN</t>
        </is>
      </c>
      <c r="G319" t="inlineStr">
        <is>
          <t>NORDANSTIG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44908</v>
      </c>
      <c r="E320" s="1" t="n">
        <v>46275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44907</v>
      </c>
      <c r="E321" s="1" t="n">
        <v>46275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45537</v>
      </c>
      <c r="E322" s="1" t="n">
        <v>46275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46275</v>
      </c>
      <c r="F323" t="inlineStr">
        <is>
          <t>GÄVLEBORGS LÄN</t>
        </is>
      </c>
      <c r="G323" t="inlineStr">
        <is>
          <t>NORDANSTIG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45757</v>
      </c>
      <c r="E324" s="1" t="n">
        <v>46275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59422-2022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44907</v>
      </c>
      <c r="E325" s="1" t="n">
        <v>46275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46275</v>
      </c>
      <c r="F326" t="inlineStr">
        <is>
          <t>GÄVLEBORGS LÄN</t>
        </is>
      </c>
      <c r="G326" t="inlineStr">
        <is>
          <t>NORDANSTIG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65208-2023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45289</v>
      </c>
      <c r="E327" s="1" t="n">
        <v>46275</v>
      </c>
      <c r="F327" t="inlineStr">
        <is>
          <t>GÄVLEBORGS LÄN</t>
        </is>
      </c>
      <c r="G327" t="inlineStr">
        <is>
          <t>NORDANSTIG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45176</v>
      </c>
      <c r="E328" s="1" t="n">
        <v>46275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51380-2024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45604</v>
      </c>
      <c r="E329" s="1" t="n">
        <v>46275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62089-2021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44502</v>
      </c>
      <c r="E330" s="1" t="n">
        <v>46275</v>
      </c>
      <c r="F330" t="inlineStr">
        <is>
          <t>GÄVLEBORGS LÄN</t>
        </is>
      </c>
      <c r="G330" t="inlineStr">
        <is>
          <t>NORDANSTIG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20747-2023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45058</v>
      </c>
      <c r="E331" s="1" t="n">
        <v>46275</v>
      </c>
      <c r="F331" t="inlineStr">
        <is>
          <t>GÄVLEBORGS LÄN</t>
        </is>
      </c>
      <c r="G331" t="inlineStr">
        <is>
          <t>NORDANSTIG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46275</v>
      </c>
      <c r="F332" t="inlineStr">
        <is>
          <t>GÄVLEBORGS LÄN</t>
        </is>
      </c>
      <c r="G332" t="inlineStr">
        <is>
          <t>NORDANSTIG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45041</v>
      </c>
      <c r="E333" s="1" t="n">
        <v>46275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46275</v>
      </c>
      <c r="F334" t="inlineStr">
        <is>
          <t>GÄVLEBORGS LÄN</t>
        </is>
      </c>
      <c r="G334" t="inlineStr">
        <is>
          <t>NORDANSTIG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44628</v>
      </c>
      <c r="E335" s="1" t="n">
        <v>46275</v>
      </c>
      <c r="F335" t="inlineStr">
        <is>
          <t>GÄVLEBORGS LÄN</t>
        </is>
      </c>
      <c r="G335" t="inlineStr">
        <is>
          <t>NORDANSTIG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46275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45579</v>
      </c>
      <c r="E337" s="1" t="n">
        <v>46275</v>
      </c>
      <c r="F337" t="inlineStr">
        <is>
          <t>GÄVLEBORGS LÄN</t>
        </is>
      </c>
      <c r="G337" t="inlineStr">
        <is>
          <t>NORDANSTIG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45601</v>
      </c>
      <c r="E338" s="1" t="n">
        <v>46275</v>
      </c>
      <c r="F338" t="inlineStr">
        <is>
          <t>GÄVLEBORGS LÄN</t>
        </is>
      </c>
      <c r="G338" t="inlineStr">
        <is>
          <t>NORDANSTIG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46275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46275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46275</v>
      </c>
      <c r="F341" t="inlineStr">
        <is>
          <t>GÄVLEBORGS LÄN</t>
        </is>
      </c>
      <c r="G341" t="inlineStr">
        <is>
          <t>NORDANSTIG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46275</v>
      </c>
      <c r="F342" t="inlineStr">
        <is>
          <t>GÄVLEBORGS LÄN</t>
        </is>
      </c>
      <c r="G342" t="inlineStr">
        <is>
          <t>NORDANSTIG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32149-2024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45511</v>
      </c>
      <c r="E343" s="1" t="n">
        <v>46275</v>
      </c>
      <c r="F343" t="inlineStr">
        <is>
          <t>GÄVLEBORGS LÄN</t>
        </is>
      </c>
      <c r="G343" t="inlineStr">
        <is>
          <t>NORDANSTIG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46275</v>
      </c>
      <c r="F344" t="inlineStr">
        <is>
          <t>GÄVLEBORGS LÄN</t>
        </is>
      </c>
      <c r="G344" t="inlineStr">
        <is>
          <t>NORDANSTIG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45343</v>
      </c>
      <c r="E345" s="1" t="n">
        <v>46275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58162-2024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45632</v>
      </c>
      <c r="E346" s="1" t="n">
        <v>46275</v>
      </c>
      <c r="F346" t="inlineStr">
        <is>
          <t>GÄVLEBORGS LÄN</t>
        </is>
      </c>
      <c r="G346" t="inlineStr">
        <is>
          <t>NORDANSTIG</t>
        </is>
      </c>
      <c r="H346" t="inlineStr">
        <is>
          <t>Kyrkan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6583-2022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46275</v>
      </c>
      <c r="F347" t="inlineStr">
        <is>
          <t>GÄVLEBORGS LÄN</t>
        </is>
      </c>
      <c r="G347" t="inlineStr">
        <is>
          <t>NORDANSTIG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45070</v>
      </c>
      <c r="E348" s="1" t="n">
        <v>46275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44894</v>
      </c>
      <c r="E349" s="1" t="n">
        <v>46275</v>
      </c>
      <c r="F349" t="inlineStr">
        <is>
          <t>GÄVLEBORGS LÄN</t>
        </is>
      </c>
      <c r="G349" t="inlineStr">
        <is>
          <t>NORDANSTIG</t>
        </is>
      </c>
      <c r="H349" t="inlineStr">
        <is>
          <t>SCA</t>
        </is>
      </c>
      <c r="I349" t="n">
        <v>11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44763</v>
      </c>
      <c r="E350" s="1" t="n">
        <v>46275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44748</v>
      </c>
      <c r="E351" s="1" t="n">
        <v>46275</v>
      </c>
      <c r="F351" t="inlineStr">
        <is>
          <t>GÄVLEBORGS LÄN</t>
        </is>
      </c>
      <c r="G351" t="inlineStr">
        <is>
          <t>NORDANSTIG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46275</v>
      </c>
      <c r="F352" t="inlineStr">
        <is>
          <t>GÄVLEBORGS LÄN</t>
        </is>
      </c>
      <c r="G352" t="inlineStr">
        <is>
          <t>NORDANSTIG</t>
        </is>
      </c>
      <c r="I352" t="n">
        <v>17.1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45120</v>
      </c>
      <c r="E353" s="1" t="n">
        <v>46275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46275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46275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46275</v>
      </c>
      <c r="F356" t="inlineStr">
        <is>
          <t>GÄVLEBORGS LÄN</t>
        </is>
      </c>
      <c r="G356" t="inlineStr">
        <is>
          <t>NORDANSTIG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34370-2024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46275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46275</v>
      </c>
      <c r="F358" t="inlineStr">
        <is>
          <t>GÄVLEBORGS LÄN</t>
        </is>
      </c>
      <c r="G358" t="inlineStr">
        <is>
          <t>NORDANSTIG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46275</v>
      </c>
      <c r="F359" t="inlineStr">
        <is>
          <t>GÄVLEBORGS LÄN</t>
        </is>
      </c>
      <c r="G359" t="inlineStr">
        <is>
          <t>NORDANSTIG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45596</v>
      </c>
      <c r="E360" s="1" t="n">
        <v>46275</v>
      </c>
      <c r="F360" t="inlineStr">
        <is>
          <t>GÄVLEBORGS LÄN</t>
        </is>
      </c>
      <c r="G360" t="inlineStr">
        <is>
          <t>NORDANSTIG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36960-2023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45154</v>
      </c>
      <c r="E361" s="1" t="n">
        <v>46275</v>
      </c>
      <c r="F361" t="inlineStr">
        <is>
          <t>GÄVLEBORGS LÄN</t>
        </is>
      </c>
      <c r="G361" t="inlineStr">
        <is>
          <t>NORDANSTIG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6581-2022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44601</v>
      </c>
      <c r="E362" s="1" t="n">
        <v>46275</v>
      </c>
      <c r="F362" t="inlineStr">
        <is>
          <t>GÄVLEBORGS LÄN</t>
        </is>
      </c>
      <c r="G362" t="inlineStr">
        <is>
          <t>NORDANSTIG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46275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45618</v>
      </c>
      <c r="E364" s="1" t="n">
        <v>46275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45271</v>
      </c>
      <c r="E365" s="1" t="n">
        <v>46275</v>
      </c>
      <c r="F365" t="inlineStr">
        <is>
          <t>GÄVLEBORGS LÄN</t>
        </is>
      </c>
      <c r="G365" t="inlineStr">
        <is>
          <t>NORDANSTIG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45642</v>
      </c>
      <c r="E366" s="1" t="n">
        <v>46275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45076</v>
      </c>
      <c r="E367" s="1" t="n">
        <v>46275</v>
      </c>
      <c r="F367" t="inlineStr">
        <is>
          <t>GÄVLEBORGS LÄN</t>
        </is>
      </c>
      <c r="G367" t="inlineStr">
        <is>
          <t>NORDANSTIG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7149-2022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44603</v>
      </c>
      <c r="E368" s="1" t="n">
        <v>46275</v>
      </c>
      <c r="F368" t="inlineStr">
        <is>
          <t>GÄVLEBORGS LÄN</t>
        </is>
      </c>
      <c r="G368" t="inlineStr">
        <is>
          <t>NORDANSTIG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44768</v>
      </c>
      <c r="E369" s="1" t="n">
        <v>46275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46275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46275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46275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44616</v>
      </c>
      <c r="E373" s="1" t="n">
        <v>46275</v>
      </c>
      <c r="F373" t="inlineStr">
        <is>
          <t>GÄVLEBORGS LÄN</t>
        </is>
      </c>
      <c r="G373" t="inlineStr">
        <is>
          <t>NORDANSTIG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45549-2024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46275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46275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46275</v>
      </c>
      <c r="F376" t="inlineStr">
        <is>
          <t>GÄVLEBORGS LÄN</t>
        </is>
      </c>
      <c r="G376" t="inlineStr">
        <is>
          <t>NORDANSTIG</t>
        </is>
      </c>
      <c r="H376" t="inlineStr">
        <is>
          <t>SCA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45149</v>
      </c>
      <c r="E377" s="1" t="n">
        <v>46275</v>
      </c>
      <c r="F377" t="inlineStr">
        <is>
          <t>GÄVLEBORGS LÄN</t>
        </is>
      </c>
      <c r="G377" t="inlineStr">
        <is>
          <t>NORDANSTIG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46275</v>
      </c>
      <c r="F378" t="inlineStr">
        <is>
          <t>GÄVLEBORGS LÄN</t>
        </is>
      </c>
      <c r="G378" t="inlineStr">
        <is>
          <t>NORDANSTIG</t>
        </is>
      </c>
      <c r="I378" t="n">
        <v>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46275</v>
      </c>
      <c r="F379" t="inlineStr">
        <is>
          <t>GÄVLEBORGS LÄN</t>
        </is>
      </c>
      <c r="G379" t="inlineStr">
        <is>
          <t>NORDANSTIG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46275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46275</v>
      </c>
      <c r="F381" t="inlineStr">
        <is>
          <t>GÄVLEBORGS LÄN</t>
        </is>
      </c>
      <c r="G381" t="inlineStr">
        <is>
          <t>NORDANSTIG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18707-2025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46275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45170</v>
      </c>
      <c r="E383" s="1" t="n">
        <v>46275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44960</v>
      </c>
      <c r="E384" s="1" t="n">
        <v>46275</v>
      </c>
      <c r="F384" t="inlineStr">
        <is>
          <t>GÄVLEBORGS LÄN</t>
        </is>
      </c>
      <c r="G384" t="inlineStr">
        <is>
          <t>NORDANSTIG</t>
        </is>
      </c>
      <c r="I384" t="n">
        <v>17.6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45637</v>
      </c>
      <c r="E385" s="1" t="n">
        <v>46275</v>
      </c>
      <c r="F385" t="inlineStr">
        <is>
          <t>GÄVLEBORGS LÄN</t>
        </is>
      </c>
      <c r="G385" t="inlineStr">
        <is>
          <t>NORDANSTIG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44999</v>
      </c>
      <c r="E386" s="1" t="n">
        <v>46275</v>
      </c>
      <c r="F386" t="inlineStr">
        <is>
          <t>GÄVLEBORGS LÄN</t>
        </is>
      </c>
      <c r="G386" t="inlineStr">
        <is>
          <t>NORDANSTIG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45784</v>
      </c>
      <c r="E387" s="1" t="n">
        <v>46275</v>
      </c>
      <c r="F387" t="inlineStr">
        <is>
          <t>GÄVLEBORGS LÄN</t>
        </is>
      </c>
      <c r="G387" t="inlineStr">
        <is>
          <t>NORDANSTIG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44503</v>
      </c>
      <c r="E388" s="1" t="n">
        <v>46275</v>
      </c>
      <c r="F388" t="inlineStr">
        <is>
          <t>GÄVLEBORGS LÄN</t>
        </is>
      </c>
      <c r="G388" t="inlineStr">
        <is>
          <t>NORDANSTIG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46275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45020</v>
      </c>
      <c r="E390" s="1" t="n">
        <v>46275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45567</v>
      </c>
      <c r="E391" s="1" t="n">
        <v>46275</v>
      </c>
      <c r="F391" t="inlineStr">
        <is>
          <t>GÄVLEBORGS LÄN</t>
        </is>
      </c>
      <c r="G391" t="inlineStr">
        <is>
          <t>NORDANSTIG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46275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44952</v>
      </c>
      <c r="E393" s="1" t="n">
        <v>46275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21473-2023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46275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46275</v>
      </c>
      <c r="F395" t="inlineStr">
        <is>
          <t>GÄVLEBORGS LÄN</t>
        </is>
      </c>
      <c r="G395" t="inlineStr">
        <is>
          <t>NORDANSTIG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45618</v>
      </c>
      <c r="E396" s="1" t="n">
        <v>46275</v>
      </c>
      <c r="F396" t="inlineStr">
        <is>
          <t>GÄVLEBORGS LÄN</t>
        </is>
      </c>
      <c r="G396" t="inlineStr">
        <is>
          <t>NORDANSTIG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45208</v>
      </c>
      <c r="E397" s="1" t="n">
        <v>46275</v>
      </c>
      <c r="F397" t="inlineStr">
        <is>
          <t>GÄVLEBORGS LÄN</t>
        </is>
      </c>
      <c r="G397" t="inlineStr">
        <is>
          <t>NORDANSTIG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21157-2022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44704</v>
      </c>
      <c r="E398" s="1" t="n">
        <v>46275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36028-2024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46275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46275</v>
      </c>
      <c r="F400" t="inlineStr">
        <is>
          <t>GÄVLEBORGS LÄN</t>
        </is>
      </c>
      <c r="G400" t="inlineStr">
        <is>
          <t>NORDANSTIG</t>
        </is>
      </c>
      <c r="I400" t="n">
        <v>11.5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45545</v>
      </c>
      <c r="E401" s="1" t="n">
        <v>46275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45422</v>
      </c>
      <c r="E402" s="1" t="n">
        <v>46275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30879-2024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45498</v>
      </c>
      <c r="E403" s="1" t="n">
        <v>46275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48636-2024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46275</v>
      </c>
      <c r="F404" t="inlineStr">
        <is>
          <t>GÄVLEBORGS LÄN</t>
        </is>
      </c>
      <c r="G404" t="inlineStr">
        <is>
          <t>NORDANSTIG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45140</v>
      </c>
      <c r="E405" s="1" t="n">
        <v>46275</v>
      </c>
      <c r="F405" t="inlineStr">
        <is>
          <t>GÄVLEBORGS LÄN</t>
        </is>
      </c>
      <c r="G405" t="inlineStr">
        <is>
          <t>NORDANSTIG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45120</v>
      </c>
      <c r="E406" s="1" t="n">
        <v>46275</v>
      </c>
      <c r="F406" t="inlineStr">
        <is>
          <t>GÄVLEBORGS LÄN</t>
        </is>
      </c>
      <c r="G406" t="inlineStr">
        <is>
          <t>NORDANSTIG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44704</v>
      </c>
      <c r="E407" s="1" t="n">
        <v>46275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45020</v>
      </c>
      <c r="E408" s="1" t="n">
        <v>46275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45539</v>
      </c>
      <c r="E409" s="1" t="n">
        <v>46275</v>
      </c>
      <c r="F409" t="inlineStr">
        <is>
          <t>GÄVLEBORGS LÄN</t>
        </is>
      </c>
      <c r="G409" t="inlineStr">
        <is>
          <t>NORDANSTIG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59930-2024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45642</v>
      </c>
      <c r="E410" s="1" t="n">
        <v>46275</v>
      </c>
      <c r="F410" t="inlineStr">
        <is>
          <t>GÄVLEBORGS LÄN</t>
        </is>
      </c>
      <c r="G410" t="inlineStr">
        <is>
          <t>NORDANSTIG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45632</v>
      </c>
      <c r="E411" s="1" t="n">
        <v>46275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44500-2024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45574</v>
      </c>
      <c r="E412" s="1" t="n">
        <v>46275</v>
      </c>
      <c r="F412" t="inlineStr">
        <is>
          <t>GÄVLEBORGS LÄN</t>
        </is>
      </c>
      <c r="G412" t="inlineStr">
        <is>
          <t>NORDANSTIG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21153-2023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45062</v>
      </c>
      <c r="E413" s="1" t="n">
        <v>46275</v>
      </c>
      <c r="F413" t="inlineStr">
        <is>
          <t>GÄVLEBORGS LÄN</t>
        </is>
      </c>
      <c r="G413" t="inlineStr">
        <is>
          <t>NORDANSTIG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22310-2025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45786</v>
      </c>
      <c r="E414" s="1" t="n">
        <v>46275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27.9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54685-2024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46275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46275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45439</v>
      </c>
      <c r="E417" s="1" t="n">
        <v>46275</v>
      </c>
      <c r="F417" t="inlineStr">
        <is>
          <t>GÄVLEBORGS LÄN</t>
        </is>
      </c>
      <c r="G417" t="inlineStr">
        <is>
          <t>NORDANSTIG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39207-2023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46275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67879-2021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44525</v>
      </c>
      <c r="E419" s="1" t="n">
        <v>46275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52788-2024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45610</v>
      </c>
      <c r="E420" s="1" t="n">
        <v>46275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19568-2024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46275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46275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45188</v>
      </c>
      <c r="E423" s="1" t="n">
        <v>46275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46275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73389-2021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44551</v>
      </c>
      <c r="E425" s="1" t="n">
        <v>46275</v>
      </c>
      <c r="F425" t="inlineStr">
        <is>
          <t>GÄVLEBORGS LÄN</t>
        </is>
      </c>
      <c r="G425" t="inlineStr">
        <is>
          <t>NORDANSTIG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45733</v>
      </c>
      <c r="E426" s="1" t="n">
        <v>46275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46275</v>
      </c>
      <c r="F427" t="inlineStr">
        <is>
          <t>GÄVLEBORGS LÄN</t>
        </is>
      </c>
      <c r="G427" t="inlineStr">
        <is>
          <t>NORDANSTIG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46275</v>
      </c>
      <c r="F428" t="inlineStr">
        <is>
          <t>GÄVLEBORGS LÄN</t>
        </is>
      </c>
      <c r="G428" t="inlineStr">
        <is>
          <t>NORDANSTIG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46275</v>
      </c>
      <c r="F429" t="inlineStr">
        <is>
          <t>GÄVLEBORGS LÄN</t>
        </is>
      </c>
      <c r="G429" t="inlineStr">
        <is>
          <t>NORDANSTIG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45142</v>
      </c>
      <c r="E430" s="1" t="n">
        <v>46275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46275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45616</v>
      </c>
      <c r="E432" s="1" t="n">
        <v>46275</v>
      </c>
      <c r="F432" t="inlineStr">
        <is>
          <t>GÄVLEBORGS LÄN</t>
        </is>
      </c>
      <c r="G432" t="inlineStr">
        <is>
          <t>NORDANSTIG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45758</v>
      </c>
      <c r="E433" s="1" t="n">
        <v>46275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45719</v>
      </c>
      <c r="E434" s="1" t="n">
        <v>46275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6.6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46275</v>
      </c>
      <c r="F435" t="inlineStr">
        <is>
          <t>GÄVLEBORGS LÄN</t>
        </is>
      </c>
      <c r="G435" t="inlineStr">
        <is>
          <t>NORDANSTIG</t>
        </is>
      </c>
      <c r="I435" t="n">
        <v>12.9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46275</v>
      </c>
      <c r="F436" t="inlineStr">
        <is>
          <t>GÄVLEBORGS LÄN</t>
        </is>
      </c>
      <c r="G436" t="inlineStr">
        <is>
          <t>NORDANSTIG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45631</v>
      </c>
      <c r="E437" s="1" t="n">
        <v>46275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41616-2023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46275</v>
      </c>
      <c r="F438" t="inlineStr">
        <is>
          <t>GÄVLEBORGS LÄN</t>
        </is>
      </c>
      <c r="G438" t="inlineStr">
        <is>
          <t>NORDANSTIG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54385-2024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46275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41074-2023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46275</v>
      </c>
      <c r="F440" t="inlineStr">
        <is>
          <t>GÄVLEBORGS LÄN</t>
        </is>
      </c>
      <c r="G440" t="inlineStr">
        <is>
          <t>NORDANSTIG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46275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20137-2023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45055</v>
      </c>
      <c r="E442" s="1" t="n">
        <v>46275</v>
      </c>
      <c r="F442" t="inlineStr">
        <is>
          <t>GÄVLEBORGS LÄN</t>
        </is>
      </c>
      <c r="G442" t="inlineStr">
        <is>
          <t>NORDANSTIG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44999</v>
      </c>
      <c r="E443" s="1" t="n">
        <v>46275</v>
      </c>
      <c r="F443" t="inlineStr">
        <is>
          <t>GÄVLEBORGS LÄN</t>
        </is>
      </c>
      <c r="G443" t="inlineStr">
        <is>
          <t>NORDANSTIG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46275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46275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56733-2024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45628</v>
      </c>
      <c r="E446" s="1" t="n">
        <v>46275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46275</v>
      </c>
      <c r="F447" t="inlineStr">
        <is>
          <t>GÄVLEBORGS LÄN</t>
        </is>
      </c>
      <c r="G447" t="inlineStr">
        <is>
          <t>NORDANSTIG</t>
        </is>
      </c>
      <c r="I447" t="n">
        <v>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45631</v>
      </c>
      <c r="E448" s="1" t="n">
        <v>46275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44788</v>
      </c>
      <c r="E449" s="1" t="n">
        <v>46275</v>
      </c>
      <c r="F449" t="inlineStr">
        <is>
          <t>GÄVLEBORGS LÄN</t>
        </is>
      </c>
      <c r="G449" t="inlineStr">
        <is>
          <t>NORDANSTIG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46275</v>
      </c>
      <c r="F450" t="inlineStr">
        <is>
          <t>GÄVLEBORGS LÄN</t>
        </is>
      </c>
      <c r="G450" t="inlineStr">
        <is>
          <t>NORDANSTIG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45790</v>
      </c>
      <c r="E451" s="1" t="n">
        <v>46275</v>
      </c>
      <c r="F451" t="inlineStr">
        <is>
          <t>GÄVLEBORGS LÄN</t>
        </is>
      </c>
      <c r="G451" t="inlineStr">
        <is>
          <t>NORDANSTIG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7916-2022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44608</v>
      </c>
      <c r="E452" s="1" t="n">
        <v>46275</v>
      </c>
      <c r="F452" t="inlineStr">
        <is>
          <t>GÄVLEBORGS LÄN</t>
        </is>
      </c>
      <c r="G452" t="inlineStr">
        <is>
          <t>NORDANSTIG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46275</v>
      </c>
      <c r="F453" t="inlineStr">
        <is>
          <t>GÄVLEBORGS LÄN</t>
        </is>
      </c>
      <c r="G453" t="inlineStr">
        <is>
          <t>NORDANSTIG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46275</v>
      </c>
      <c r="F454" t="inlineStr">
        <is>
          <t>GÄVLEBORGS LÄN</t>
        </is>
      </c>
      <c r="G454" t="inlineStr">
        <is>
          <t>NORDANSTIG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45701</v>
      </c>
      <c r="E455" s="1" t="n">
        <v>46275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45802</v>
      </c>
      <c r="E456" s="1" t="n">
        <v>46275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55477-2024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46275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46275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23993-2025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45796</v>
      </c>
      <c r="E459" s="1" t="n">
        <v>46275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41.3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31002-2024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45499</v>
      </c>
      <c r="E460" s="1" t="n">
        <v>46275</v>
      </c>
      <c r="F460" t="inlineStr">
        <is>
          <t>GÄVLEBORGS LÄN</t>
        </is>
      </c>
      <c r="G460" t="inlineStr">
        <is>
          <t>NORDANSTIG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44953</v>
      </c>
      <c r="E461" s="1" t="n">
        <v>46275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46275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45793</v>
      </c>
      <c r="E463" s="1" t="n">
        <v>46275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43523-2024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45569</v>
      </c>
      <c r="E464" s="1" t="n">
        <v>46275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46275</v>
      </c>
      <c r="F465" t="inlineStr">
        <is>
          <t>GÄVLEBORGS LÄN</t>
        </is>
      </c>
      <c r="G465" t="inlineStr">
        <is>
          <t>NORDANSTIG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45306</v>
      </c>
      <c r="E466" s="1" t="n">
        <v>46275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46275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45793</v>
      </c>
      <c r="E468" s="1" t="n">
        <v>46275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46275</v>
      </c>
      <c r="F469" t="inlineStr">
        <is>
          <t>GÄVLEBORGS LÄN</t>
        </is>
      </c>
      <c r="G469" t="inlineStr">
        <is>
          <t>NORDANSTIG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52120-2022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44873</v>
      </c>
      <c r="E470" s="1" t="n">
        <v>46275</v>
      </c>
      <c r="F470" t="inlineStr">
        <is>
          <t>GÄVLEBORGS LÄN</t>
        </is>
      </c>
      <c r="G470" t="inlineStr">
        <is>
          <t>NORDANSTIG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7503-2022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44607</v>
      </c>
      <c r="E471" s="1" t="n">
        <v>46275</v>
      </c>
      <c r="F471" t="inlineStr">
        <is>
          <t>GÄVLEBORGS LÄN</t>
        </is>
      </c>
      <c r="G471" t="inlineStr">
        <is>
          <t>NORDANSTIG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46275</v>
      </c>
      <c r="F472" t="inlineStr">
        <is>
          <t>GÄVLEBORGS LÄN</t>
        </is>
      </c>
      <c r="G472" t="inlineStr">
        <is>
          <t>NORDANSTIG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23369-2022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44720</v>
      </c>
      <c r="E473" s="1" t="n">
        <v>46275</v>
      </c>
      <c r="F473" t="inlineStr">
        <is>
          <t>GÄVLEBORGS LÄN</t>
        </is>
      </c>
      <c r="G473" t="inlineStr">
        <is>
          <t>NORDANSTIG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45463</v>
      </c>
      <c r="E474" s="1" t="n">
        <v>46275</v>
      </c>
      <c r="F474" t="inlineStr">
        <is>
          <t>GÄVLEBORGS LÄN</t>
        </is>
      </c>
      <c r="G474" t="inlineStr">
        <is>
          <t>NORDANSTIG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45532</v>
      </c>
      <c r="E475" s="1" t="n">
        <v>46275</v>
      </c>
      <c r="F475" t="inlineStr">
        <is>
          <t>GÄVLEBORGS LÄN</t>
        </is>
      </c>
      <c r="G475" t="inlineStr">
        <is>
          <t>NORDANSTIG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60520-2023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45259</v>
      </c>
      <c r="E476" s="1" t="n">
        <v>46275</v>
      </c>
      <c r="F476" t="inlineStr">
        <is>
          <t>GÄVLEBORGS LÄN</t>
        </is>
      </c>
      <c r="G476" t="inlineStr">
        <is>
          <t>NORDANSTIG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45309</v>
      </c>
      <c r="E477" s="1" t="n">
        <v>46275</v>
      </c>
      <c r="F477" t="inlineStr">
        <is>
          <t>GÄVLEBORGS LÄN</t>
        </is>
      </c>
      <c r="G477" t="inlineStr">
        <is>
          <t>NORDANSTIG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47876-2023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45204</v>
      </c>
      <c r="E478" s="1" t="n">
        <v>46275</v>
      </c>
      <c r="F478" t="inlineStr">
        <is>
          <t>GÄVLEBORGS LÄN</t>
        </is>
      </c>
      <c r="G478" t="inlineStr">
        <is>
          <t>NORDANSTIG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38298-2024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45545</v>
      </c>
      <c r="E479" s="1" t="n">
        <v>46275</v>
      </c>
      <c r="F479" t="inlineStr">
        <is>
          <t>GÄVLEBORGS LÄN</t>
        </is>
      </c>
      <c r="G479" t="inlineStr">
        <is>
          <t>NORDANSTIG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37294-2024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45540</v>
      </c>
      <c r="E480" s="1" t="n">
        <v>46275</v>
      </c>
      <c r="F480" t="inlineStr">
        <is>
          <t>GÄVLEBORGS LÄN</t>
        </is>
      </c>
      <c r="G480" t="inlineStr">
        <is>
          <t>NORDANSTIG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40269-2023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45169</v>
      </c>
      <c r="E481" s="1" t="n">
        <v>46275</v>
      </c>
      <c r="F481" t="inlineStr">
        <is>
          <t>GÄVLEBORGS LÄN</t>
        </is>
      </c>
      <c r="G481" t="inlineStr">
        <is>
          <t>NORDANSTIG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51091-2024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45603</v>
      </c>
      <c r="E482" s="1" t="n">
        <v>46275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45131</v>
      </c>
      <c r="E483" s="1" t="n">
        <v>46275</v>
      </c>
      <c r="F483" t="inlineStr">
        <is>
          <t>GÄVLEBORGS LÄN</t>
        </is>
      </c>
      <c r="G483" t="inlineStr">
        <is>
          <t>NORDANSTIG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45586</v>
      </c>
      <c r="E484" s="1" t="n">
        <v>46275</v>
      </c>
      <c r="F484" t="inlineStr">
        <is>
          <t>GÄVLEBORGS LÄN</t>
        </is>
      </c>
      <c r="G484" t="inlineStr">
        <is>
          <t>NORDANSTIG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45615</v>
      </c>
      <c r="E485" s="1" t="n">
        <v>46275</v>
      </c>
      <c r="F485" t="inlineStr">
        <is>
          <t>GÄVLEBORGS LÄN</t>
        </is>
      </c>
      <c r="G485" t="inlineStr">
        <is>
          <t>NORDANSTIG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46275</v>
      </c>
      <c r="F486" t="inlineStr">
        <is>
          <t>GÄVLEBORGS LÄN</t>
        </is>
      </c>
      <c r="G486" t="inlineStr">
        <is>
          <t>NORDANSTIG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46275</v>
      </c>
      <c r="F487" t="inlineStr">
        <is>
          <t>GÄVLEBORGS LÄN</t>
        </is>
      </c>
      <c r="G487" t="inlineStr">
        <is>
          <t>NORDANSTIG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48832-2022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44859</v>
      </c>
      <c r="E488" s="1" t="n">
        <v>46275</v>
      </c>
      <c r="F488" t="inlineStr">
        <is>
          <t>GÄVLEBORGS LÄN</t>
        </is>
      </c>
      <c r="G488" t="inlineStr">
        <is>
          <t>NORDANSTIG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45799</v>
      </c>
      <c r="E489" s="1" t="n">
        <v>46275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45671</v>
      </c>
      <c r="E490" s="1" t="n">
        <v>46275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45812</v>
      </c>
      <c r="E491" s="1" t="n">
        <v>46275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45695</v>
      </c>
      <c r="E492" s="1" t="n">
        <v>46275</v>
      </c>
      <c r="F492" t="inlineStr">
        <is>
          <t>GÄVLEBORGS LÄN</t>
        </is>
      </c>
      <c r="G492" t="inlineStr">
        <is>
          <t>NORDANSTIG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61418-2024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45646</v>
      </c>
      <c r="E493" s="1" t="n">
        <v>46275</v>
      </c>
      <c r="F493" t="inlineStr">
        <is>
          <t>GÄVLEBORGS LÄN</t>
        </is>
      </c>
      <c r="G493" t="inlineStr">
        <is>
          <t>NORDANSTIG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71442-2021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44540</v>
      </c>
      <c r="E494" s="1" t="n">
        <v>46275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45799</v>
      </c>
      <c r="E495" s="1" t="n">
        <v>46275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30.1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45813</v>
      </c>
      <c r="E496" s="1" t="n">
        <v>46275</v>
      </c>
      <c r="F496" t="inlineStr">
        <is>
          <t>GÄVLEBORGS LÄN</t>
        </is>
      </c>
      <c r="G496" t="inlineStr">
        <is>
          <t>NORDANSTIG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45799</v>
      </c>
      <c r="E497" s="1" t="n">
        <v>46275</v>
      </c>
      <c r="F497" t="inlineStr">
        <is>
          <t>GÄVLEBORGS LÄN</t>
        </is>
      </c>
      <c r="G497" t="inlineStr">
        <is>
          <t>NORDANSTIG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46275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46299-2023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45197</v>
      </c>
      <c r="E499" s="1" t="n">
        <v>46275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72820-2021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44547</v>
      </c>
      <c r="E500" s="1" t="n">
        <v>46275</v>
      </c>
      <c r="F500" t="inlineStr">
        <is>
          <t>GÄVLEBORGS LÄN</t>
        </is>
      </c>
      <c r="G500" t="inlineStr">
        <is>
          <t>NORDANSTIG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45802</v>
      </c>
      <c r="E501" s="1" t="n">
        <v>46275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45663</v>
      </c>
      <c r="E502" s="1" t="n">
        <v>46275</v>
      </c>
      <c r="F502" t="inlineStr">
        <is>
          <t>GÄVLEBORGS LÄN</t>
        </is>
      </c>
      <c r="G502" t="inlineStr">
        <is>
          <t>NORDANSTIG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45802</v>
      </c>
      <c r="E503" s="1" t="n">
        <v>46275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45817</v>
      </c>
      <c r="E504" s="1" t="n">
        <v>46275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8.6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46275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46275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45884</v>
      </c>
      <c r="E507" s="1" t="n">
        <v>46275</v>
      </c>
      <c r="F507" t="inlineStr">
        <is>
          <t>GÄVLEBORGS LÄN</t>
        </is>
      </c>
      <c r="G507" t="inlineStr">
        <is>
          <t>NORDANSTIG</t>
        </is>
      </c>
      <c r="I507" t="n">
        <v>10.8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45883</v>
      </c>
      <c r="E508" s="1" t="n">
        <v>46275</v>
      </c>
      <c r="F508" t="inlineStr">
        <is>
          <t>GÄVLEBORGS LÄN</t>
        </is>
      </c>
      <c r="G508" t="inlineStr">
        <is>
          <t>NORDANSTIG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29275-2025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45824</v>
      </c>
      <c r="E509" s="1" t="n">
        <v>46275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46275</v>
      </c>
      <c r="F510" t="inlineStr">
        <is>
          <t>GÄVLEBORGS LÄN</t>
        </is>
      </c>
      <c r="G510" t="inlineStr">
        <is>
          <t>NORDANSTIG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46275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45897</v>
      </c>
      <c r="E512" s="1" t="n">
        <v>46275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41202-2025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45898</v>
      </c>
      <c r="E513" s="1" t="n">
        <v>46275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45762</v>
      </c>
      <c r="E514" s="1" t="n">
        <v>46275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29878-2025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45826</v>
      </c>
      <c r="E515" s="1" t="n">
        <v>46275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30022-2025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45826</v>
      </c>
      <c r="E516" s="1" t="n">
        <v>46275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44446-2023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45189</v>
      </c>
      <c r="E517" s="1" t="n">
        <v>46275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45825</v>
      </c>
      <c r="E518" s="1" t="n">
        <v>46275</v>
      </c>
      <c r="F518" t="inlineStr">
        <is>
          <t>GÄVLEBORGS LÄN</t>
        </is>
      </c>
      <c r="G518" t="inlineStr">
        <is>
          <t>NORDANSTIG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37563-2025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45880</v>
      </c>
      <c r="E519" s="1" t="n">
        <v>46275</v>
      </c>
      <c r="F519" t="inlineStr">
        <is>
          <t>GÄVLEBORGS LÄN</t>
        </is>
      </c>
      <c r="G519" t="inlineStr">
        <is>
          <t>NORDANSTIG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42210-2025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45904</v>
      </c>
      <c r="E520" s="1" t="n">
        <v>46275</v>
      </c>
      <c r="F520" t="inlineStr">
        <is>
          <t>GÄVLEBORGS LÄN</t>
        </is>
      </c>
      <c r="G520" t="inlineStr">
        <is>
          <t>NORDANSTIG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38610-2025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45884</v>
      </c>
      <c r="E521" s="1" t="n">
        <v>46275</v>
      </c>
      <c r="F521" t="inlineStr">
        <is>
          <t>GÄVLEBORGS LÄN</t>
        </is>
      </c>
      <c r="G521" t="inlineStr">
        <is>
          <t>NORDANSTIG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45827</v>
      </c>
      <c r="E522" s="1" t="n">
        <v>46275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45903</v>
      </c>
      <c r="E523" s="1" t="n">
        <v>46275</v>
      </c>
      <c r="F523" t="inlineStr">
        <is>
          <t>GÄVLEBORGS LÄN</t>
        </is>
      </c>
      <c r="G523" t="inlineStr">
        <is>
          <t>NORDANSTIG</t>
        </is>
      </c>
      <c r="H523" t="inlineStr">
        <is>
          <t>SCA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46275</v>
      </c>
      <c r="F524" t="inlineStr">
        <is>
          <t>GÄVLEBORGS LÄN</t>
        </is>
      </c>
      <c r="G524" t="inlineStr">
        <is>
          <t>NORDANSTIG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42200-2025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45904</v>
      </c>
      <c r="E525" s="1" t="n">
        <v>46275</v>
      </c>
      <c r="F525" t="inlineStr">
        <is>
          <t>GÄVLEBORGS LÄN</t>
        </is>
      </c>
      <c r="G525" t="inlineStr">
        <is>
          <t>NORDANSTIG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38295-2025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45883</v>
      </c>
      <c r="E526" s="1" t="n">
        <v>46275</v>
      </c>
      <c r="F526" t="inlineStr">
        <is>
          <t>GÄVLEBORGS LÄN</t>
        </is>
      </c>
      <c r="G526" t="inlineStr">
        <is>
          <t>NORDANSTIG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45908</v>
      </c>
      <c r="E527" s="1" t="n">
        <v>46275</v>
      </c>
      <c r="F527" t="inlineStr">
        <is>
          <t>GÄVLEBORGS LÄN</t>
        </is>
      </c>
      <c r="G527" t="inlineStr">
        <is>
          <t>NORDANSTIG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45832</v>
      </c>
      <c r="E528" s="1" t="n">
        <v>46275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46275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42737-2025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45908</v>
      </c>
      <c r="E530" s="1" t="n">
        <v>46275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44777</v>
      </c>
      <c r="E531" s="1" t="n">
        <v>46275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37295-2022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44808</v>
      </c>
      <c r="E532" s="1" t="n">
        <v>46275</v>
      </c>
      <c r="F532" t="inlineStr">
        <is>
          <t>GÄVLEBORGS LÄN</t>
        </is>
      </c>
      <c r="G532" t="inlineStr">
        <is>
          <t>NORDANSTIG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42930-2025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45909</v>
      </c>
      <c r="E533" s="1" t="n">
        <v>46275</v>
      </c>
      <c r="F533" t="inlineStr">
        <is>
          <t>GÄVLEBORGS LÄN</t>
        </is>
      </c>
      <c r="G533" t="inlineStr">
        <is>
          <t>NORDANSTIG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46275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46275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45835</v>
      </c>
      <c r="E536" s="1" t="n">
        <v>46275</v>
      </c>
      <c r="F536" t="inlineStr">
        <is>
          <t>GÄVLEBORGS LÄN</t>
        </is>
      </c>
      <c r="G536" t="inlineStr">
        <is>
          <t>NORDANSTIG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32082-2025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45835</v>
      </c>
      <c r="E537" s="1" t="n">
        <v>46275</v>
      </c>
      <c r="F537" t="inlineStr">
        <is>
          <t>GÄVLEBORGS LÄN</t>
        </is>
      </c>
      <c r="G537" t="inlineStr">
        <is>
          <t>NORDANSTIG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45840</v>
      </c>
      <c r="E538" s="1" t="n">
        <v>46275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45888</v>
      </c>
      <c r="E539" s="1" t="n">
        <v>46275</v>
      </c>
      <c r="F539" t="inlineStr">
        <is>
          <t>GÄVLEBORGS LÄN</t>
        </is>
      </c>
      <c r="G539" t="inlineStr">
        <is>
          <t>NORDANSTIG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45890</v>
      </c>
      <c r="E540" s="1" t="n">
        <v>46275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46275</v>
      </c>
      <c r="F541" t="inlineStr">
        <is>
          <t>GÄVLEBORGS LÄN</t>
        </is>
      </c>
      <c r="G541" t="inlineStr">
        <is>
          <t>NORDANSTIG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40104-2024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45554</v>
      </c>
      <c r="E542" s="1" t="n">
        <v>46275</v>
      </c>
      <c r="F542" t="inlineStr">
        <is>
          <t>GÄVLEBORGS LÄN</t>
        </is>
      </c>
      <c r="G542" t="inlineStr">
        <is>
          <t>NORDANSTIG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45839</v>
      </c>
      <c r="E543" s="1" t="n">
        <v>46275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45841</v>
      </c>
      <c r="E544" s="1" t="n">
        <v>46275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34.6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45841</v>
      </c>
      <c r="E545" s="1" t="n">
        <v>46275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45841</v>
      </c>
      <c r="E546" s="1" t="n">
        <v>46275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45915</v>
      </c>
      <c r="E547" s="1" t="n">
        <v>46275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45855</v>
      </c>
      <c r="E548" s="1" t="n">
        <v>46275</v>
      </c>
      <c r="F548" t="inlineStr">
        <is>
          <t>GÄVLEBORGS LÄN</t>
        </is>
      </c>
      <c r="G548" t="inlineStr">
        <is>
          <t>NORDANSTIG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44052-2025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45915</v>
      </c>
      <c r="E549" s="1" t="n">
        <v>46275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45846</v>
      </c>
      <c r="E550" s="1" t="n">
        <v>46275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34342-2025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45846</v>
      </c>
      <c r="E551" s="1" t="n">
        <v>46275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44599-2025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45917</v>
      </c>
      <c r="E552" s="1" t="n">
        <v>46275</v>
      </c>
      <c r="F552" t="inlineStr">
        <is>
          <t>GÄVLEBORGS LÄN</t>
        </is>
      </c>
      <c r="G552" t="inlineStr">
        <is>
          <t>NORDANSTIG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45896</v>
      </c>
      <c r="E553" s="1" t="n">
        <v>46275</v>
      </c>
      <c r="F553" t="inlineStr">
        <is>
          <t>GÄVLEBORGS LÄN</t>
        </is>
      </c>
      <c r="G553" t="inlineStr">
        <is>
          <t>NORDANSTIG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44603-2025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45917</v>
      </c>
      <c r="E554" s="1" t="n">
        <v>46275</v>
      </c>
      <c r="F554" t="inlineStr">
        <is>
          <t>GÄVLEBORGS LÄN</t>
        </is>
      </c>
      <c r="G554" t="inlineStr">
        <is>
          <t>NORDANSTIG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45917</v>
      </c>
      <c r="E555" s="1" t="n">
        <v>46275</v>
      </c>
      <c r="F555" t="inlineStr">
        <is>
          <t>GÄVLEBORGS LÄN</t>
        </is>
      </c>
      <c r="G555" t="inlineStr">
        <is>
          <t>NORDANSTIG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45861</v>
      </c>
      <c r="E556" s="1" t="n">
        <v>46275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45896</v>
      </c>
      <c r="E557" s="1" t="n">
        <v>46275</v>
      </c>
      <c r="F557" t="inlineStr">
        <is>
          <t>GÄVLEBORGS LÄN</t>
        </is>
      </c>
      <c r="G557" t="inlineStr">
        <is>
          <t>NORDANSTIG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40647-2025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45896</v>
      </c>
      <c r="E558" s="1" t="n">
        <v>46275</v>
      </c>
      <c r="F558" t="inlineStr">
        <is>
          <t>GÄVLEBORGS LÄN</t>
        </is>
      </c>
      <c r="G558" t="inlineStr">
        <is>
          <t>NORDANSTIG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45918</v>
      </c>
      <c r="E559" s="1" t="n">
        <v>46275</v>
      </c>
      <c r="F559" t="inlineStr">
        <is>
          <t>GÄVLEBORGS LÄN</t>
        </is>
      </c>
      <c r="G559" t="inlineStr">
        <is>
          <t>NORDANSTIG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45896</v>
      </c>
      <c r="E560" s="1" t="n">
        <v>46275</v>
      </c>
      <c r="F560" t="inlineStr">
        <is>
          <t>GÄVLEBORGS LÄN</t>
        </is>
      </c>
      <c r="G560" t="inlineStr">
        <is>
          <t>NORDANSTIG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40804-2025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45897</v>
      </c>
      <c r="E561" s="1" t="n">
        <v>46275</v>
      </c>
      <c r="F561" t="inlineStr">
        <is>
          <t>GÄVLEBORGS LÄN</t>
        </is>
      </c>
      <c r="G561" t="inlineStr">
        <is>
          <t>NORDANSTIG</t>
        </is>
      </c>
      <c r="I561" t="n">
        <v>7.1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45848</v>
      </c>
      <c r="E562" s="1" t="n">
        <v>46275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45848</v>
      </c>
      <c r="E563" s="1" t="n">
        <v>46275</v>
      </c>
      <c r="F563" t="inlineStr">
        <is>
          <t>GÄVLEBORGS LÄN</t>
        </is>
      </c>
      <c r="G563" t="inlineStr">
        <is>
          <t>NORDANSTIG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45918</v>
      </c>
      <c r="E564" s="1" t="n">
        <v>46275</v>
      </c>
      <c r="F564" t="inlineStr">
        <is>
          <t>GÄVLEBORGS LÄN</t>
        </is>
      </c>
      <c r="G564" t="inlineStr">
        <is>
          <t>NORDANSTIG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44978-2025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45918</v>
      </c>
      <c r="E565" s="1" t="n">
        <v>46275</v>
      </c>
      <c r="F565" t="inlineStr">
        <is>
          <t>GÄVLEBORGS LÄN</t>
        </is>
      </c>
      <c r="G565" t="inlineStr">
        <is>
          <t>NORDANSTIG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45848</v>
      </c>
      <c r="E566" s="1" t="n">
        <v>46275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45897</v>
      </c>
      <c r="E567" s="1" t="n">
        <v>46275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45058-2025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45919</v>
      </c>
      <c r="E568" s="1" t="n">
        <v>46275</v>
      </c>
      <c r="F568" t="inlineStr">
        <is>
          <t>GÄVLEBORGS LÄN</t>
        </is>
      </c>
      <c r="G568" t="inlineStr">
        <is>
          <t>NORDANSTIG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46275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45902-2025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45923</v>
      </c>
      <c r="E570" s="1" t="n">
        <v>46275</v>
      </c>
      <c r="F570" t="inlineStr">
        <is>
          <t>GÄVLEBORGS LÄN</t>
        </is>
      </c>
      <c r="G570" t="inlineStr">
        <is>
          <t>NORDANSTIG</t>
        </is>
      </c>
      <c r="H570" t="inlineStr">
        <is>
          <t>SCA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45313</v>
      </c>
      <c r="E571" s="1" t="n">
        <v>46275</v>
      </c>
      <c r="F571" t="inlineStr">
        <is>
          <t>GÄVLEBORGS LÄN</t>
        </is>
      </c>
      <c r="G571" t="inlineStr">
        <is>
          <t>NORDANSTIG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46027-2025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45924</v>
      </c>
      <c r="E572" s="1" t="n">
        <v>46275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44595</v>
      </c>
      <c r="E573" s="1" t="n">
        <v>46275</v>
      </c>
      <c r="F573" t="inlineStr">
        <is>
          <t>GÄVLEBORGS LÄN</t>
        </is>
      </c>
      <c r="G573" t="inlineStr">
        <is>
          <t>NORDANSTIG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46262-2025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45925</v>
      </c>
      <c r="E574" s="1" t="n">
        <v>46275</v>
      </c>
      <c r="F574" t="inlineStr">
        <is>
          <t>GÄVLEBORGS LÄN</t>
        </is>
      </c>
      <c r="G574" t="inlineStr">
        <is>
          <t>NORDANSTIG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45695</v>
      </c>
      <c r="E575" s="1" t="n">
        <v>46275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45860</v>
      </c>
      <c r="E576" s="1" t="n">
        <v>46275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45859</v>
      </c>
      <c r="E577" s="1" t="n">
        <v>46275</v>
      </c>
      <c r="F577" t="inlineStr">
        <is>
          <t>GÄVLEBORGS LÄN</t>
        </is>
      </c>
      <c r="G577" t="inlineStr">
        <is>
          <t>NORDANSTIG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46275</v>
      </c>
      <c r="F578" t="inlineStr">
        <is>
          <t>GÄVLEBORGS LÄN</t>
        </is>
      </c>
      <c r="G578" t="inlineStr">
        <is>
          <t>NORDANSTIG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37972-2022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44811</v>
      </c>
      <c r="E579" s="1" t="n">
        <v>46275</v>
      </c>
      <c r="F579" t="inlineStr">
        <is>
          <t>GÄVLEBORGS LÄN</t>
        </is>
      </c>
      <c r="G579" t="inlineStr">
        <is>
          <t>NORDANSTIG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37986-2022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44811</v>
      </c>
      <c r="E580" s="1" t="n">
        <v>46275</v>
      </c>
      <c r="F580" t="inlineStr">
        <is>
          <t>GÄVLEBORGS LÄN</t>
        </is>
      </c>
      <c r="G580" t="inlineStr">
        <is>
          <t>NORDANSTIG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35070-2022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44797</v>
      </c>
      <c r="E581" s="1" t="n">
        <v>46275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46111-2023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45196</v>
      </c>
      <c r="E582" s="1" t="n">
        <v>46275</v>
      </c>
      <c r="F582" t="inlineStr">
        <is>
          <t>GÄVLEBORGS LÄN</t>
        </is>
      </c>
      <c r="G582" t="inlineStr">
        <is>
          <t>NORDANSTIG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43652-2025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45912</v>
      </c>
      <c r="E583" s="1" t="n">
        <v>46275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47544-2025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45931</v>
      </c>
      <c r="E584" s="1" t="n">
        <v>46275</v>
      </c>
      <c r="F584" t="inlineStr">
        <is>
          <t>GÄVLEBORGS LÄN</t>
        </is>
      </c>
      <c r="G584" t="inlineStr">
        <is>
          <t>NORDANSTIG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45931</v>
      </c>
      <c r="E585" s="1" t="n">
        <v>46275</v>
      </c>
      <c r="F585" t="inlineStr">
        <is>
          <t>GÄVLEBORGS LÄN</t>
        </is>
      </c>
      <c r="G585" t="inlineStr">
        <is>
          <t>NORDANSTIG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55026-2022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44886</v>
      </c>
      <c r="E586" s="1" t="n">
        <v>46275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55120-2022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44886</v>
      </c>
      <c r="E587" s="1" t="n">
        <v>46275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48566-2025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45936</v>
      </c>
      <c r="E588" s="1" t="n">
        <v>46275</v>
      </c>
      <c r="F588" t="inlineStr">
        <is>
          <t>GÄVLEBORGS LÄN</t>
        </is>
      </c>
      <c r="G588" t="inlineStr">
        <is>
          <t>NORDANSTIG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45936</v>
      </c>
      <c r="E589" s="1" t="n">
        <v>46275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48724-2025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45936</v>
      </c>
      <c r="E590" s="1" t="n">
        <v>46275</v>
      </c>
      <c r="F590" t="inlineStr">
        <is>
          <t>GÄVLEBORGS LÄN</t>
        </is>
      </c>
      <c r="G590" t="inlineStr">
        <is>
          <t>NORDANSTIG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48677-2025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45936</v>
      </c>
      <c r="E591" s="1" t="n">
        <v>46275</v>
      </c>
      <c r="F591" t="inlineStr">
        <is>
          <t>GÄVLEBORGS LÄN</t>
        </is>
      </c>
      <c r="G591" t="inlineStr">
        <is>
          <t>NORDANSTIG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6820-2023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44967</v>
      </c>
      <c r="E592" s="1" t="n">
        <v>46275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48916-2025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45937</v>
      </c>
      <c r="E593" s="1" t="n">
        <v>46275</v>
      </c>
      <c r="F593" t="inlineStr">
        <is>
          <t>GÄVLEBORGS LÄN</t>
        </is>
      </c>
      <c r="G593" t="inlineStr">
        <is>
          <t>NORDANSTIG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48832-2025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45937</v>
      </c>
      <c r="E594" s="1" t="n">
        <v>46275</v>
      </c>
      <c r="F594" t="inlineStr">
        <is>
          <t>GÄVLEBORGS LÄN</t>
        </is>
      </c>
      <c r="G594" t="inlineStr">
        <is>
          <t>NORDANSTIG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45938</v>
      </c>
      <c r="E595" s="1" t="n">
        <v>46275</v>
      </c>
      <c r="F595" t="inlineStr">
        <is>
          <t>GÄVLEBORGS LÄN</t>
        </is>
      </c>
      <c r="G595" t="inlineStr">
        <is>
          <t>NORDANSTIG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49334-2025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46275</v>
      </c>
      <c r="F596" t="inlineStr">
        <is>
          <t>GÄVLEBORGS LÄN</t>
        </is>
      </c>
      <c r="G596" t="inlineStr">
        <is>
          <t>NORDANSTIG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49263-2025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45938</v>
      </c>
      <c r="E597" s="1" t="n">
        <v>46275</v>
      </c>
      <c r="F597" t="inlineStr">
        <is>
          <t>GÄVLEBORGS LÄN</t>
        </is>
      </c>
      <c r="G597" t="inlineStr">
        <is>
          <t>NORDANSTIG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49287-2025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45938</v>
      </c>
      <c r="E598" s="1" t="n">
        <v>46275</v>
      </c>
      <c r="F598" t="inlineStr">
        <is>
          <t>GÄVLEBORGS LÄN</t>
        </is>
      </c>
      <c r="G598" t="inlineStr">
        <is>
          <t>NORDANSTIG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45938</v>
      </c>
      <c r="E599" s="1" t="n">
        <v>46275</v>
      </c>
      <c r="F599" t="inlineStr">
        <is>
          <t>GÄVLEBORGS LÄN</t>
        </is>
      </c>
      <c r="G599" t="inlineStr">
        <is>
          <t>NORDANSTIG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49268-2025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45938</v>
      </c>
      <c r="E600" s="1" t="n">
        <v>46275</v>
      </c>
      <c r="F600" t="inlineStr">
        <is>
          <t>GÄVLEBORGS LÄN</t>
        </is>
      </c>
      <c r="G600" t="inlineStr">
        <is>
          <t>NORDANSTIG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49328-2025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45938</v>
      </c>
      <c r="E601" s="1" t="n">
        <v>46275</v>
      </c>
      <c r="F601" t="inlineStr">
        <is>
          <t>GÄVLEBORGS LÄN</t>
        </is>
      </c>
      <c r="G601" t="inlineStr">
        <is>
          <t>NORDANSTIG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49342-2025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45938</v>
      </c>
      <c r="E602" s="1" t="n">
        <v>46275</v>
      </c>
      <c r="F602" t="inlineStr">
        <is>
          <t>GÄVLEBORGS LÄN</t>
        </is>
      </c>
      <c r="G602" t="inlineStr">
        <is>
          <t>NORDANSTIG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45880</v>
      </c>
      <c r="E603" s="1" t="n">
        <v>46275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45938</v>
      </c>
      <c r="E604" s="1" t="n">
        <v>46275</v>
      </c>
      <c r="F604" t="inlineStr">
        <is>
          <t>GÄVLEBORGS LÄN</t>
        </is>
      </c>
      <c r="G604" t="inlineStr">
        <is>
          <t>NORDANSTIG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49282-2025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45938</v>
      </c>
      <c r="E605" s="1" t="n">
        <v>46275</v>
      </c>
      <c r="F605" t="inlineStr">
        <is>
          <t>GÄVLEBORGS LÄN</t>
        </is>
      </c>
      <c r="G605" t="inlineStr">
        <is>
          <t>NORDANSTIG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49286-2025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45938</v>
      </c>
      <c r="E606" s="1" t="n">
        <v>46275</v>
      </c>
      <c r="F606" t="inlineStr">
        <is>
          <t>GÄVLEBORGS LÄN</t>
        </is>
      </c>
      <c r="G606" t="inlineStr">
        <is>
          <t>NORDANSTIG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49597-2025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45939</v>
      </c>
      <c r="E607" s="1" t="n">
        <v>46275</v>
      </c>
      <c r="F607" t="inlineStr">
        <is>
          <t>GÄVLEBORGS LÄN</t>
        </is>
      </c>
      <c r="G607" t="inlineStr">
        <is>
          <t>NORDANSTIG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45939</v>
      </c>
      <c r="E608" s="1" t="n">
        <v>46275</v>
      </c>
      <c r="F608" t="inlineStr">
        <is>
          <t>GÄVLEBORGS LÄN</t>
        </is>
      </c>
      <c r="G608" t="inlineStr">
        <is>
          <t>NORDANSTIG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37848-2025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45881</v>
      </c>
      <c r="E609" s="1" t="n">
        <v>46275</v>
      </c>
      <c r="F609" t="inlineStr">
        <is>
          <t>GÄVLEBORGS LÄN</t>
        </is>
      </c>
      <c r="G609" t="inlineStr">
        <is>
          <t>NORDANSTIG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45939</v>
      </c>
      <c r="E610" s="1" t="n">
        <v>46275</v>
      </c>
      <c r="F610" t="inlineStr">
        <is>
          <t>GÄVLEBORGS LÄN</t>
        </is>
      </c>
      <c r="G610" t="inlineStr">
        <is>
          <t>NORDANSTIG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49596-2025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45939</v>
      </c>
      <c r="E611" s="1" t="n">
        <v>46275</v>
      </c>
      <c r="F611" t="inlineStr">
        <is>
          <t>GÄVLEBORGS LÄN</t>
        </is>
      </c>
      <c r="G611" t="inlineStr">
        <is>
          <t>NORDANSTIG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32622-2022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44783</v>
      </c>
      <c r="E612" s="1" t="n">
        <v>46275</v>
      </c>
      <c r="F612" t="inlineStr">
        <is>
          <t>GÄVLEBORGS LÄN</t>
        </is>
      </c>
      <c r="G612" t="inlineStr">
        <is>
          <t>NORDANSTIG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38091-2025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45882</v>
      </c>
      <c r="E613" s="1" t="n">
        <v>46275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15226-2023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45019</v>
      </c>
      <c r="E614" s="1" t="n">
        <v>46275</v>
      </c>
      <c r="F614" t="inlineStr">
        <is>
          <t>GÄVLEBORGS LÄN</t>
        </is>
      </c>
      <c r="G614" t="inlineStr">
        <is>
          <t>NORDANSTIG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7436-2024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45345</v>
      </c>
      <c r="E615" s="1" t="n">
        <v>46275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62.5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7460-2024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45345</v>
      </c>
      <c r="E616" s="1" t="n">
        <v>46275</v>
      </c>
      <c r="F616" t="inlineStr">
        <is>
          <t>GÄVLEBORGS LÄN</t>
        </is>
      </c>
      <c r="G616" t="inlineStr">
        <is>
          <t>NORDANSTIG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56586-2023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45243</v>
      </c>
      <c r="E617" s="1" t="n">
        <v>46275</v>
      </c>
      <c r="F617" t="inlineStr">
        <is>
          <t>GÄVLEBORGS LÄN</t>
        </is>
      </c>
      <c r="G617" t="inlineStr">
        <is>
          <t>NORDANSTIG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50824-2025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46275</v>
      </c>
      <c r="F618" t="inlineStr">
        <is>
          <t>GÄVLEBORGS LÄN</t>
        </is>
      </c>
      <c r="G618" t="inlineStr">
        <is>
          <t>NORDANSTIG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50818-2025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45946</v>
      </c>
      <c r="E619" s="1" t="n">
        <v>46275</v>
      </c>
      <c r="F619" t="inlineStr">
        <is>
          <t>GÄVLEBORGS LÄN</t>
        </is>
      </c>
      <c r="G619" t="inlineStr">
        <is>
          <t>NORDANSTIG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50842-2025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45946</v>
      </c>
      <c r="E620" s="1" t="n">
        <v>46275</v>
      </c>
      <c r="F620" t="inlineStr">
        <is>
          <t>GÄVLEBORGS LÄN</t>
        </is>
      </c>
      <c r="G620" t="inlineStr">
        <is>
          <t>NORDANSTIG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51250-2022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44868</v>
      </c>
      <c r="E621" s="1" t="n">
        <v>46275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51115-2025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45947</v>
      </c>
      <c r="E622" s="1" t="n">
        <v>46275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45399</v>
      </c>
      <c r="E623" s="1" t="n">
        <v>46275</v>
      </c>
      <c r="F623" t="inlineStr">
        <is>
          <t>GÄVLEBORGS LÄN</t>
        </is>
      </c>
      <c r="G623" t="inlineStr">
        <is>
          <t>NORDANSTIG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45950</v>
      </c>
      <c r="E624" s="1" t="n">
        <v>46275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51101-2025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45947</v>
      </c>
      <c r="E625" s="1" t="n">
        <v>46275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51014-2025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45947</v>
      </c>
      <c r="E626" s="1" t="n">
        <v>46275</v>
      </c>
      <c r="F626" t="inlineStr">
        <is>
          <t>GÄVLEBORGS LÄN</t>
        </is>
      </c>
      <c r="G626" t="inlineStr">
        <is>
          <t>NORDANSTIG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51466-2025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45950</v>
      </c>
      <c r="E627" s="1" t="n">
        <v>46275</v>
      </c>
      <c r="F627" t="inlineStr">
        <is>
          <t>GÄVLEBORGS LÄN</t>
        </is>
      </c>
      <c r="G627" t="inlineStr">
        <is>
          <t>NORDANSTIG</t>
        </is>
      </c>
      <c r="I627" t="n">
        <v>30.9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51464-2025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45950</v>
      </c>
      <c r="E628" s="1" t="n">
        <v>46275</v>
      </c>
      <c r="F628" t="inlineStr">
        <is>
          <t>GÄVLEBORGS LÄN</t>
        </is>
      </c>
      <c r="G628" t="inlineStr">
        <is>
          <t>NORDANSTIG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45429</v>
      </c>
      <c r="E629" s="1" t="n">
        <v>46275</v>
      </c>
      <c r="F629" t="inlineStr">
        <is>
          <t>GÄVLEBORGS LÄN</t>
        </is>
      </c>
      <c r="G629" t="inlineStr">
        <is>
          <t>NORDANSTIG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46275</v>
      </c>
      <c r="F630" t="inlineStr">
        <is>
          <t>GÄVLEBORGS LÄN</t>
        </is>
      </c>
      <c r="G630" t="inlineStr">
        <is>
          <t>NORDANSTIG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45532</v>
      </c>
      <c r="E631" s="1" t="n">
        <v>46275</v>
      </c>
      <c r="F631" t="inlineStr">
        <is>
          <t>GÄVLEBORGS LÄN</t>
        </is>
      </c>
      <c r="G631" t="inlineStr">
        <is>
          <t>NORDANSTIG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49284-2025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45938</v>
      </c>
      <c r="E632" s="1" t="n">
        <v>46275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53028-2025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45958</v>
      </c>
      <c r="E633" s="1" t="n">
        <v>46275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18479-2024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45425</v>
      </c>
      <c r="E634" s="1" t="n">
        <v>46275</v>
      </c>
      <c r="F634" t="inlineStr">
        <is>
          <t>GÄVLEBORGS LÄN</t>
        </is>
      </c>
      <c r="G634" t="inlineStr">
        <is>
          <t>NORDANSTIG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59912-2024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45641</v>
      </c>
      <c r="E635" s="1" t="n">
        <v>46275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50827-2025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45946</v>
      </c>
      <c r="E636" s="1" t="n">
        <v>46275</v>
      </c>
      <c r="F636" t="inlineStr">
        <is>
          <t>GÄVLEBORGS LÄN</t>
        </is>
      </c>
      <c r="G636" t="inlineStr">
        <is>
          <t>NORDANSTIG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53646-2025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45960</v>
      </c>
      <c r="E637" s="1" t="n">
        <v>46275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44965</v>
      </c>
      <c r="E638" s="1" t="n">
        <v>46275</v>
      </c>
      <c r="F638" t="inlineStr">
        <is>
          <t>GÄVLEBORGS LÄN</t>
        </is>
      </c>
      <c r="G638" t="inlineStr">
        <is>
          <t>NORDANSTIG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14961-2025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45743</v>
      </c>
      <c r="E639" s="1" t="n">
        <v>46275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45959</v>
      </c>
      <c r="E640" s="1" t="n">
        <v>46275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54373-2025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45965</v>
      </c>
      <c r="E641" s="1" t="n">
        <v>46275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30130-2024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45489</v>
      </c>
      <c r="E642" s="1" t="n">
        <v>46275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40798-2022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44824</v>
      </c>
      <c r="E643" s="1" t="n">
        <v>46275</v>
      </c>
      <c r="F643" t="inlineStr">
        <is>
          <t>GÄVLEBORGS LÄN</t>
        </is>
      </c>
      <c r="G643" t="inlineStr">
        <is>
          <t>NORDANSTIG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55186-2025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45968</v>
      </c>
      <c r="E644" s="1" t="n">
        <v>46275</v>
      </c>
      <c r="F644" t="inlineStr">
        <is>
          <t>GÄVLEBORGS LÄN</t>
        </is>
      </c>
      <c r="G644" t="inlineStr">
        <is>
          <t>NORDANSTIG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44806</v>
      </c>
      <c r="E645" s="1" t="n">
        <v>46275</v>
      </c>
      <c r="F645" t="inlineStr">
        <is>
          <t>GÄVLEBORGS LÄN</t>
        </is>
      </c>
      <c r="G645" t="inlineStr">
        <is>
          <t>NORDANSTIG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14415-2022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44652</v>
      </c>
      <c r="E646" s="1" t="n">
        <v>46275</v>
      </c>
      <c r="F646" t="inlineStr">
        <is>
          <t>GÄVLEBORGS LÄN</t>
        </is>
      </c>
      <c r="G646" t="inlineStr">
        <is>
          <t>NORDANSTIG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45187</v>
      </c>
      <c r="E647" s="1" t="n">
        <v>46275</v>
      </c>
      <c r="F647" t="inlineStr">
        <is>
          <t>GÄVLEBORGS LÄN</t>
        </is>
      </c>
      <c r="G647" t="inlineStr">
        <is>
          <t>NORDANSTIG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45336</v>
      </c>
      <c r="E648" s="1" t="n">
        <v>46275</v>
      </c>
      <c r="F648" t="inlineStr">
        <is>
          <t>GÄVLEBORGS LÄN</t>
        </is>
      </c>
      <c r="G648" t="inlineStr">
        <is>
          <t>NORDANSTIG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55513-2025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45971</v>
      </c>
      <c r="E649" s="1" t="n">
        <v>46275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46275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55590-2025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45971</v>
      </c>
      <c r="E651" s="1" t="n">
        <v>46275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55453-2025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46275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56039-2025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45973</v>
      </c>
      <c r="E653" s="1" t="n">
        <v>46275</v>
      </c>
      <c r="F653" t="inlineStr">
        <is>
          <t>GÄVLEBORGS LÄN</t>
        </is>
      </c>
      <c r="G653" t="inlineStr">
        <is>
          <t>NORDANSTIG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43465-2024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45568</v>
      </c>
      <c r="E654" s="1" t="n">
        <v>46275</v>
      </c>
      <c r="F654" t="inlineStr">
        <is>
          <t>GÄVLEBORGS LÄN</t>
        </is>
      </c>
      <c r="G654" t="inlineStr">
        <is>
          <t>NORDANSTIG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45973</v>
      </c>
      <c r="E655" s="1" t="n">
        <v>46275</v>
      </c>
      <c r="F655" t="inlineStr">
        <is>
          <t>GÄVLEBORGS LÄN</t>
        </is>
      </c>
      <c r="G655" t="inlineStr">
        <is>
          <t>NORDANSTIG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56056-2025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45973</v>
      </c>
      <c r="E656" s="1" t="n">
        <v>46275</v>
      </c>
      <c r="F656" t="inlineStr">
        <is>
          <t>GÄVLEBORGS LÄN</t>
        </is>
      </c>
      <c r="G656" t="inlineStr">
        <is>
          <t>NORDANSTIG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56357-2025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45974</v>
      </c>
      <c r="E657" s="1" t="n">
        <v>46275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45973</v>
      </c>
      <c r="E658" s="1" t="n">
        <v>46275</v>
      </c>
      <c r="F658" t="inlineStr">
        <is>
          <t>GÄVLEBORGS LÄN</t>
        </is>
      </c>
      <c r="G658" t="inlineStr">
        <is>
          <t>NORDANSTIG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55955-2025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45973</v>
      </c>
      <c r="E659" s="1" t="n">
        <v>46275</v>
      </c>
      <c r="F659" t="inlineStr">
        <is>
          <t>GÄVLEBORGS LÄN</t>
        </is>
      </c>
      <c r="G659" t="inlineStr">
        <is>
          <t>NORDANSTIG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46275</v>
      </c>
      <c r="F660" t="inlineStr">
        <is>
          <t>GÄVLEBORGS LÄN</t>
        </is>
      </c>
      <c r="G660" t="inlineStr">
        <is>
          <t>NORDANSTIG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56191-2025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45974</v>
      </c>
      <c r="E661" s="1" t="n">
        <v>46275</v>
      </c>
      <c r="F661" t="inlineStr">
        <is>
          <t>GÄVLEBORGS LÄN</t>
        </is>
      </c>
      <c r="G661" t="inlineStr">
        <is>
          <t>NORDANSTIG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37217-2024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45539</v>
      </c>
      <c r="E662" s="1" t="n">
        <v>46275</v>
      </c>
      <c r="F662" t="inlineStr">
        <is>
          <t>GÄVLEBORGS LÄN</t>
        </is>
      </c>
      <c r="G662" t="inlineStr">
        <is>
          <t>NORDANSTIG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51988-2024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45607</v>
      </c>
      <c r="E663" s="1" t="n">
        <v>46275</v>
      </c>
      <c r="F663" t="inlineStr">
        <is>
          <t>GÄVLEBORGS LÄN</t>
        </is>
      </c>
      <c r="G663" t="inlineStr">
        <is>
          <t>NORDANSTIG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25665-2023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45089</v>
      </c>
      <c r="E664" s="1" t="n">
        <v>46275</v>
      </c>
      <c r="F664" t="inlineStr">
        <is>
          <t>GÄVLEBORGS LÄN</t>
        </is>
      </c>
      <c r="G664" t="inlineStr">
        <is>
          <t>NORDANSTIG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57559-2025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45980</v>
      </c>
      <c r="E665" s="1" t="n">
        <v>46275</v>
      </c>
      <c r="F665" t="inlineStr">
        <is>
          <t>GÄVLEBORGS LÄN</t>
        </is>
      </c>
      <c r="G665" t="inlineStr">
        <is>
          <t>NORDANSTIG</t>
        </is>
      </c>
      <c r="H665" t="inlineStr">
        <is>
          <t>SCA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57558-2025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45980</v>
      </c>
      <c r="E666" s="1" t="n">
        <v>46275</v>
      </c>
      <c r="F666" t="inlineStr">
        <is>
          <t>GÄVLEBORGS LÄN</t>
        </is>
      </c>
      <c r="G666" t="inlineStr">
        <is>
          <t>NORDANSTIG</t>
        </is>
      </c>
      <c r="H666" t="inlineStr">
        <is>
          <t>SCA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57284-2025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45979</v>
      </c>
      <c r="E667" s="1" t="n">
        <v>46275</v>
      </c>
      <c r="F667" t="inlineStr">
        <is>
          <t>GÄVLEBORGS LÄN</t>
        </is>
      </c>
      <c r="G667" t="inlineStr">
        <is>
          <t>NORDANSTIG</t>
        </is>
      </c>
      <c r="H667" t="inlineStr">
        <is>
          <t>SCA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45733</v>
      </c>
      <c r="E668" s="1" t="n">
        <v>46275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45981</v>
      </c>
      <c r="E669" s="1" t="n">
        <v>46275</v>
      </c>
      <c r="F669" t="inlineStr">
        <is>
          <t>GÄVLEBORGS LÄN</t>
        </is>
      </c>
      <c r="G669" t="inlineStr">
        <is>
          <t>NORDANSTIG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37974-2024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45544</v>
      </c>
      <c r="E670" s="1" t="n">
        <v>46275</v>
      </c>
      <c r="F670" t="inlineStr">
        <is>
          <t>GÄVLEBORGS LÄN</t>
        </is>
      </c>
      <c r="G670" t="inlineStr">
        <is>
          <t>NORDANSTIG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58531-2025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45985</v>
      </c>
      <c r="E671" s="1" t="n">
        <v>46275</v>
      </c>
      <c r="F671" t="inlineStr">
        <is>
          <t>GÄVLEBORGS LÄN</t>
        </is>
      </c>
      <c r="G671" t="inlineStr">
        <is>
          <t>NORDANSTIG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46275</v>
      </c>
      <c r="F672" t="inlineStr">
        <is>
          <t>GÄVLEBORGS LÄN</t>
        </is>
      </c>
      <c r="G672" t="inlineStr">
        <is>
          <t>NORDANSTIG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58533-2025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45985</v>
      </c>
      <c r="E673" s="1" t="n">
        <v>46275</v>
      </c>
      <c r="F673" t="inlineStr">
        <is>
          <t>GÄVLEBORGS LÄN</t>
        </is>
      </c>
      <c r="G673" t="inlineStr">
        <is>
          <t>NORDANSTIG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45986</v>
      </c>
      <c r="E674" s="1" t="n">
        <v>46275</v>
      </c>
      <c r="F674" t="inlineStr">
        <is>
          <t>GÄVLEBORGS LÄN</t>
        </is>
      </c>
      <c r="G674" t="inlineStr">
        <is>
          <t>NORDANSTIG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52006-2024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45607</v>
      </c>
      <c r="E675" s="1" t="n">
        <v>46275</v>
      </c>
      <c r="F675" t="inlineStr">
        <is>
          <t>GÄVLEBORGS LÄN</t>
        </is>
      </c>
      <c r="G675" t="inlineStr">
        <is>
          <t>NORDANSTIG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18988-2022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44690</v>
      </c>
      <c r="E676" s="1" t="n">
        <v>46275</v>
      </c>
      <c r="F676" t="inlineStr">
        <is>
          <t>GÄVLEBORGS LÄN</t>
        </is>
      </c>
      <c r="G676" t="inlineStr">
        <is>
          <t>NORDANSTIG</t>
        </is>
      </c>
      <c r="I676" t="n">
        <v>9.300000000000001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12607-2024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45382</v>
      </c>
      <c r="E677" s="1" t="n">
        <v>46275</v>
      </c>
      <c r="F677" t="inlineStr">
        <is>
          <t>GÄVLEBORGS LÄN</t>
        </is>
      </c>
      <c r="G677" t="inlineStr">
        <is>
          <t>NORDANSTIG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45985</v>
      </c>
      <c r="E678" s="1" t="n">
        <v>46275</v>
      </c>
      <c r="F678" t="inlineStr">
        <is>
          <t>GÄVLEBORGS LÄN</t>
        </is>
      </c>
      <c r="G678" t="inlineStr">
        <is>
          <t>NORDANSTIG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58535-2025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45985</v>
      </c>
      <c r="E679" s="1" t="n">
        <v>46275</v>
      </c>
      <c r="F679" t="inlineStr">
        <is>
          <t>GÄVLEBORGS LÄN</t>
        </is>
      </c>
      <c r="G679" t="inlineStr">
        <is>
          <t>NORDANSTIG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18332-2024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45422</v>
      </c>
      <c r="E680" s="1" t="n">
        <v>46275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51387-2024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45604</v>
      </c>
      <c r="E681" s="1" t="n">
        <v>46275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38581-2024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45546</v>
      </c>
      <c r="E682" s="1" t="n">
        <v>46275</v>
      </c>
      <c r="F682" t="inlineStr">
        <is>
          <t>GÄVLEBORGS LÄN</t>
        </is>
      </c>
      <c r="G682" t="inlineStr">
        <is>
          <t>NORDANSTIG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38589-2024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45546</v>
      </c>
      <c r="E683" s="1" t="n">
        <v>46275</v>
      </c>
      <c r="F683" t="inlineStr">
        <is>
          <t>GÄVLEBORGS LÄN</t>
        </is>
      </c>
      <c r="G683" t="inlineStr">
        <is>
          <t>NORDANSTIG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59008-2025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45987</v>
      </c>
      <c r="E684" s="1" t="n">
        <v>46275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40078-2024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45554</v>
      </c>
      <c r="E685" s="1" t="n">
        <v>46275</v>
      </c>
      <c r="F685" t="inlineStr">
        <is>
          <t>GÄVLEBORGS LÄN</t>
        </is>
      </c>
      <c r="G685" t="inlineStr">
        <is>
          <t>NORDANSTIG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55704-2024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45622</v>
      </c>
      <c r="E686" s="1" t="n">
        <v>46275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46275</v>
      </c>
      <c r="F687" t="inlineStr">
        <is>
          <t>GÄVLEBORGS LÄN</t>
        </is>
      </c>
      <c r="G687" t="inlineStr">
        <is>
          <t>NORDANSTIG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46275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59997-2025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45993</v>
      </c>
      <c r="E689" s="1" t="n">
        <v>46275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60299-2025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45994</v>
      </c>
      <c r="E690" s="1" t="n">
        <v>46275</v>
      </c>
      <c r="F690" t="inlineStr">
        <is>
          <t>GÄVLEBORGS LÄN</t>
        </is>
      </c>
      <c r="G690" t="inlineStr">
        <is>
          <t>NORDANSTIG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60372-2025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45995</v>
      </c>
      <c r="E691" s="1" t="n">
        <v>46275</v>
      </c>
      <c r="F691" t="inlineStr">
        <is>
          <t>GÄVLEBORGS LÄN</t>
        </is>
      </c>
      <c r="G691" t="inlineStr">
        <is>
          <t>NORDANSTIG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60787-2025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45999</v>
      </c>
      <c r="E692" s="1" t="n">
        <v>46275</v>
      </c>
      <c r="F692" t="inlineStr">
        <is>
          <t>GÄVLEBORGS LÄN</t>
        </is>
      </c>
      <c r="G692" t="inlineStr">
        <is>
          <t>NORDANSTIG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61072-2025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46000</v>
      </c>
      <c r="E693" s="1" t="n">
        <v>46275</v>
      </c>
      <c r="F693" t="inlineStr">
        <is>
          <t>GÄVLEBORGS LÄN</t>
        </is>
      </c>
      <c r="G693" t="inlineStr">
        <is>
          <t>NORDANSTIG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61046-2025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46275</v>
      </c>
      <c r="F694" t="inlineStr">
        <is>
          <t>GÄVLEBORGS LÄN</t>
        </is>
      </c>
      <c r="G694" t="inlineStr">
        <is>
          <t>NORDANSTIG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45252</v>
      </c>
      <c r="E695" s="1" t="n">
        <v>46275</v>
      </c>
      <c r="F695" t="inlineStr">
        <is>
          <t>GÄVLEBORGS LÄN</t>
        </is>
      </c>
      <c r="G695" t="inlineStr">
        <is>
          <t>NORDANSTIG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3404-2025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45680</v>
      </c>
      <c r="E696" s="1" t="n">
        <v>46275</v>
      </c>
      <c r="F696" t="inlineStr">
        <is>
          <t>GÄVLEBORGS LÄN</t>
        </is>
      </c>
      <c r="G696" t="inlineStr">
        <is>
          <t>NORDANSTIG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46006</v>
      </c>
      <c r="E697" s="1" t="n">
        <v>46275</v>
      </c>
      <c r="F697" t="inlineStr">
        <is>
          <t>GÄVLEBORGS LÄN</t>
        </is>
      </c>
      <c r="G697" t="inlineStr">
        <is>
          <t>NORDANSTIG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45037</v>
      </c>
      <c r="E698" s="1" t="n">
        <v>46275</v>
      </c>
      <c r="F698" t="inlineStr">
        <is>
          <t>GÄVLEBORGS LÄN</t>
        </is>
      </c>
      <c r="G698" t="inlineStr">
        <is>
          <t>NORDANSTIG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46003</v>
      </c>
      <c r="E699" s="1" t="n">
        <v>46275</v>
      </c>
      <c r="F699" t="inlineStr">
        <is>
          <t>GÄVLEBORGS LÄN</t>
        </is>
      </c>
      <c r="G699" t="inlineStr">
        <is>
          <t>NORDANSTIG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12815-2023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45001</v>
      </c>
      <c r="E700" s="1" t="n">
        <v>46275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46006</v>
      </c>
      <c r="E701" s="1" t="n">
        <v>46275</v>
      </c>
      <c r="F701" t="inlineStr">
        <is>
          <t>GÄVLEBORGS LÄN</t>
        </is>
      </c>
      <c r="G701" t="inlineStr">
        <is>
          <t>NORDANSTIG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20044-2024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45434</v>
      </c>
      <c r="E702" s="1" t="n">
        <v>46275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9.1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62833-2025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46008</v>
      </c>
      <c r="E703" s="1" t="n">
        <v>46275</v>
      </c>
      <c r="F703" t="inlineStr">
        <is>
          <t>GÄVLEBORGS LÄN</t>
        </is>
      </c>
      <c r="G703" t="inlineStr">
        <is>
          <t>NORDANSTIG</t>
        </is>
      </c>
      <c r="H703" t="inlineStr">
        <is>
          <t>SCA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45373</v>
      </c>
      <c r="E704" s="1" t="n">
        <v>46275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30842-2024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45497</v>
      </c>
      <c r="E705" s="1" t="n">
        <v>46275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45163</v>
      </c>
      <c r="E706" s="1" t="n">
        <v>46275</v>
      </c>
      <c r="F706" t="inlineStr">
        <is>
          <t>GÄVLEBORGS LÄN</t>
        </is>
      </c>
      <c r="G706" t="inlineStr">
        <is>
          <t>NORDANSTIG</t>
        </is>
      </c>
      <c r="H706" t="inlineStr">
        <is>
          <t>SCA</t>
        </is>
      </c>
      <c r="I706" t="n">
        <v>11.8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51541-2025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45950</v>
      </c>
      <c r="E707" s="1" t="n">
        <v>46275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63986-2025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46021</v>
      </c>
      <c r="E708" s="1" t="n">
        <v>46275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7.8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46024</v>
      </c>
      <c r="E709" s="1" t="n">
        <v>46275</v>
      </c>
      <c r="F709" t="inlineStr">
        <is>
          <t>GÄVLEBORGS LÄN</t>
        </is>
      </c>
      <c r="G709" t="inlineStr">
        <is>
          <t>NORDANSTIG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46026</v>
      </c>
      <c r="E710" s="1" t="n">
        <v>46275</v>
      </c>
      <c r="F710" t="inlineStr">
        <is>
          <t>GÄVLEBORGS LÄN</t>
        </is>
      </c>
      <c r="G710" t="inlineStr">
        <is>
          <t>NORDANSTIG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46275</v>
      </c>
      <c r="F711" t="inlineStr">
        <is>
          <t>GÄVLEBORGS LÄN</t>
        </is>
      </c>
      <c r="G711" t="inlineStr">
        <is>
          <t>NORDANSTIG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46275</v>
      </c>
      <c r="F712" t="inlineStr">
        <is>
          <t>GÄVLEBORGS LÄN</t>
        </is>
      </c>
      <c r="G712" t="inlineStr">
        <is>
          <t>NORDANSTIG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46275</v>
      </c>
      <c r="F713" t="inlineStr">
        <is>
          <t>GÄVLEBORGS LÄN</t>
        </is>
      </c>
      <c r="G713" t="inlineStr">
        <is>
          <t>NORDANSTIG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46275</v>
      </c>
      <c r="F714" t="inlineStr">
        <is>
          <t>GÄVLEBORGS LÄN</t>
        </is>
      </c>
      <c r="G714" t="inlineStr">
        <is>
          <t>NORDANSTIG</t>
        </is>
      </c>
      <c r="I714" t="n">
        <v>12.7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46031</v>
      </c>
      <c r="E715" s="1" t="n">
        <v>46275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46035</v>
      </c>
      <c r="E716" s="1" t="n">
        <v>46275</v>
      </c>
      <c r="F716" t="inlineStr">
        <is>
          <t>GÄVLEBORGS LÄN</t>
        </is>
      </c>
      <c r="G716" t="inlineStr">
        <is>
          <t>NORDANSTIG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1982-2026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46275</v>
      </c>
      <c r="F717" t="inlineStr">
        <is>
          <t>GÄVLEBORGS LÄN</t>
        </is>
      </c>
      <c r="G717" t="inlineStr">
        <is>
          <t>NORDANSTIG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46038</v>
      </c>
      <c r="E718" s="1" t="n">
        <v>46275</v>
      </c>
      <c r="F718" t="inlineStr">
        <is>
          <t>GÄVLEBORGS LÄN</t>
        </is>
      </c>
      <c r="G718" t="inlineStr">
        <is>
          <t>NORDANSTIG</t>
        </is>
      </c>
      <c r="I718" t="n">
        <v>21.1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46037</v>
      </c>
      <c r="E719" s="1" t="n">
        <v>46275</v>
      </c>
      <c r="F719" t="inlineStr">
        <is>
          <t>GÄVLEBORGS LÄN</t>
        </is>
      </c>
      <c r="G719" t="inlineStr">
        <is>
          <t>NORDANSTIG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46037</v>
      </c>
      <c r="E720" s="1" t="n">
        <v>46275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46037</v>
      </c>
      <c r="E721" s="1" t="n">
        <v>46275</v>
      </c>
      <c r="F721" t="inlineStr">
        <is>
          <t>GÄVLEBORGS LÄN</t>
        </is>
      </c>
      <c r="G721" t="inlineStr">
        <is>
          <t>NORDANSTIG</t>
        </is>
      </c>
      <c r="I721" t="n">
        <v>9.300000000000001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2843-2026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46038</v>
      </c>
      <c r="E722" s="1" t="n">
        <v>46275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3547-2026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46275</v>
      </c>
      <c r="F723" t="inlineStr">
        <is>
          <t>GÄVLEBORGS LÄN</t>
        </is>
      </c>
      <c r="G723" t="inlineStr">
        <is>
          <t>NORDANSTIG</t>
        </is>
      </c>
      <c r="I723" t="n">
        <v>7.5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46275</v>
      </c>
      <c r="F724" t="inlineStr">
        <is>
          <t>GÄVLEBORGS LÄN</t>
        </is>
      </c>
      <c r="G724" t="inlineStr">
        <is>
          <t>NORDANSTIG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3053-2026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46039</v>
      </c>
      <c r="E725" s="1" t="n">
        <v>46275</v>
      </c>
      <c r="F725" t="inlineStr">
        <is>
          <t>GÄVLEBORGS LÄN</t>
        </is>
      </c>
      <c r="G725" t="inlineStr">
        <is>
          <t>NORDANSTIG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46275</v>
      </c>
      <c r="F726" t="inlineStr">
        <is>
          <t>GÄVLEBORGS LÄN</t>
        </is>
      </c>
      <c r="G726" t="inlineStr">
        <is>
          <t>NORDANSTIG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46275</v>
      </c>
      <c r="F727" t="inlineStr">
        <is>
          <t>GÄVLEBORGS LÄN</t>
        </is>
      </c>
      <c r="G727" t="inlineStr">
        <is>
          <t>NORDANSTIG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46275</v>
      </c>
      <c r="F728" t="inlineStr">
        <is>
          <t>GÄVLEBORGS LÄN</t>
        </is>
      </c>
      <c r="G728" t="inlineStr">
        <is>
          <t>NORDANSTIG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3762-2026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46275</v>
      </c>
      <c r="F729" t="inlineStr">
        <is>
          <t>GÄVLEBORGS LÄN</t>
        </is>
      </c>
      <c r="G729" t="inlineStr">
        <is>
          <t>NORDANSTIG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46043</v>
      </c>
      <c r="E730" s="1" t="n">
        <v>46275</v>
      </c>
      <c r="F730" t="inlineStr">
        <is>
          <t>GÄVLEBORGS LÄN</t>
        </is>
      </c>
      <c r="G730" t="inlineStr">
        <is>
          <t>NORDANSTIG</t>
        </is>
      </c>
      <c r="I730" t="n">
        <v>24.7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46044</v>
      </c>
      <c r="E731" s="1" t="n">
        <v>46275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46043</v>
      </c>
      <c r="E732" s="1" t="n">
        <v>46275</v>
      </c>
      <c r="F732" t="inlineStr">
        <is>
          <t>GÄVLEBORGS LÄN</t>
        </is>
      </c>
      <c r="G732" t="inlineStr">
        <is>
          <t>NORDANSTIG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46044</v>
      </c>
      <c r="E733" s="1" t="n">
        <v>46275</v>
      </c>
      <c r="F733" t="inlineStr">
        <is>
          <t>GÄVLEBORGS LÄN</t>
        </is>
      </c>
      <c r="G733" t="inlineStr">
        <is>
          <t>NORDANSTIG</t>
        </is>
      </c>
      <c r="I733" t="n">
        <v>15.3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46275</v>
      </c>
      <c r="F734" t="inlineStr">
        <is>
          <t>GÄVLEBORGS LÄN</t>
        </is>
      </c>
      <c r="G734" t="inlineStr">
        <is>
          <t>NORDANSTIG</t>
        </is>
      </c>
      <c r="I734" t="n">
        <v>8.4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46043</v>
      </c>
      <c r="E735" s="1" t="n">
        <v>46275</v>
      </c>
      <c r="F735" t="inlineStr">
        <is>
          <t>GÄVLEBORGS LÄN</t>
        </is>
      </c>
      <c r="G735" t="inlineStr">
        <is>
          <t>NORDANSTIG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3790-2026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46043</v>
      </c>
      <c r="E736" s="1" t="n">
        <v>46275</v>
      </c>
      <c r="F736" t="inlineStr">
        <is>
          <t>GÄVLEBORGS LÄN</t>
        </is>
      </c>
      <c r="G736" t="inlineStr">
        <is>
          <t>NORDANSTIG</t>
        </is>
      </c>
      <c r="I736" t="n">
        <v>10.1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46044</v>
      </c>
      <c r="E737" s="1" t="n">
        <v>46275</v>
      </c>
      <c r="F737" t="inlineStr">
        <is>
          <t>GÄVLEBORGS LÄN</t>
        </is>
      </c>
      <c r="G737" t="inlineStr">
        <is>
          <t>NORDANSTIG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46044</v>
      </c>
      <c r="E738" s="1" t="n">
        <v>46275</v>
      </c>
      <c r="F738" t="inlineStr">
        <is>
          <t>GÄVLEBORGS LÄN</t>
        </is>
      </c>
      <c r="G738" t="inlineStr">
        <is>
          <t>NORDANSTIG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46275</v>
      </c>
      <c r="F739" t="inlineStr">
        <is>
          <t>GÄVLEBORGS LÄN</t>
        </is>
      </c>
      <c r="G739" t="inlineStr">
        <is>
          <t>NORDANSTIG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46275</v>
      </c>
      <c r="F740" t="inlineStr">
        <is>
          <t>GÄVLEBORGS LÄN</t>
        </is>
      </c>
      <c r="G740" t="inlineStr">
        <is>
          <t>NORDANSTIG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46044</v>
      </c>
      <c r="E741" s="1" t="n">
        <v>46275</v>
      </c>
      <c r="F741" t="inlineStr">
        <is>
          <t>GÄVLEBORGS LÄN</t>
        </is>
      </c>
      <c r="G741" t="inlineStr">
        <is>
          <t>NORDANSTIG</t>
        </is>
      </c>
      <c r="I741" t="n">
        <v>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46275</v>
      </c>
      <c r="F742" t="inlineStr">
        <is>
          <t>GÄVLEBORGS LÄN</t>
        </is>
      </c>
      <c r="G742" t="inlineStr">
        <is>
          <t>NORDANSTIG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46275</v>
      </c>
      <c r="F743" t="inlineStr">
        <is>
          <t>GÄVLEBORGS LÄN</t>
        </is>
      </c>
      <c r="G743" t="inlineStr">
        <is>
          <t>NORDANSTIG</t>
        </is>
      </c>
      <c r="I743" t="n">
        <v>15.3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46275</v>
      </c>
      <c r="F744" t="inlineStr">
        <is>
          <t>GÄVLEBORGS LÄN</t>
        </is>
      </c>
      <c r="G744" t="inlineStr">
        <is>
          <t>NORDANSTIG</t>
        </is>
      </c>
      <c r="I744" t="n">
        <v>8.199999999999999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46275</v>
      </c>
      <c r="F745" t="inlineStr">
        <is>
          <t>GÄVLEBORGS LÄN</t>
        </is>
      </c>
      <c r="G745" t="inlineStr">
        <is>
          <t>NORDANSTIG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4399-2026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46045</v>
      </c>
      <c r="E746" s="1" t="n">
        <v>46275</v>
      </c>
      <c r="F746" t="inlineStr">
        <is>
          <t>GÄVLEBORGS LÄN</t>
        </is>
      </c>
      <c r="G746" t="inlineStr">
        <is>
          <t>NORDANSTIG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46275</v>
      </c>
      <c r="F747" t="inlineStr">
        <is>
          <t>GÄVLEBORGS LÄN</t>
        </is>
      </c>
      <c r="G747" t="inlineStr">
        <is>
          <t>NORDANSTIG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8968-2026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46069</v>
      </c>
      <c r="E748" s="1" t="n">
        <v>46275</v>
      </c>
      <c r="F748" t="inlineStr">
        <is>
          <t>GÄVLEBORGS LÄN</t>
        </is>
      </c>
      <c r="G748" t="inlineStr">
        <is>
          <t>NORDANSTIG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46275</v>
      </c>
      <c r="F749" t="inlineStr">
        <is>
          <t>GÄVLEBORGS LÄN</t>
        </is>
      </c>
      <c r="G749" t="inlineStr">
        <is>
          <t>NORDANSTIG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46050</v>
      </c>
      <c r="E750" s="1" t="n">
        <v>46275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23.8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46050</v>
      </c>
      <c r="E751" s="1" t="n">
        <v>46275</v>
      </c>
      <c r="F751" t="inlineStr">
        <is>
          <t>GÄVLEBORGS LÄN</t>
        </is>
      </c>
      <c r="G751" t="inlineStr">
        <is>
          <t>NORDANSTIG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46050</v>
      </c>
      <c r="E752" s="1" t="n">
        <v>46275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46050</v>
      </c>
      <c r="E753" s="1" t="n">
        <v>46275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7.5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46275</v>
      </c>
      <c r="F754" t="inlineStr">
        <is>
          <t>GÄVLEBORGS LÄN</t>
        </is>
      </c>
      <c r="G754" t="inlineStr">
        <is>
          <t>NORDANSTIG</t>
        </is>
      </c>
      <c r="I754" t="n">
        <v>10.2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5606-2026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46275</v>
      </c>
      <c r="F755" t="inlineStr">
        <is>
          <t>GÄVLEBORGS LÄN</t>
        </is>
      </c>
      <c r="G755" t="inlineStr">
        <is>
          <t>NORDANSTIG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46051</v>
      </c>
      <c r="E756" s="1" t="n">
        <v>46275</v>
      </c>
      <c r="F756" t="inlineStr">
        <is>
          <t>GÄVLEBORGS LÄN</t>
        </is>
      </c>
      <c r="G756" t="inlineStr">
        <is>
          <t>NORDANSTIG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46051</v>
      </c>
      <c r="E757" s="1" t="n">
        <v>46275</v>
      </c>
      <c r="F757" t="inlineStr">
        <is>
          <t>GÄVLEBORGS LÄN</t>
        </is>
      </c>
      <c r="G757" t="inlineStr">
        <is>
          <t>NORDANSTIG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46051</v>
      </c>
      <c r="E758" s="1" t="n">
        <v>46275</v>
      </c>
      <c r="F758" t="inlineStr">
        <is>
          <t>GÄVLEBORGS LÄN</t>
        </is>
      </c>
      <c r="G758" t="inlineStr">
        <is>
          <t>NORDANSTIG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6641-2026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46056</v>
      </c>
      <c r="E759" s="1" t="n">
        <v>46275</v>
      </c>
      <c r="F759" t="inlineStr">
        <is>
          <t>GÄVLEBORGS LÄN</t>
        </is>
      </c>
      <c r="G759" t="inlineStr">
        <is>
          <t>NORDANSTIG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46053</v>
      </c>
      <c r="E760" s="1" t="n">
        <v>46275</v>
      </c>
      <c r="F760" t="inlineStr">
        <is>
          <t>GÄVLEBORGS LÄN</t>
        </is>
      </c>
      <c r="G760" t="inlineStr">
        <is>
          <t>NORDANSTIG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46053</v>
      </c>
      <c r="E761" s="1" t="n">
        <v>46275</v>
      </c>
      <c r="F761" t="inlineStr">
        <is>
          <t>GÄVLEBORGS LÄN</t>
        </is>
      </c>
      <c r="G761" t="inlineStr">
        <is>
          <t>NORDANSTIG</t>
        </is>
      </c>
      <c r="I761" t="n">
        <v>45.3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46056</v>
      </c>
      <c r="E762" s="1" t="n">
        <v>46275</v>
      </c>
      <c r="F762" t="inlineStr">
        <is>
          <t>GÄVLEBORGS LÄN</t>
        </is>
      </c>
      <c r="G762" t="inlineStr">
        <is>
          <t>NORDANSTIG</t>
        </is>
      </c>
      <c r="I762" t="n">
        <v>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46275</v>
      </c>
      <c r="F763" t="inlineStr">
        <is>
          <t>GÄVLEBORGS LÄN</t>
        </is>
      </c>
      <c r="G763" t="inlineStr">
        <is>
          <t>NORDANSTIG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46275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46275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6854-2026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46057</v>
      </c>
      <c r="E766" s="1" t="n">
        <v>46275</v>
      </c>
      <c r="F766" t="inlineStr">
        <is>
          <t>GÄVLEBORGS LÄN</t>
        </is>
      </c>
      <c r="G766" t="inlineStr">
        <is>
          <t>NORDANSTIG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46057</v>
      </c>
      <c r="E767" s="1" t="n">
        <v>46275</v>
      </c>
      <c r="F767" t="inlineStr">
        <is>
          <t>GÄVLEBORGS LÄN</t>
        </is>
      </c>
      <c r="G767" t="inlineStr">
        <is>
          <t>NORDANSTIG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6840-2026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46057</v>
      </c>
      <c r="E768" s="1" t="n">
        <v>46275</v>
      </c>
      <c r="F768" t="inlineStr">
        <is>
          <t>GÄVLEBORGS LÄN</t>
        </is>
      </c>
      <c r="G768" t="inlineStr">
        <is>
          <t>NORDANSTIG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46062</v>
      </c>
      <c r="E769" s="1" t="n">
        <v>46275</v>
      </c>
      <c r="F769" t="inlineStr">
        <is>
          <t>GÄVLEBORGS LÄN</t>
        </is>
      </c>
      <c r="G769" t="inlineStr">
        <is>
          <t>NORDANSTIG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7783-2026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46275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45297</v>
      </c>
      <c r="E771" s="1" t="n">
        <v>46275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11113-2026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46079</v>
      </c>
      <c r="E772" s="1" t="n">
        <v>46275</v>
      </c>
      <c r="F772" t="inlineStr">
        <is>
          <t>GÄVLEBORGS LÄN</t>
        </is>
      </c>
      <c r="G772" t="inlineStr">
        <is>
          <t>NORDANSTIG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7685-2026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46062</v>
      </c>
      <c r="E773" s="1" t="n">
        <v>46275</v>
      </c>
      <c r="F773" t="inlineStr">
        <is>
          <t>GÄVLEBORGS LÄN</t>
        </is>
      </c>
      <c r="G773" t="inlineStr">
        <is>
          <t>NORDANSTIG</t>
        </is>
      </c>
      <c r="I773" t="n">
        <v>7.3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7640-2026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46275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35.4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7863-2026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46062</v>
      </c>
      <c r="E775" s="1" t="n">
        <v>46275</v>
      </c>
      <c r="F775" t="inlineStr">
        <is>
          <t>GÄVLEBORGS LÄN</t>
        </is>
      </c>
      <c r="G775" t="inlineStr">
        <is>
          <t>NORDANSTIG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7691-2026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46062</v>
      </c>
      <c r="E776" s="1" t="n">
        <v>46275</v>
      </c>
      <c r="F776" t="inlineStr">
        <is>
          <t>GÄVLEBORGS LÄN</t>
        </is>
      </c>
      <c r="G776" t="inlineStr">
        <is>
          <t>NORDANSTIG</t>
        </is>
      </c>
      <c r="I776" t="n">
        <v>5.7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46062</v>
      </c>
      <c r="E777" s="1" t="n">
        <v>46275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8201-2026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46064</v>
      </c>
      <c r="E778" s="1" t="n">
        <v>46275</v>
      </c>
      <c r="F778" t="inlineStr">
        <is>
          <t>GÄVLEBORGS LÄN</t>
        </is>
      </c>
      <c r="G778" t="inlineStr">
        <is>
          <t>NORDANSTIG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7944-2026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46063</v>
      </c>
      <c r="E779" s="1" t="n">
        <v>46275</v>
      </c>
      <c r="F779" t="inlineStr">
        <is>
          <t>GÄVLEBORGS LÄN</t>
        </is>
      </c>
      <c r="G779" t="inlineStr">
        <is>
          <t>NORDANSTIG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8288-2026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46064</v>
      </c>
      <c r="E780" s="1" t="n">
        <v>46275</v>
      </c>
      <c r="F780" t="inlineStr">
        <is>
          <t>GÄVLEBORGS LÄN</t>
        </is>
      </c>
      <c r="G780" t="inlineStr">
        <is>
          <t>NORDANSTIG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8318-2026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46064</v>
      </c>
      <c r="E781" s="1" t="n">
        <v>46275</v>
      </c>
      <c r="F781" t="inlineStr">
        <is>
          <t>GÄVLEBORGS LÄN</t>
        </is>
      </c>
      <c r="G781" t="inlineStr">
        <is>
          <t>NORDANSTIG</t>
        </is>
      </c>
      <c r="I781" t="n">
        <v>10.5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8281-2026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46064</v>
      </c>
      <c r="E782" s="1" t="n">
        <v>46275</v>
      </c>
      <c r="F782" t="inlineStr">
        <is>
          <t>GÄVLEBORGS LÄN</t>
        </is>
      </c>
      <c r="G782" t="inlineStr">
        <is>
          <t>NORDANSTIG</t>
        </is>
      </c>
      <c r="I782" t="n">
        <v>38.1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46064</v>
      </c>
      <c r="E783" s="1" t="n">
        <v>46275</v>
      </c>
      <c r="F783" t="inlineStr">
        <is>
          <t>GÄVLEBORGS LÄN</t>
        </is>
      </c>
      <c r="G783" t="inlineStr">
        <is>
          <t>NORDANSTIG</t>
        </is>
      </c>
      <c r="I783" t="n">
        <v>19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7928-2026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46063</v>
      </c>
      <c r="E784" s="1" t="n">
        <v>46275</v>
      </c>
      <c r="F784" t="inlineStr">
        <is>
          <t>GÄVLEBORGS LÄN</t>
        </is>
      </c>
      <c r="G784" t="inlineStr">
        <is>
          <t>NORDANSTIG</t>
        </is>
      </c>
      <c r="I784" t="n">
        <v>13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8837-2026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46066</v>
      </c>
      <c r="E785" s="1" t="n">
        <v>46275</v>
      </c>
      <c r="F785" t="inlineStr">
        <is>
          <t>GÄVLEBORGS LÄN</t>
        </is>
      </c>
      <c r="G785" t="inlineStr">
        <is>
          <t>NORDANSTIG</t>
        </is>
      </c>
      <c r="H785" t="inlineStr">
        <is>
          <t>Naturvårdsverket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8711-2026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46066</v>
      </c>
      <c r="E786" s="1" t="n">
        <v>46275</v>
      </c>
      <c r="F786" t="inlineStr">
        <is>
          <t>GÄVLEBORGS LÄN</t>
        </is>
      </c>
      <c r="G786" t="inlineStr">
        <is>
          <t>NORDANSTIG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46065</v>
      </c>
      <c r="E787" s="1" t="n">
        <v>46275</v>
      </c>
      <c r="F787" t="inlineStr">
        <is>
          <t>GÄVLEBORGS LÄN</t>
        </is>
      </c>
      <c r="G787" t="inlineStr">
        <is>
          <t>NORDANSTIG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8541-2026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46065</v>
      </c>
      <c r="E788" s="1" t="n">
        <v>46275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46069</v>
      </c>
      <c r="E789" s="1" t="n">
        <v>46275</v>
      </c>
      <c r="F789" t="inlineStr">
        <is>
          <t>GÄVLEBORGS LÄN</t>
        </is>
      </c>
      <c r="G789" t="inlineStr">
        <is>
          <t>NORDANSTIG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9122-2026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46069</v>
      </c>
      <c r="E790" s="1" t="n">
        <v>46275</v>
      </c>
      <c r="F790" t="inlineStr">
        <is>
          <t>GÄVLEBORGS LÄN</t>
        </is>
      </c>
      <c r="G790" t="inlineStr">
        <is>
          <t>NORDANSTIG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9340-2026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46070</v>
      </c>
      <c r="E791" s="1" t="n">
        <v>46275</v>
      </c>
      <c r="F791" t="inlineStr">
        <is>
          <t>GÄVLEBORGS LÄN</t>
        </is>
      </c>
      <c r="G791" t="inlineStr">
        <is>
          <t>NORDANSTIG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9204-2026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46275</v>
      </c>
      <c r="F792" t="inlineStr">
        <is>
          <t>GÄVLEBORGS LÄN</t>
        </is>
      </c>
      <c r="G792" t="inlineStr">
        <is>
          <t>NORDANSTIG</t>
        </is>
      </c>
      <c r="I792" t="n">
        <v>15.6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9361-2026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46070</v>
      </c>
      <c r="E793" s="1" t="n">
        <v>46275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8998-2026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46069</v>
      </c>
      <c r="E794" s="1" t="n">
        <v>46275</v>
      </c>
      <c r="F794" t="inlineStr">
        <is>
          <t>GÄVLEBORGS LÄN</t>
        </is>
      </c>
      <c r="G794" t="inlineStr">
        <is>
          <t>NORDANSTIG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9516-2026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46071</v>
      </c>
      <c r="E795" s="1" t="n">
        <v>46275</v>
      </c>
      <c r="F795" t="inlineStr">
        <is>
          <t>GÄVLEBORGS LÄN</t>
        </is>
      </c>
      <c r="G795" t="inlineStr">
        <is>
          <t>NORDANSTIG</t>
        </is>
      </c>
      <c r="I795" t="n">
        <v>12.2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9591-2026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46071</v>
      </c>
      <c r="E796" s="1" t="n">
        <v>46275</v>
      </c>
      <c r="F796" t="inlineStr">
        <is>
          <t>GÄVLEBORGS LÄN</t>
        </is>
      </c>
      <c r="G796" t="inlineStr">
        <is>
          <t>NORDANSTIG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9496-2026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46275</v>
      </c>
      <c r="F797" t="inlineStr">
        <is>
          <t>GÄVLEBORGS LÄN</t>
        </is>
      </c>
      <c r="G797" t="inlineStr">
        <is>
          <t>NORDANSTIG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46275</v>
      </c>
      <c r="F798" t="inlineStr">
        <is>
          <t>GÄVLEBORGS LÄN</t>
        </is>
      </c>
      <c r="G798" t="inlineStr">
        <is>
          <t>NORDANSTIG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9590-2026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46275</v>
      </c>
      <c r="F799" t="inlineStr">
        <is>
          <t>GÄVLEBORGS LÄN</t>
        </is>
      </c>
      <c r="G799" t="inlineStr">
        <is>
          <t>NORDANSTIG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9685-2026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46072</v>
      </c>
      <c r="E800" s="1" t="n">
        <v>46275</v>
      </c>
      <c r="F800" t="inlineStr">
        <is>
          <t>GÄVLEBORGS LÄN</t>
        </is>
      </c>
      <c r="G800" t="inlineStr">
        <is>
          <t>NORDANSTIG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879-2026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46275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9425-2026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46071</v>
      </c>
      <c r="E802" s="1" t="n">
        <v>46275</v>
      </c>
      <c r="F802" t="inlineStr">
        <is>
          <t>GÄVLEBORGS LÄN</t>
        </is>
      </c>
      <c r="G802" t="inlineStr">
        <is>
          <t>NORDANSTIG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46275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9780-2026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46072</v>
      </c>
      <c r="E804" s="1" t="n">
        <v>46275</v>
      </c>
      <c r="F804" t="inlineStr">
        <is>
          <t>GÄVLEBORGS LÄN</t>
        </is>
      </c>
      <c r="G804" t="inlineStr">
        <is>
          <t>NORDANSTIG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10193-2026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46076</v>
      </c>
      <c r="E805" s="1" t="n">
        <v>46275</v>
      </c>
      <c r="F805" t="inlineStr">
        <is>
          <t>GÄVLEBORGS LÄN</t>
        </is>
      </c>
      <c r="G805" t="inlineStr">
        <is>
          <t>NORDANSTIG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9969-2026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46073</v>
      </c>
      <c r="E806" s="1" t="n">
        <v>46275</v>
      </c>
      <c r="F806" t="inlineStr">
        <is>
          <t>GÄVLEBORGS LÄN</t>
        </is>
      </c>
      <c r="G806" t="inlineStr">
        <is>
          <t>NORDANSTIG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10310-2026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46076</v>
      </c>
      <c r="E807" s="1" t="n">
        <v>46275</v>
      </c>
      <c r="F807" t="inlineStr">
        <is>
          <t>GÄVLEBORGS LÄN</t>
        </is>
      </c>
      <c r="G807" t="inlineStr">
        <is>
          <t>NORDANSTIG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9971-2026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46275</v>
      </c>
      <c r="F808" t="inlineStr">
        <is>
          <t>GÄVLEBORGS LÄN</t>
        </is>
      </c>
      <c r="G808" t="inlineStr">
        <is>
          <t>NORDANSTIG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46078</v>
      </c>
      <c r="E809" s="1" t="n">
        <v>46275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11087-2026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46079</v>
      </c>
      <c r="E810" s="1" t="n">
        <v>46275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10993-2026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46079</v>
      </c>
      <c r="E811" s="1" t="n">
        <v>46275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46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46275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10984-2026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46079</v>
      </c>
      <c r="E813" s="1" t="n">
        <v>46275</v>
      </c>
      <c r="F813" t="inlineStr">
        <is>
          <t>GÄVLEBORGS LÄN</t>
        </is>
      </c>
      <c r="G813" t="inlineStr">
        <is>
          <t>NORDANSTIG</t>
        </is>
      </c>
      <c r="I813" t="n">
        <v>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11307-2026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46080</v>
      </c>
      <c r="E814" s="1" t="n">
        <v>46275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46084</v>
      </c>
      <c r="E815" s="1" t="n">
        <v>46275</v>
      </c>
      <c r="F815" t="inlineStr">
        <is>
          <t>GÄVLEBORGS LÄN</t>
        </is>
      </c>
      <c r="G815" t="inlineStr">
        <is>
          <t>NORDANSTIG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11578-2026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46084</v>
      </c>
      <c r="E816" s="1" t="n">
        <v>46275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11592-2026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46084</v>
      </c>
      <c r="E817" s="1" t="n">
        <v>46275</v>
      </c>
      <c r="F817" t="inlineStr">
        <is>
          <t>GÄVLEBORGS LÄN</t>
        </is>
      </c>
      <c r="G817" t="inlineStr">
        <is>
          <t>NORDANSTIG</t>
        </is>
      </c>
      <c r="I817" t="n">
        <v>8.6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11713-2026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46275</v>
      </c>
      <c r="F818" t="inlineStr">
        <is>
          <t>GÄVLEBORGS LÄN</t>
        </is>
      </c>
      <c r="G818" t="inlineStr">
        <is>
          <t>NORDANSTIG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11581-2026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46084</v>
      </c>
      <c r="E819" s="1" t="n">
        <v>46275</v>
      </c>
      <c r="F819" t="inlineStr">
        <is>
          <t>GÄVLEBORGS LÄN</t>
        </is>
      </c>
      <c r="G819" t="inlineStr">
        <is>
          <t>NORDANSTIG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11586-2026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46084</v>
      </c>
      <c r="E820" s="1" t="n">
        <v>46275</v>
      </c>
      <c r="F820" t="inlineStr">
        <is>
          <t>GÄVLEBORGS LÄN</t>
        </is>
      </c>
      <c r="G820" t="inlineStr">
        <is>
          <t>NORDANSTIG</t>
        </is>
      </c>
      <c r="I820" t="n">
        <v>10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12334-2026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46087</v>
      </c>
      <c r="E821" s="1" t="n">
        <v>46275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12328-2026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46275</v>
      </c>
      <c r="F822" t="inlineStr">
        <is>
          <t>GÄVLEBORGS LÄN</t>
        </is>
      </c>
      <c r="G822" t="inlineStr">
        <is>
          <t>NORDANSTIG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46043</v>
      </c>
      <c r="E823" s="1" t="n">
        <v>46275</v>
      </c>
      <c r="F823" t="inlineStr">
        <is>
          <t>GÄVLEBORGS LÄN</t>
        </is>
      </c>
      <c r="G823" t="inlineStr">
        <is>
          <t>NORDANSTIG</t>
        </is>
      </c>
      <c r="I823" t="n">
        <v>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12085-2026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46086</v>
      </c>
      <c r="E824" s="1" t="n">
        <v>46275</v>
      </c>
      <c r="F824" t="inlineStr">
        <is>
          <t>GÄVLEBORGS LÄN</t>
        </is>
      </c>
      <c r="G824" t="inlineStr">
        <is>
          <t>NORDANSTIG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1230-2026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46031</v>
      </c>
      <c r="E825" s="1" t="n">
        <v>46275</v>
      </c>
      <c r="F825" t="inlineStr">
        <is>
          <t>GÄVLEBORGS LÄN</t>
        </is>
      </c>
      <c r="G825" t="inlineStr">
        <is>
          <t>NORDANSTIG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12552-2026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46090</v>
      </c>
      <c r="E826" s="1" t="n">
        <v>46275</v>
      </c>
      <c r="F826" t="inlineStr">
        <is>
          <t>GÄVLEBORGS LÄN</t>
        </is>
      </c>
      <c r="G826" t="inlineStr">
        <is>
          <t>NORDANSTIG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38241-2024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45545</v>
      </c>
      <c r="E827" s="1" t="n">
        <v>46275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12458-2026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46090</v>
      </c>
      <c r="E828" s="1" t="n">
        <v>46275</v>
      </c>
      <c r="F828" t="inlineStr">
        <is>
          <t>GÄVLEBORGS LÄN</t>
        </is>
      </c>
      <c r="G828" t="inlineStr">
        <is>
          <t>NORDANSTIG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12956-2026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46275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46275</v>
      </c>
      <c r="F830" t="inlineStr">
        <is>
          <t>GÄVLEBORGS LÄN</t>
        </is>
      </c>
      <c r="G830" t="inlineStr">
        <is>
          <t>NORDANSTIG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13647-2026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46097</v>
      </c>
      <c r="E831" s="1" t="n">
        <v>46275</v>
      </c>
      <c r="F831" t="inlineStr">
        <is>
          <t>GÄVLEBORGS LÄN</t>
        </is>
      </c>
      <c r="G831" t="inlineStr">
        <is>
          <t>NORDANSTIG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14244-2026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46099</v>
      </c>
      <c r="E832" s="1" t="n">
        <v>46275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13978-2026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46098</v>
      </c>
      <c r="E833" s="1" t="n">
        <v>46275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13982-2026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46098</v>
      </c>
      <c r="E834" s="1" t="n">
        <v>46275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14267-2026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46099</v>
      </c>
      <c r="E835" s="1" t="n">
        <v>46275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13823-2026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46098</v>
      </c>
      <c r="E836" s="1" t="n">
        <v>46275</v>
      </c>
      <c r="F836" t="inlineStr">
        <is>
          <t>GÄVLEBORGS LÄN</t>
        </is>
      </c>
      <c r="G836" t="inlineStr">
        <is>
          <t>NORDANSTIG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46098</v>
      </c>
      <c r="E837" s="1" t="n">
        <v>46275</v>
      </c>
      <c r="F837" t="inlineStr">
        <is>
          <t>GÄVLEBORGS LÄN</t>
        </is>
      </c>
      <c r="G837" t="inlineStr">
        <is>
          <t>NORDANSTIG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18020-2026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46275</v>
      </c>
      <c r="F838" t="inlineStr">
        <is>
          <t>GÄVLEBORGS LÄN</t>
        </is>
      </c>
      <c r="G838" t="inlineStr">
        <is>
          <t>NORDANSTIG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15009-2026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46275</v>
      </c>
      <c r="F839" t="inlineStr">
        <is>
          <t>GÄVLEBORGS LÄN</t>
        </is>
      </c>
      <c r="G839" t="inlineStr">
        <is>
          <t>NORDANSTIG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15010-2026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46104</v>
      </c>
      <c r="E840" s="1" t="n">
        <v>46275</v>
      </c>
      <c r="F840" t="inlineStr">
        <is>
          <t>GÄVLEBORGS LÄN</t>
        </is>
      </c>
      <c r="G840" t="inlineStr">
        <is>
          <t>NORDANSTIG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15746-2026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46107</v>
      </c>
      <c r="E841" s="1" t="n">
        <v>46275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6.5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16184-2026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46111</v>
      </c>
      <c r="E842" s="1" t="n">
        <v>46275</v>
      </c>
      <c r="F842" t="inlineStr">
        <is>
          <t>GÄVLEBORGS LÄN</t>
        </is>
      </c>
      <c r="G842" t="inlineStr">
        <is>
          <t>NORDANSTIG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16291-2026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46275</v>
      </c>
      <c r="F843" t="inlineStr">
        <is>
          <t>GÄVLEBORGS LÄN</t>
        </is>
      </c>
      <c r="G843" t="inlineStr">
        <is>
          <t>NORDANSTIG</t>
        </is>
      </c>
      <c r="H843" t="inlineStr">
        <is>
          <t>Kommuner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16294-2026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46111</v>
      </c>
      <c r="E844" s="1" t="n">
        <v>46275</v>
      </c>
      <c r="F844" t="inlineStr">
        <is>
          <t>GÄVLEBORGS LÄN</t>
        </is>
      </c>
      <c r="G844" t="inlineStr">
        <is>
          <t>NORDANSTIG</t>
        </is>
      </c>
      <c r="H844" t="inlineStr">
        <is>
          <t>Kommuner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16293-2026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46275</v>
      </c>
      <c r="F845" t="inlineStr">
        <is>
          <t>GÄVLEBORGS LÄN</t>
        </is>
      </c>
      <c r="G845" t="inlineStr">
        <is>
          <t>NORDANSTIG</t>
        </is>
      </c>
      <c r="H845" t="inlineStr">
        <is>
          <t>Kommuner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16310-2026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46275</v>
      </c>
      <c r="F846" t="inlineStr">
        <is>
          <t>GÄVLEBORGS LÄN</t>
        </is>
      </c>
      <c r="G846" t="inlineStr">
        <is>
          <t>NORDANSTIG</t>
        </is>
      </c>
      <c r="H846" t="inlineStr">
        <is>
          <t>Kommuner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16436-2026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46275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42.1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46275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34.8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46112</v>
      </c>
      <c r="E849" s="1" t="n">
        <v>46275</v>
      </c>
      <c r="F849" t="inlineStr">
        <is>
          <t>GÄVLEBORGS LÄN</t>
        </is>
      </c>
      <c r="G849" t="inlineStr">
        <is>
          <t>NORDANSTIG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16703-2026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46275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16756-2026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46113</v>
      </c>
      <c r="E851" s="1" t="n">
        <v>46275</v>
      </c>
      <c r="F851" t="inlineStr">
        <is>
          <t>GÄVLEBORGS LÄN</t>
        </is>
      </c>
      <c r="G851" t="inlineStr">
        <is>
          <t>NORDANSTIG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16687-2026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46112</v>
      </c>
      <c r="E852" s="1" t="n">
        <v>46275</v>
      </c>
      <c r="F852" t="inlineStr">
        <is>
          <t>GÄVLEBORGS LÄN</t>
        </is>
      </c>
      <c r="G852" t="inlineStr">
        <is>
          <t>NORDANSTIG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17303-2026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46275</v>
      </c>
      <c r="F853" t="inlineStr">
        <is>
          <t>GÄVLEBORGS LÄN</t>
        </is>
      </c>
      <c r="G853" t="inlineStr">
        <is>
          <t>NORDANSTIG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46118</v>
      </c>
      <c r="E854" s="1" t="n">
        <v>46275</v>
      </c>
      <c r="F854" t="inlineStr">
        <is>
          <t>GÄVLEBORGS LÄN</t>
        </is>
      </c>
      <c r="G854" t="inlineStr">
        <is>
          <t>NORDANSTIG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17286-2026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46275</v>
      </c>
      <c r="F855" t="inlineStr">
        <is>
          <t>GÄVLEBORGS LÄN</t>
        </is>
      </c>
      <c r="G855" t="inlineStr">
        <is>
          <t>NORDANSTIG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46119</v>
      </c>
      <c r="E856" s="1" t="n">
        <v>46275</v>
      </c>
      <c r="F856" t="inlineStr">
        <is>
          <t>GÄVLEBORGS LÄN</t>
        </is>
      </c>
      <c r="G856" t="inlineStr">
        <is>
          <t>NORDANSTIG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17494-2026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46120</v>
      </c>
      <c r="E857" s="1" t="n">
        <v>46275</v>
      </c>
      <c r="F857" t="inlineStr">
        <is>
          <t>GÄVLEBORGS LÄN</t>
        </is>
      </c>
      <c r="G857" t="inlineStr">
        <is>
          <t>NORDANSTIG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17500-2026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46120</v>
      </c>
      <c r="E858" s="1" t="n">
        <v>46275</v>
      </c>
      <c r="F858" t="inlineStr">
        <is>
          <t>GÄVLEBORGS LÄN</t>
        </is>
      </c>
      <c r="G858" t="inlineStr">
        <is>
          <t>NORDANSTIG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17492-2026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46120</v>
      </c>
      <c r="E859" s="1" t="n">
        <v>46275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17498-2026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46120</v>
      </c>
      <c r="E860" s="1" t="n">
        <v>46275</v>
      </c>
      <c r="F860" t="inlineStr">
        <is>
          <t>GÄVLEBORGS LÄN</t>
        </is>
      </c>
      <c r="G860" t="inlineStr">
        <is>
          <t>NORDANSTIG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17487-2026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46120</v>
      </c>
      <c r="E861" s="1" t="n">
        <v>46275</v>
      </c>
      <c r="F861" t="inlineStr">
        <is>
          <t>GÄVLEBORGS LÄN</t>
        </is>
      </c>
      <c r="G861" t="inlineStr">
        <is>
          <t>NORDANSTIG</t>
        </is>
      </c>
      <c r="I861" t="n">
        <v>9.800000000000001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17490-2026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46275</v>
      </c>
      <c r="F862" t="inlineStr">
        <is>
          <t>GÄVLEBORGS LÄN</t>
        </is>
      </c>
      <c r="G862" t="inlineStr">
        <is>
          <t>NORDANSTIG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17489-2026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46120</v>
      </c>
      <c r="E863" s="1" t="n">
        <v>46275</v>
      </c>
      <c r="F863" t="inlineStr">
        <is>
          <t>GÄVLEBORGS LÄN</t>
        </is>
      </c>
      <c r="G863" t="inlineStr">
        <is>
          <t>NORDANSTIG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17872-2026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46122</v>
      </c>
      <c r="E864" s="1" t="n">
        <v>46275</v>
      </c>
      <c r="F864" t="inlineStr">
        <is>
          <t>GÄVLEBORGS LÄN</t>
        </is>
      </c>
      <c r="G864" t="inlineStr">
        <is>
          <t>NORDANSTIG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18153-2026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46125</v>
      </c>
      <c r="E865" s="1" t="n">
        <v>46275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7796-2026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46062</v>
      </c>
      <c r="E866" s="1" t="n">
        <v>46275</v>
      </c>
      <c r="F866" t="inlineStr">
        <is>
          <t>GÄVLEBORGS LÄN</t>
        </is>
      </c>
      <c r="G866" t="inlineStr">
        <is>
          <t>NORDANSTIG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46126</v>
      </c>
      <c r="E867" s="1" t="n">
        <v>46275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18385-2026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46126</v>
      </c>
      <c r="E868" s="1" t="n">
        <v>46275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18282-2026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46126</v>
      </c>
      <c r="E869" s="1" t="n">
        <v>46275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43.6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14501-2026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46100</v>
      </c>
      <c r="E870" s="1" t="n">
        <v>46275</v>
      </c>
      <c r="F870" t="inlineStr">
        <is>
          <t>GÄVLEBORGS LÄN</t>
        </is>
      </c>
      <c r="G870" t="inlineStr">
        <is>
          <t>NORDANSTIG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25200-2022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44729</v>
      </c>
      <c r="E871" s="1" t="n">
        <v>46275</v>
      </c>
      <c r="F871" t="inlineStr">
        <is>
          <t>GÄVLEBORGS LÄN</t>
        </is>
      </c>
      <c r="G871" t="inlineStr">
        <is>
          <t>NORDANSTIG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18531-2026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46127</v>
      </c>
      <c r="E872" s="1" t="n">
        <v>46275</v>
      </c>
      <c r="F872" t="inlineStr">
        <is>
          <t>GÄVLEBORGS LÄN</t>
        </is>
      </c>
      <c r="G872" t="inlineStr">
        <is>
          <t>NORDANSTIG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19682-2026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46275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19679-2026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46275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19367-2026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46275</v>
      </c>
      <c r="F875" t="inlineStr">
        <is>
          <t>GÄVLEBORGS LÄN</t>
        </is>
      </c>
      <c r="G875" t="inlineStr">
        <is>
          <t>NORDANSTIG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19896-2025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45771</v>
      </c>
      <c r="E876" s="1" t="n">
        <v>46275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20019-2026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46136</v>
      </c>
      <c r="E877" s="1" t="n">
        <v>46275</v>
      </c>
      <c r="F877" t="inlineStr">
        <is>
          <t>GÄVLEBORGS LÄN</t>
        </is>
      </c>
      <c r="G877" t="inlineStr">
        <is>
          <t>NORDANSTIG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19898-2026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46135</v>
      </c>
      <c r="E878" s="1" t="n">
        <v>46275</v>
      </c>
      <c r="F878" t="inlineStr">
        <is>
          <t>GÄVLEBORGS LÄN</t>
        </is>
      </c>
      <c r="G878" t="inlineStr">
        <is>
          <t>NORDANSTIG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19970-2026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46136</v>
      </c>
      <c r="E879" s="1" t="n">
        <v>46275</v>
      </c>
      <c r="F879" t="inlineStr">
        <is>
          <t>GÄVLEBORGS LÄN</t>
        </is>
      </c>
      <c r="G879" t="inlineStr">
        <is>
          <t>NORDANSTIG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16659-2026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46112</v>
      </c>
      <c r="E880" s="1" t="n">
        <v>46275</v>
      </c>
      <c r="F880" t="inlineStr">
        <is>
          <t>GÄVLEBORGS LÄN</t>
        </is>
      </c>
      <c r="G880" t="inlineStr">
        <is>
          <t>NORDANSTIG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20532-2026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46140</v>
      </c>
      <c r="E881" s="1" t="n">
        <v>46275</v>
      </c>
      <c r="F881" t="inlineStr">
        <is>
          <t>GÄVLEBORGS LÄN</t>
        </is>
      </c>
      <c r="G881" t="inlineStr">
        <is>
          <t>NORDANSTIG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46038</v>
      </c>
      <c r="E882" s="1" t="n">
        <v>46275</v>
      </c>
      <c r="F882" t="inlineStr">
        <is>
          <t>GÄVLEBORGS LÄN</t>
        </is>
      </c>
      <c r="G882" t="inlineStr">
        <is>
          <t>NORDANSTIG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46275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20482-2026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46140</v>
      </c>
      <c r="E884" s="1" t="n">
        <v>46275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8.6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58165-2023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45250</v>
      </c>
      <c r="E885" s="1" t="n">
        <v>46275</v>
      </c>
      <c r="F885" t="inlineStr">
        <is>
          <t>GÄVLEBORGS LÄN</t>
        </is>
      </c>
      <c r="G885" t="inlineStr">
        <is>
          <t>NORDANSTIG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20288-2026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46139</v>
      </c>
      <c r="E886" s="1" t="n">
        <v>46275</v>
      </c>
      <c r="F886" t="inlineStr">
        <is>
          <t>GÄVLEBORGS LÄN</t>
        </is>
      </c>
      <c r="G886" t="inlineStr">
        <is>
          <t>NORDANSTIG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52695-2024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45610</v>
      </c>
      <c r="E887" s="1" t="n">
        <v>46275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63786-2025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46019</v>
      </c>
      <c r="E888" s="1" t="n">
        <v>46275</v>
      </c>
      <c r="F888" t="inlineStr">
        <is>
          <t>GÄVLEBORGS LÄN</t>
        </is>
      </c>
      <c r="G888" t="inlineStr">
        <is>
          <t>NORDANSTIG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31724-2024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45509</v>
      </c>
      <c r="E889" s="1" t="n">
        <v>46275</v>
      </c>
      <c r="F889" t="inlineStr">
        <is>
          <t>GÄVLEBORGS LÄN</t>
        </is>
      </c>
      <c r="G889" t="inlineStr">
        <is>
          <t>NORDANSTIG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1057-2026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46030</v>
      </c>
      <c r="E890" s="1" t="n">
        <v>46275</v>
      </c>
      <c r="F890" t="inlineStr">
        <is>
          <t>GÄVLEBORGS LÄN</t>
        </is>
      </c>
      <c r="G890" t="inlineStr">
        <is>
          <t>NORDANSTIG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64033-2025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46275</v>
      </c>
      <c r="F891" t="inlineStr">
        <is>
          <t>GÄVLEBORGS LÄN</t>
        </is>
      </c>
      <c r="G891" t="inlineStr">
        <is>
          <t>NORDANSTIG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46048</v>
      </c>
      <c r="E892" s="1" t="n">
        <v>46275</v>
      </c>
      <c r="F892" t="inlineStr">
        <is>
          <t>GÄVLEBORGS LÄN</t>
        </is>
      </c>
      <c r="G892" t="inlineStr">
        <is>
          <t>NORDANSTIG</t>
        </is>
      </c>
      <c r="I892" t="n">
        <v>6.6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6129-2026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46054</v>
      </c>
      <c r="E893" s="1" t="n">
        <v>46275</v>
      </c>
      <c r="F893" t="inlineStr">
        <is>
          <t>GÄVLEBORGS LÄN</t>
        </is>
      </c>
      <c r="G893" t="inlineStr">
        <is>
          <t>NORDANSTIG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1469-2026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46033</v>
      </c>
      <c r="E894" s="1" t="n">
        <v>46275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19982-2026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46136</v>
      </c>
      <c r="E895" s="1" t="n">
        <v>46275</v>
      </c>
      <c r="F895" t="inlineStr">
        <is>
          <t>GÄVLEBORGS LÄN</t>
        </is>
      </c>
      <c r="G895" t="inlineStr">
        <is>
          <t>NORDANSTIG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46026</v>
      </c>
      <c r="E896" s="1" t="n">
        <v>46275</v>
      </c>
      <c r="F896" t="inlineStr">
        <is>
          <t>GÄVLEBORGS LÄN</t>
        </is>
      </c>
      <c r="G896" t="inlineStr">
        <is>
          <t>NORDANSTIG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44075-2025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45915</v>
      </c>
      <c r="E897" s="1" t="n">
        <v>46275</v>
      </c>
      <c r="F897" t="inlineStr">
        <is>
          <t>GÄVLEBORGS LÄN</t>
        </is>
      </c>
      <c r="G897" t="inlineStr">
        <is>
          <t>NORDANSTIG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46043</v>
      </c>
      <c r="E898" s="1" t="n">
        <v>46275</v>
      </c>
      <c r="F898" t="inlineStr">
        <is>
          <t>GÄVLEBORGS LÄN</t>
        </is>
      </c>
      <c r="G898" t="inlineStr">
        <is>
          <t>NORDANSTIG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46043</v>
      </c>
      <c r="E899" s="1" t="n">
        <v>46275</v>
      </c>
      <c r="F899" t="inlineStr">
        <is>
          <t>GÄVLEBORGS LÄN</t>
        </is>
      </c>
      <c r="G899" t="inlineStr">
        <is>
          <t>NORDANSTIG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29401-2025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45824</v>
      </c>
      <c r="E900" s="1" t="n">
        <v>46275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64034-2025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46021</v>
      </c>
      <c r="E901" s="1" t="n">
        <v>46275</v>
      </c>
      <c r="F901" t="inlineStr">
        <is>
          <t>GÄVLEBORGS LÄN</t>
        </is>
      </c>
      <c r="G901" t="inlineStr">
        <is>
          <t>NORDANSTIG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9976-2026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46073</v>
      </c>
      <c r="E902" s="1" t="n">
        <v>46275</v>
      </c>
      <c r="F902" t="inlineStr">
        <is>
          <t>GÄVLEBORGS LÄN</t>
        </is>
      </c>
      <c r="G902" t="inlineStr">
        <is>
          <t>NORDANSTIG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4630-2026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46275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13826-2026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46098</v>
      </c>
      <c r="E904" s="1" t="n">
        <v>46275</v>
      </c>
      <c r="F904" t="inlineStr">
        <is>
          <t>GÄVLEBORGS LÄN</t>
        </is>
      </c>
      <c r="G904" t="inlineStr">
        <is>
          <t>NORDANSTIG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9373-2026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46070</v>
      </c>
      <c r="E905" s="1" t="n">
        <v>46275</v>
      </c>
      <c r="F905" t="inlineStr">
        <is>
          <t>GÄVLEBORGS LÄN</t>
        </is>
      </c>
      <c r="G905" t="inlineStr">
        <is>
          <t>NORDANSTIG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33377-2022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44788</v>
      </c>
      <c r="E906" s="1" t="n">
        <v>46275</v>
      </c>
      <c r="F906" t="inlineStr">
        <is>
          <t>GÄVLEBORGS LÄN</t>
        </is>
      </c>
      <c r="G906" t="inlineStr">
        <is>
          <t>NORDANSTIG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46055</v>
      </c>
      <c r="E907" s="1" t="n">
        <v>46275</v>
      </c>
      <c r="F907" t="inlineStr">
        <is>
          <t>GÄVLEBORGS LÄN</t>
        </is>
      </c>
      <c r="G907" t="inlineStr">
        <is>
          <t>NORDANSTIG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9031-2026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46069</v>
      </c>
      <c r="E908" s="1" t="n">
        <v>46275</v>
      </c>
      <c r="F908" t="inlineStr">
        <is>
          <t>GÄVLEBORGS LÄN</t>
        </is>
      </c>
      <c r="G908" t="inlineStr">
        <is>
          <t>NORDANSTIG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22784-2025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45789</v>
      </c>
      <c r="E909" s="1" t="n">
        <v>46275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46031</v>
      </c>
      <c r="E910" s="1" t="n">
        <v>46275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51681-2025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46275</v>
      </c>
      <c r="F911" t="inlineStr">
        <is>
          <t>GÄVLEBORGS LÄN</t>
        </is>
      </c>
      <c r="G911" t="inlineStr">
        <is>
          <t>NORDANSTIG</t>
        </is>
      </c>
      <c r="I911" t="n">
        <v>9.1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37640-2025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45880</v>
      </c>
      <c r="E912" s="1" t="n">
        <v>46275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6.8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11582-2026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46084</v>
      </c>
      <c r="E913" s="1" t="n">
        <v>46275</v>
      </c>
      <c r="F913" t="inlineStr">
        <is>
          <t>GÄVLEBORGS LÄN</t>
        </is>
      </c>
      <c r="G913" t="inlineStr">
        <is>
          <t>NORDANSTIG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38514-2025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45884</v>
      </c>
      <c r="E914" s="1" t="n">
        <v>46275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21118-2026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46146</v>
      </c>
      <c r="E915" s="1" t="n">
        <v>46275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46055</v>
      </c>
      <c r="E916" s="1" t="n">
        <v>46275</v>
      </c>
      <c r="F916" t="inlineStr">
        <is>
          <t>GÄVLEBORGS LÄN</t>
        </is>
      </c>
      <c r="G916" t="inlineStr">
        <is>
          <t>NORDANSTIG</t>
        </is>
      </c>
      <c r="I916" t="n">
        <v>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17254-2026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46119</v>
      </c>
      <c r="E917" s="1" t="n">
        <v>46275</v>
      </c>
      <c r="F917" t="inlineStr">
        <is>
          <t>GÄVLEBORGS LÄN</t>
        </is>
      </c>
      <c r="G917" t="inlineStr">
        <is>
          <t>NORDANSTIG</t>
        </is>
      </c>
      <c r="I917" t="n">
        <v>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46030</v>
      </c>
      <c r="E918" s="1" t="n">
        <v>46275</v>
      </c>
      <c r="F918" t="inlineStr">
        <is>
          <t>GÄVLEBORGS LÄN</t>
        </is>
      </c>
      <c r="G918" t="inlineStr">
        <is>
          <t>NORDANSTIG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2862-2026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46038</v>
      </c>
      <c r="E919" s="1" t="n">
        <v>46275</v>
      </c>
      <c r="F919" t="inlineStr">
        <is>
          <t>GÄVLEBORGS LÄN</t>
        </is>
      </c>
      <c r="G919" t="inlineStr">
        <is>
          <t>NORDANSTIG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21055-2026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46146</v>
      </c>
      <c r="E920" s="1" t="n">
        <v>46275</v>
      </c>
      <c r="F920" t="inlineStr">
        <is>
          <t>GÄVLEBORGS LÄN</t>
        </is>
      </c>
      <c r="G920" t="inlineStr">
        <is>
          <t>NORDANSTIG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1975-2026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46275</v>
      </c>
      <c r="F921" t="inlineStr">
        <is>
          <t>GÄVLEBORGS LÄN</t>
        </is>
      </c>
      <c r="G921" t="inlineStr">
        <is>
          <t>NORDANSTIG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21093-2026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46275</v>
      </c>
      <c r="F922" t="inlineStr">
        <is>
          <t>GÄVLEBORGS LÄN</t>
        </is>
      </c>
      <c r="G922" t="inlineStr">
        <is>
          <t>NORDANSTIG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21060-2026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46146</v>
      </c>
      <c r="E923" s="1" t="n">
        <v>46275</v>
      </c>
      <c r="F923" t="inlineStr">
        <is>
          <t>GÄVLEBORGS LÄN</t>
        </is>
      </c>
      <c r="G923" t="inlineStr">
        <is>
          <t>NORDANSTIG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10680-2026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46078</v>
      </c>
      <c r="E924" s="1" t="n">
        <v>46275</v>
      </c>
      <c r="F924" t="inlineStr">
        <is>
          <t>GÄVLEBORGS LÄN</t>
        </is>
      </c>
      <c r="G924" t="inlineStr">
        <is>
          <t>NORDANSTIG</t>
        </is>
      </c>
      <c r="I924" t="n">
        <v>10.9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21648-2026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46149</v>
      </c>
      <c r="E925" s="1" t="n">
        <v>46275</v>
      </c>
      <c r="F925" t="inlineStr">
        <is>
          <t>GÄVLEBORGS LÄN</t>
        </is>
      </c>
      <c r="G925" t="inlineStr">
        <is>
          <t>NORDANSTIG</t>
        </is>
      </c>
      <c r="I925" t="n">
        <v>4.6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21661-2026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46149</v>
      </c>
      <c r="E926" s="1" t="n">
        <v>46275</v>
      </c>
      <c r="F926" t="inlineStr">
        <is>
          <t>GÄVLEBORGS LÄN</t>
        </is>
      </c>
      <c r="G926" t="inlineStr">
        <is>
          <t>NORDANSTIG</t>
        </is>
      </c>
      <c r="I926" t="n">
        <v>10.7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46275</v>
      </c>
      <c r="F927" t="inlineStr">
        <is>
          <t>GÄVLEBORGS LÄN</t>
        </is>
      </c>
      <c r="G927" t="inlineStr">
        <is>
          <t>NORDANSTIG</t>
        </is>
      </c>
      <c r="I927" t="n">
        <v>15.6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18691-2026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46275</v>
      </c>
      <c r="F928" t="inlineStr">
        <is>
          <t>GÄVLEBORGS LÄN</t>
        </is>
      </c>
      <c r="G928" t="inlineStr">
        <is>
          <t>NORDANSTIG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5981-2026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46052</v>
      </c>
      <c r="E929" s="1" t="n">
        <v>46275</v>
      </c>
      <c r="F929" t="inlineStr">
        <is>
          <t>GÄVLEBORGS LÄN</t>
        </is>
      </c>
      <c r="G929" t="inlineStr">
        <is>
          <t>NORDANSTIG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46026</v>
      </c>
      <c r="E930" s="1" t="n">
        <v>46275</v>
      </c>
      <c r="F930" t="inlineStr">
        <is>
          <t>GÄVLEBORGS LÄN</t>
        </is>
      </c>
      <c r="G930" t="inlineStr">
        <is>
          <t>NORDANSTIG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46042</v>
      </c>
      <c r="E931" s="1" t="n">
        <v>46275</v>
      </c>
      <c r="F931" t="inlineStr">
        <is>
          <t>GÄVLEBORGS LÄN</t>
        </is>
      </c>
      <c r="G931" t="inlineStr">
        <is>
          <t>NORDANSTIG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17283-2026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46119</v>
      </c>
      <c r="E932" s="1" t="n">
        <v>46275</v>
      </c>
      <c r="F932" t="inlineStr">
        <is>
          <t>GÄVLEBORGS LÄN</t>
        </is>
      </c>
      <c r="G932" t="inlineStr">
        <is>
          <t>NORDANSTIG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51560-2023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45222</v>
      </c>
      <c r="E933" s="1" t="n">
        <v>46275</v>
      </c>
      <c r="F933" t="inlineStr">
        <is>
          <t>GÄVLEBORGS LÄN</t>
        </is>
      </c>
      <c r="G933" t="inlineStr">
        <is>
          <t>NORDANSTIG</t>
        </is>
      </c>
      <c r="I933" t="n">
        <v>26.9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22621-2026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46155</v>
      </c>
      <c r="E934" s="1" t="n">
        <v>46275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14532-2026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46100</v>
      </c>
      <c r="E935" s="1" t="n">
        <v>46275</v>
      </c>
      <c r="F935" t="inlineStr">
        <is>
          <t>GÄVLEBORGS LÄN</t>
        </is>
      </c>
      <c r="G935" t="inlineStr">
        <is>
          <t>NORDANSTIG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22607-2026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46155</v>
      </c>
      <c r="E936" s="1" t="n">
        <v>46275</v>
      </c>
      <c r="F936" t="inlineStr">
        <is>
          <t>GÄVLEBORGS LÄN</t>
        </is>
      </c>
      <c r="G936" t="inlineStr">
        <is>
          <t>NORDANSTIG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46275</v>
      </c>
      <c r="F937" t="inlineStr">
        <is>
          <t>GÄVLEBORGS LÄN</t>
        </is>
      </c>
      <c r="G937" t="inlineStr">
        <is>
          <t>NORDANSTIG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22733-2026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46157</v>
      </c>
      <c r="E938" s="1" t="n">
        <v>46275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23002-2026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46160</v>
      </c>
      <c r="E939" s="1" t="n">
        <v>46275</v>
      </c>
      <c r="F939" t="inlineStr">
        <is>
          <t>GÄVLEBORGS LÄN</t>
        </is>
      </c>
      <c r="G939" t="inlineStr">
        <is>
          <t>NORDANSTIG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19906-2026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46136</v>
      </c>
      <c r="E940" s="1" t="n">
        <v>46275</v>
      </c>
      <c r="F940" t="inlineStr">
        <is>
          <t>GÄVLEBORGS LÄN</t>
        </is>
      </c>
      <c r="G940" t="inlineStr">
        <is>
          <t>NORDANSTIG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16434-2026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46111</v>
      </c>
      <c r="E941" s="1" t="n">
        <v>46275</v>
      </c>
      <c r="F941" t="inlineStr">
        <is>
          <t>GÄVLEBORGS LÄN</t>
        </is>
      </c>
      <c r="G941" t="inlineStr">
        <is>
          <t>NORDANSTIG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5746-2026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46051</v>
      </c>
      <c r="E942" s="1" t="n">
        <v>46275</v>
      </c>
      <c r="F942" t="inlineStr">
        <is>
          <t>GÄVLEBORGS LÄN</t>
        </is>
      </c>
      <c r="G942" t="inlineStr">
        <is>
          <t>NORDANSTIG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46043</v>
      </c>
      <c r="E943" s="1" t="n">
        <v>46275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23039-2026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46275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23764-2026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46164</v>
      </c>
      <c r="E945" s="1" t="n">
        <v>46275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23506-2026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46163</v>
      </c>
      <c r="E946" s="1" t="n">
        <v>46275</v>
      </c>
      <c r="F946" t="inlineStr">
        <is>
          <t>GÄVLEBORGS LÄN</t>
        </is>
      </c>
      <c r="G946" t="inlineStr">
        <is>
          <t>NORDANSTIG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23654-2026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46164</v>
      </c>
      <c r="E947" s="1" t="n">
        <v>46275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24178-2026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46168</v>
      </c>
      <c r="E948" s="1" t="n">
        <v>46275</v>
      </c>
      <c r="F948" t="inlineStr">
        <is>
          <t>GÄVLEBORGS LÄN</t>
        </is>
      </c>
      <c r="G948" t="inlineStr">
        <is>
          <t>NORDANSTIG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46275</v>
      </c>
      <c r="F949" t="inlineStr">
        <is>
          <t>GÄVLEBORGS LÄN</t>
        </is>
      </c>
      <c r="G949" t="inlineStr">
        <is>
          <t>NORDANSTIG</t>
        </is>
      </c>
      <c r="I949" t="n">
        <v>18.1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23867-2026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46167</v>
      </c>
      <c r="E950" s="1" t="n">
        <v>46275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23900-2026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46167</v>
      </c>
      <c r="E951" s="1" t="n">
        <v>46275</v>
      </c>
      <c r="F951" t="inlineStr">
        <is>
          <t>GÄVLEBORGS LÄN</t>
        </is>
      </c>
      <c r="G951" t="inlineStr">
        <is>
          <t>NORDANSTIG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24265-2026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46169</v>
      </c>
      <c r="E952" s="1" t="n">
        <v>46275</v>
      </c>
      <c r="F952" t="inlineStr">
        <is>
          <t>GÄVLEBORGS LÄN</t>
        </is>
      </c>
      <c r="G952" t="inlineStr">
        <is>
          <t>NORDANSTIG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1034-2026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46030</v>
      </c>
      <c r="E953" s="1" t="n">
        <v>46275</v>
      </c>
      <c r="F953" t="inlineStr">
        <is>
          <t>GÄVLEBORGS LÄN</t>
        </is>
      </c>
      <c r="G953" t="inlineStr">
        <is>
          <t>NORDANSTIG</t>
        </is>
      </c>
      <c r="I953" t="n">
        <v>11.5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24612-2026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46171</v>
      </c>
      <c r="E954" s="1" t="n">
        <v>46275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24646-2026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46171</v>
      </c>
      <c r="E955" s="1" t="n">
        <v>46275</v>
      </c>
      <c r="F955" t="inlineStr">
        <is>
          <t>GÄVLEBORGS LÄN</t>
        </is>
      </c>
      <c r="G955" t="inlineStr">
        <is>
          <t>NORDANSTIG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46043</v>
      </c>
      <c r="E956" s="1" t="n">
        <v>46275</v>
      </c>
      <c r="F956" t="inlineStr">
        <is>
          <t>GÄVLEBORGS LÄN</t>
        </is>
      </c>
      <c r="G956" t="inlineStr">
        <is>
          <t>NORDANSTIG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46275</v>
      </c>
      <c r="F957" t="inlineStr">
        <is>
          <t>GÄVLEBORGS LÄN</t>
        </is>
      </c>
      <c r="G957" t="inlineStr">
        <is>
          <t>NORDANSTIG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24518-2026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46170</v>
      </c>
      <c r="E958" s="1" t="n">
        <v>46275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24623-2026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46171</v>
      </c>
      <c r="E959" s="1" t="n">
        <v>46275</v>
      </c>
      <c r="F959" t="inlineStr">
        <is>
          <t>GÄVLEBORGS LÄN</t>
        </is>
      </c>
      <c r="G959" t="inlineStr">
        <is>
          <t>NORDANSTIG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24500-2026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46275</v>
      </c>
      <c r="F960" t="inlineStr">
        <is>
          <t>GÄVLEBORGS LÄN</t>
        </is>
      </c>
      <c r="G960" t="inlineStr">
        <is>
          <t>NORDANSTIG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3492-2026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46275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25166-2026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46175</v>
      </c>
      <c r="E962" s="1" t="n">
        <v>46275</v>
      </c>
      <c r="F962" t="inlineStr">
        <is>
          <t>GÄVLEBORGS LÄN</t>
        </is>
      </c>
      <c r="G962" t="inlineStr">
        <is>
          <t>NORDANSTIG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1849-2026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46035</v>
      </c>
      <c r="E963" s="1" t="n">
        <v>46275</v>
      </c>
      <c r="F963" t="inlineStr">
        <is>
          <t>GÄVLEBORGS LÄN</t>
        </is>
      </c>
      <c r="G963" t="inlineStr">
        <is>
          <t>NORDANSTIG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25089-2026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46175</v>
      </c>
      <c r="E964" s="1" t="n">
        <v>46275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25406-2026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46176</v>
      </c>
      <c r="E965" s="1" t="n">
        <v>46275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25586-2026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46177</v>
      </c>
      <c r="E966" s="1" t="n">
        <v>46275</v>
      </c>
      <c r="F966" t="inlineStr">
        <is>
          <t>GÄVLEBORGS LÄN</t>
        </is>
      </c>
      <c r="G966" t="inlineStr">
        <is>
          <t>NORDANSTIG</t>
        </is>
      </c>
      <c r="H966" t="inlineStr">
        <is>
          <t>SCA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46042</v>
      </c>
      <c r="E967" s="1" t="n">
        <v>46275</v>
      </c>
      <c r="F967" t="inlineStr">
        <is>
          <t>GÄVLEBORGS LÄN</t>
        </is>
      </c>
      <c r="G967" t="inlineStr">
        <is>
          <t>NORDANSTIG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20133-2026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46136</v>
      </c>
      <c r="E968" s="1" t="n">
        <v>46275</v>
      </c>
      <c r="F968" t="inlineStr">
        <is>
          <t>GÄVLEBORGS LÄN</t>
        </is>
      </c>
      <c r="G968" t="inlineStr">
        <is>
          <t>NORDANSTIG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10910-2026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46079</v>
      </c>
      <c r="E969" s="1" t="n">
        <v>46275</v>
      </c>
      <c r="F969" t="inlineStr">
        <is>
          <t>GÄVLEBORGS LÄN</t>
        </is>
      </c>
      <c r="G969" t="inlineStr">
        <is>
          <t>NORDANSTIG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25633-2026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46177</v>
      </c>
      <c r="E970" s="1" t="n">
        <v>46275</v>
      </c>
      <c r="F970" t="inlineStr">
        <is>
          <t>GÄVLEBORGS LÄN</t>
        </is>
      </c>
      <c r="G970" t="inlineStr">
        <is>
          <t>NORDANSTIG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16640-2025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45754</v>
      </c>
      <c r="E971" s="1" t="n">
        <v>46275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11627-2026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46275</v>
      </c>
      <c r="F972" t="inlineStr">
        <is>
          <t>GÄVLEBORGS LÄN</t>
        </is>
      </c>
      <c r="G972" t="inlineStr">
        <is>
          <t>NORDANSTIG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26126-2026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46181</v>
      </c>
      <c r="E973" s="1" t="n">
        <v>46275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26044-2026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46181</v>
      </c>
      <c r="E974" s="1" t="n">
        <v>46275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46051</v>
      </c>
      <c r="E975" s="1" t="n">
        <v>46275</v>
      </c>
      <c r="F975" t="inlineStr">
        <is>
          <t>GÄVLEBORGS LÄN</t>
        </is>
      </c>
      <c r="G975" t="inlineStr">
        <is>
          <t>NORDANSTIG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46043</v>
      </c>
      <c r="E976" s="1" t="n">
        <v>46275</v>
      </c>
      <c r="F976" t="inlineStr">
        <is>
          <t>GÄVLEBORGS LÄN</t>
        </is>
      </c>
      <c r="G976" t="inlineStr">
        <is>
          <t>NORDANSTIG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25931-2026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46179</v>
      </c>
      <c r="E977" s="1" t="n">
        <v>46275</v>
      </c>
      <c r="F977" t="inlineStr">
        <is>
          <t>GÄVLEBORGS LÄN</t>
        </is>
      </c>
      <c r="G977" t="inlineStr">
        <is>
          <t>NORDANSTIG</t>
        </is>
      </c>
      <c r="I977" t="n">
        <v>8.4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25704-2026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46275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5.1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26486-2026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46183</v>
      </c>
      <c r="E979" s="1" t="n">
        <v>46275</v>
      </c>
      <c r="F979" t="inlineStr">
        <is>
          <t>GÄVLEBORGS LÄN</t>
        </is>
      </c>
      <c r="G979" t="inlineStr">
        <is>
          <t>NORDANSTIG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26238-2026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46182</v>
      </c>
      <c r="E980" s="1" t="n">
        <v>46275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SCA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26842-2026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46185</v>
      </c>
      <c r="E981" s="1" t="n">
        <v>46275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50.7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26838-2026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46185</v>
      </c>
      <c r="E982" s="1" t="n">
        <v>46275</v>
      </c>
      <c r="F982" t="inlineStr">
        <is>
          <t>GÄVLEBORGS LÄN</t>
        </is>
      </c>
      <c r="G982" t="inlineStr">
        <is>
          <t>NORDANSTIG</t>
        </is>
      </c>
      <c r="H982" t="inlineStr">
        <is>
          <t>SCA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26634-2026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46184</v>
      </c>
      <c r="E983" s="1" t="n">
        <v>46275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26893-2026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46185</v>
      </c>
      <c r="E984" s="1" t="n">
        <v>46275</v>
      </c>
      <c r="F984" t="inlineStr">
        <is>
          <t>GÄVLEBORGS LÄN</t>
        </is>
      </c>
      <c r="G984" t="inlineStr">
        <is>
          <t>NORDANSTIG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26684-2026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46184</v>
      </c>
      <c r="E985" s="1" t="n">
        <v>46275</v>
      </c>
      <c r="F985" t="inlineStr">
        <is>
          <t>GÄVLEBORGS LÄN</t>
        </is>
      </c>
      <c r="G985" t="inlineStr">
        <is>
          <t>NORDANSTIG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27114-2026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46275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36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27129-2026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46275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41773-2025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45902</v>
      </c>
      <c r="E988" s="1" t="n">
        <v>46275</v>
      </c>
      <c r="F988" t="inlineStr">
        <is>
          <t>GÄVLEBORGS LÄN</t>
        </is>
      </c>
      <c r="G988" t="inlineStr">
        <is>
          <t>NORDANSTIG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27149-2026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46275</v>
      </c>
      <c r="F989" t="inlineStr">
        <is>
          <t>GÄVLEBORGS LÄN</t>
        </is>
      </c>
      <c r="G989" t="inlineStr">
        <is>
          <t>NORDANSTIG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27236-2026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46275</v>
      </c>
      <c r="F990" t="inlineStr">
        <is>
          <t>GÄVLEBORGS LÄN</t>
        </is>
      </c>
      <c r="G990" t="inlineStr">
        <is>
          <t>NORDANSTIG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27183-2026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46275</v>
      </c>
      <c r="F991" t="inlineStr">
        <is>
          <t>GÄVLEBORGS LÄN</t>
        </is>
      </c>
      <c r="G991" t="inlineStr">
        <is>
          <t>NORDANSTIG</t>
        </is>
      </c>
      <c r="I991" t="n">
        <v>4.5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46275</v>
      </c>
      <c r="F992" t="inlineStr">
        <is>
          <t>GÄVLEBORGS LÄN</t>
        </is>
      </c>
      <c r="G992" t="inlineStr">
        <is>
          <t>NORDANSTIG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32092-2026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46234</v>
      </c>
      <c r="E993" s="1" t="n">
        <v>46275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27975-2026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46195</v>
      </c>
      <c r="E994" s="1" t="n">
        <v>46275</v>
      </c>
      <c r="F994" t="inlineStr">
        <is>
          <t>GÄVLEBORGS LÄN</t>
        </is>
      </c>
      <c r="G994" t="inlineStr">
        <is>
          <t>NORDANSTIG</t>
        </is>
      </c>
      <c r="I994" t="n">
        <v>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27976-2026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46195</v>
      </c>
      <c r="E995" s="1" t="n">
        <v>46275</v>
      </c>
      <c r="F995" t="inlineStr">
        <is>
          <t>GÄVLEBORGS LÄN</t>
        </is>
      </c>
      <c r="G995" t="inlineStr">
        <is>
          <t>NORDANSTIG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27981-2026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46195</v>
      </c>
      <c r="E996" s="1" t="n">
        <v>46275</v>
      </c>
      <c r="F996" t="inlineStr">
        <is>
          <t>GÄVLEBORGS LÄN</t>
        </is>
      </c>
      <c r="G996" t="inlineStr">
        <is>
          <t>NORDANSTIG</t>
        </is>
      </c>
      <c r="I996" t="n">
        <v>3.9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32340-2026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46238</v>
      </c>
      <c r="E997" s="1" t="n">
        <v>46275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28529-2026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46197</v>
      </c>
      <c r="E998" s="1" t="n">
        <v>46275</v>
      </c>
      <c r="F998" t="inlineStr">
        <is>
          <t>GÄVLEBORGS LÄN</t>
        </is>
      </c>
      <c r="G998" t="inlineStr">
        <is>
          <t>NORDANSTIG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28370-2026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46196</v>
      </c>
      <c r="E999" s="1" t="n">
        <v>46275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28391-2026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46196</v>
      </c>
      <c r="E1000" s="1" t="n">
        <v>46275</v>
      </c>
      <c r="F1000" t="inlineStr">
        <is>
          <t>GÄVLEBORGS LÄN</t>
        </is>
      </c>
      <c r="G1000" t="inlineStr">
        <is>
          <t>NORDANSTIG</t>
        </is>
      </c>
      <c r="I1000" t="n">
        <v>4.1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28226-2026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46196</v>
      </c>
      <c r="E1001" s="1" t="n">
        <v>46275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28777-2026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46275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25821-2026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46178</v>
      </c>
      <c r="E1003" s="1" t="n">
        <v>46275</v>
      </c>
      <c r="F1003" t="inlineStr">
        <is>
          <t>GÄVLEBORGS LÄN</t>
        </is>
      </c>
      <c r="G1003" t="inlineStr">
        <is>
          <t>NORDANSTIG</t>
        </is>
      </c>
      <c r="I1003" t="n">
        <v>11.2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32917-2026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46244</v>
      </c>
      <c r="E1004" s="1" t="n">
        <v>46275</v>
      </c>
      <c r="F1004" t="inlineStr">
        <is>
          <t>GÄVLEBORGS LÄN</t>
        </is>
      </c>
      <c r="G1004" t="inlineStr">
        <is>
          <t>NORDANSTIG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28739-2026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46198</v>
      </c>
      <c r="E1005" s="1" t="n">
        <v>46275</v>
      </c>
      <c r="F1005" t="inlineStr">
        <is>
          <t>GÄVLEBORGS LÄN</t>
        </is>
      </c>
      <c r="G1005" t="inlineStr">
        <is>
          <t>NORDANSTIG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32938-2026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46275</v>
      </c>
      <c r="F1006" t="inlineStr">
        <is>
          <t>GÄVLEBORGS LÄN</t>
        </is>
      </c>
      <c r="G1006" t="inlineStr">
        <is>
          <t>NORDANSTIG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28724-2026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46198</v>
      </c>
      <c r="E1007" s="1" t="n">
        <v>46275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28734-2026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46275</v>
      </c>
      <c r="F1008" t="inlineStr">
        <is>
          <t>GÄVLEBORGS LÄN</t>
        </is>
      </c>
      <c r="G1008" t="inlineStr">
        <is>
          <t>NORDANSTIG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32726-2026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46241</v>
      </c>
      <c r="E1009" s="1" t="n">
        <v>46275</v>
      </c>
      <c r="F1009" t="inlineStr">
        <is>
          <t>GÄVLEBORGS LÄN</t>
        </is>
      </c>
      <c r="G1009" t="inlineStr">
        <is>
          <t>NORDANSTIG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29162-2026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46202</v>
      </c>
      <c r="E1010" s="1" t="n">
        <v>46275</v>
      </c>
      <c r="F1010" t="inlineStr">
        <is>
          <t>GÄVLEBORGS LÄN</t>
        </is>
      </c>
      <c r="G1010" t="inlineStr">
        <is>
          <t>NORDANSTIG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29733-2026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46204</v>
      </c>
      <c r="E1011" s="1" t="n">
        <v>46275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8.800000000000001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33884-2026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46251</v>
      </c>
      <c r="E1012" s="1" t="n">
        <v>46275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30428-2026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46209</v>
      </c>
      <c r="E1013" s="1" t="n">
        <v>46275</v>
      </c>
      <c r="F1013" t="inlineStr">
        <is>
          <t>GÄVLEBORGS LÄN</t>
        </is>
      </c>
      <c r="G1013" t="inlineStr">
        <is>
          <t>NORDANSTIG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30259-2026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46206</v>
      </c>
      <c r="E1014" s="1" t="n">
        <v>46275</v>
      </c>
      <c r="F1014" t="inlineStr">
        <is>
          <t>GÄVLEBORGS LÄN</t>
        </is>
      </c>
      <c r="G1014" t="inlineStr">
        <is>
          <t>NORDANSTIG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30267-2026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46275</v>
      </c>
      <c r="F1015" t="inlineStr">
        <is>
          <t>GÄVLEBORGS LÄN</t>
        </is>
      </c>
      <c r="G1015" t="inlineStr">
        <is>
          <t>NORDANSTIG</t>
        </is>
      </c>
      <c r="I1015" t="n">
        <v>8.1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30263-2026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46206</v>
      </c>
      <c r="E1016" s="1" t="n">
        <v>46275</v>
      </c>
      <c r="F1016" t="inlineStr">
        <is>
          <t>GÄVLEBORGS LÄN</t>
        </is>
      </c>
      <c r="G1016" t="inlineStr">
        <is>
          <t>NORDANSTIG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30390-2026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46209</v>
      </c>
      <c r="E1017" s="1" t="n">
        <v>46275</v>
      </c>
      <c r="F1017" t="inlineStr">
        <is>
          <t>GÄVLEBORGS LÄN</t>
        </is>
      </c>
      <c r="G1017" t="inlineStr">
        <is>
          <t>NORDANSTIG</t>
        </is>
      </c>
      <c r="I1017" t="n">
        <v>9.199999999999999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30391-2026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46209</v>
      </c>
      <c r="E1018" s="1" t="n">
        <v>46275</v>
      </c>
      <c r="F1018" t="inlineStr">
        <is>
          <t>GÄVLEBORGS LÄN</t>
        </is>
      </c>
      <c r="G1018" t="inlineStr">
        <is>
          <t>NORDANSTIG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30431-2026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46209</v>
      </c>
      <c r="E1019" s="1" t="n">
        <v>46275</v>
      </c>
      <c r="F1019" t="inlineStr">
        <is>
          <t>GÄVLEBORGS LÄN</t>
        </is>
      </c>
      <c r="G1019" t="inlineStr">
        <is>
          <t>NORDANSTIG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34229-2026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46275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34235-2026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46253</v>
      </c>
      <c r="E1021" s="1" t="n">
        <v>46275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34248-2026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46253</v>
      </c>
      <c r="E1022" s="1" t="n">
        <v>46275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8646-2026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46066</v>
      </c>
      <c r="E1023" s="1" t="n">
        <v>46275</v>
      </c>
      <c r="F1023" t="inlineStr">
        <is>
          <t>GÄVLEBORGS LÄN</t>
        </is>
      </c>
      <c r="G1023" t="inlineStr">
        <is>
          <t>NORDANSTIG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34212-2026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46275</v>
      </c>
      <c r="F1024" t="inlineStr">
        <is>
          <t>GÄVLEBORGS LÄN</t>
        </is>
      </c>
      <c r="G1024" t="inlineStr">
        <is>
          <t>NORDANSTIG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34542-2026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46255</v>
      </c>
      <c r="E1025" s="1" t="n">
        <v>46275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31365-2026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46213</v>
      </c>
      <c r="E1026" s="1" t="n">
        <v>46275</v>
      </c>
      <c r="F1026" t="inlineStr">
        <is>
          <t>GÄVLEBORGS LÄN</t>
        </is>
      </c>
      <c r="G1026" t="inlineStr">
        <is>
          <t>NORDANSTIG</t>
        </is>
      </c>
      <c r="I1026" t="n">
        <v>4.8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30899-2026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46213</v>
      </c>
      <c r="E1027" s="1" t="n">
        <v>46275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34475-2026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46254</v>
      </c>
      <c r="E1028" s="1" t="n">
        <v>46275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SCA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46275</v>
      </c>
      <c r="F1029" t="inlineStr">
        <is>
          <t>GÄVLEBORGS LÄN</t>
        </is>
      </c>
      <c r="G1029" t="inlineStr">
        <is>
          <t>NORDANSTIG</t>
        </is>
      </c>
      <c r="I1029" t="n">
        <v>14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31366-2026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46213</v>
      </c>
      <c r="E1030" s="1" t="n">
        <v>46275</v>
      </c>
      <c r="F1030" t="inlineStr">
        <is>
          <t>GÄVLEBORGS LÄN</t>
        </is>
      </c>
      <c r="G1030" t="inlineStr">
        <is>
          <t>NORDANSTIG</t>
        </is>
      </c>
      <c r="I1030" t="n">
        <v>9.6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34693-2026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46258</v>
      </c>
      <c r="E1031" s="1" t="n">
        <v>46275</v>
      </c>
      <c r="F1031" t="inlineStr">
        <is>
          <t>GÄVLEBORGS LÄN</t>
        </is>
      </c>
      <c r="G1031" t="inlineStr">
        <is>
          <t>NORDANSTIG</t>
        </is>
      </c>
      <c r="I1031" t="n">
        <v>9.199999999999999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26671-2026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46184</v>
      </c>
      <c r="E1032" s="1" t="n">
        <v>46275</v>
      </c>
      <c r="F1032" t="inlineStr">
        <is>
          <t>GÄVLEBORGS LÄN</t>
        </is>
      </c>
      <c r="G1032" t="inlineStr">
        <is>
          <t>NORDANSTIG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34999-2026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46275</v>
      </c>
      <c r="F1033" t="inlineStr">
        <is>
          <t>GÄVLEBORGS LÄN</t>
        </is>
      </c>
      <c r="G1033" t="inlineStr">
        <is>
          <t>NORDANSTIG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34998-2026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46259</v>
      </c>
      <c r="E1034" s="1" t="n">
        <v>46275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35546-2026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46262</v>
      </c>
      <c r="E1035" s="1" t="n">
        <v>46275</v>
      </c>
      <c r="F1035" t="inlineStr">
        <is>
          <t>GÄVLEBORGS LÄN</t>
        </is>
      </c>
      <c r="G1035" t="inlineStr">
        <is>
          <t>NORDANSTIG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46184</v>
      </c>
      <c r="E1036" s="1" t="n">
        <v>46275</v>
      </c>
      <c r="F1036" t="inlineStr">
        <is>
          <t>GÄVLEBORGS LÄN</t>
        </is>
      </c>
      <c r="G1036" t="inlineStr">
        <is>
          <t>NORDANSTIG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35342-2026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46261</v>
      </c>
      <c r="E1037" s="1" t="n">
        <v>46275</v>
      </c>
      <c r="F1037" t="inlineStr">
        <is>
          <t>GÄVLEBORGS LÄN</t>
        </is>
      </c>
      <c r="G1037" t="inlineStr">
        <is>
          <t>NORDANSTIG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26696-2026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46184</v>
      </c>
      <c r="E1038" s="1" t="n">
        <v>46275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31385-2026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46220</v>
      </c>
      <c r="E1039" s="1" t="n">
        <v>46275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31500-2026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46223</v>
      </c>
      <c r="E1040" s="1" t="n">
        <v>46275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6.2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31422-2026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46220</v>
      </c>
      <c r="E1041" s="1" t="n">
        <v>46275</v>
      </c>
      <c r="F1041" t="inlineStr">
        <is>
          <t>GÄVLEBORGS LÄN</t>
        </is>
      </c>
      <c r="G1041" t="inlineStr">
        <is>
          <t>NORDANSTIG</t>
        </is>
      </c>
      <c r="I1041" t="n">
        <v>3.8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31538-2026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46223</v>
      </c>
      <c r="E1042" s="1" t="n">
        <v>46275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35782-2026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46265</v>
      </c>
      <c r="E1043" s="1" t="n">
        <v>46275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31406-2026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46220</v>
      </c>
      <c r="E1044" s="1" t="n">
        <v>46275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31423-2026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46275</v>
      </c>
      <c r="F1045" t="inlineStr">
        <is>
          <t>GÄVLEBORGS LÄN</t>
        </is>
      </c>
      <c r="G1045" t="inlineStr">
        <is>
          <t>NORDANSTIG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62496-2025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46007</v>
      </c>
      <c r="E1046" s="1" t="n">
        <v>46275</v>
      </c>
      <c r="F1046" t="inlineStr">
        <is>
          <t>GÄVLEBORGS LÄN</t>
        </is>
      </c>
      <c r="G1046" t="inlineStr">
        <is>
          <t>NORDANSTIG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62495-2025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46007</v>
      </c>
      <c r="E1047" s="1" t="n">
        <v>46275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31708-2026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46226</v>
      </c>
      <c r="E1048" s="1" t="n">
        <v>46275</v>
      </c>
      <c r="F1048" t="inlineStr">
        <is>
          <t>GÄVLEBORGS LÄN</t>
        </is>
      </c>
      <c r="G1048" t="inlineStr">
        <is>
          <t>NORDANSTIG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36432-2026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46269</v>
      </c>
      <c r="E1049" s="1" t="n">
        <v>46275</v>
      </c>
      <c r="F1049" t="inlineStr">
        <is>
          <t>GÄVLEBORGS LÄN</t>
        </is>
      </c>
      <c r="G1049" t="inlineStr">
        <is>
          <t>NORDANSTIG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31732-2026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46227</v>
      </c>
      <c r="E1050" s="1" t="n">
        <v>46275</v>
      </c>
      <c r="F1050" t="inlineStr">
        <is>
          <t>GÄVLEBORGS LÄN</t>
        </is>
      </c>
      <c r="G1050" t="inlineStr">
        <is>
          <t>NORDANSTIG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36825-2026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46272</v>
      </c>
      <c r="E1051" s="1" t="n">
        <v>46275</v>
      </c>
      <c r="F1051" t="inlineStr">
        <is>
          <t>GÄVLEBORGS LÄN</t>
        </is>
      </c>
      <c r="G1051" t="inlineStr">
        <is>
          <t>NORDANSTIG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36714-2026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46272</v>
      </c>
      <c r="E1052" s="1" t="n">
        <v>46275</v>
      </c>
      <c r="F1052" t="inlineStr">
        <is>
          <t>GÄVLEBORGS LÄN</t>
        </is>
      </c>
      <c r="G1052" t="inlineStr">
        <is>
          <t>NORDANSTIG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31698-2026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46226</v>
      </c>
      <c r="E1053" s="1" t="n">
        <v>46275</v>
      </c>
      <c r="F1053" t="inlineStr">
        <is>
          <t>GÄVLEBORGS LÄN</t>
        </is>
      </c>
      <c r="G1053" t="inlineStr">
        <is>
          <t>NORDANSTIG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37241-2026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46274</v>
      </c>
      <c r="E1054" s="1" t="n">
        <v>46275</v>
      </c>
      <c r="F1054" t="inlineStr">
        <is>
          <t>GÄVLEBORGS LÄN</t>
        </is>
      </c>
      <c r="G1054" t="inlineStr">
        <is>
          <t>NORDANSTIG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37013-2026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46273</v>
      </c>
      <c r="E1055" s="1" t="n">
        <v>46275</v>
      </c>
      <c r="F1055" t="inlineStr">
        <is>
          <t>GÄVLEBORGS LÄN</t>
        </is>
      </c>
      <c r="G1055" t="inlineStr">
        <is>
          <t>NORDANSTIG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37028-2026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46273</v>
      </c>
      <c r="E1056" s="1" t="n">
        <v>46275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SCA</t>
        </is>
      </c>
      <c r="I1056" t="n">
        <v>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31894-2026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46231</v>
      </c>
      <c r="E1057" s="1" t="n">
        <v>46275</v>
      </c>
      <c r="F1057" t="inlineStr">
        <is>
          <t>GÄVLEBORGS LÄN</t>
        </is>
      </c>
      <c r="G1057" t="inlineStr">
        <is>
          <t>NORDANSTIG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37016-2026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46273</v>
      </c>
      <c r="E1058" s="1" t="n">
        <v>46275</v>
      </c>
      <c r="F1058" t="inlineStr">
        <is>
          <t>GÄVLEBORGS LÄN</t>
        </is>
      </c>
      <c r="G1058" t="inlineStr">
        <is>
          <t>NORDANSTIG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45650</v>
      </c>
      <c r="E1059" s="1" t="n">
        <v>46275</v>
      </c>
      <c r="F1059" t="inlineStr">
        <is>
          <t>GÄVLEBORGS LÄN</t>
        </is>
      </c>
      <c r="G1059" t="inlineStr">
        <is>
          <t>NORDANSTIG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3999-2023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39.7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3990-2023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46275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10130-2021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44538</v>
      </c>
      <c r="E1062" s="1" t="n">
        <v>46275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3983-2023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46275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131-2025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46275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46275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131.6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117-2025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46275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68.7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25-2023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44929</v>
      </c>
      <c r="E1068" s="1" t="n">
        <v>46275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1008-2024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45386</v>
      </c>
      <c r="E1070" s="1" t="n">
        <v>46275</v>
      </c>
      <c r="F1070" t="inlineStr">
        <is>
          <t>GÄVLEBORGS LÄN</t>
        </is>
      </c>
      <c r="G1070" t="inlineStr">
        <is>
          <t>NORDANSTIG</t>
        </is>
      </c>
      <c r="I1070" t="n">
        <v>6.8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3989-2023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3994-2023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127-2025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46275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3991-2023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46275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3992-2023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46275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130.4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46275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49.7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3988-2023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46275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150.6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46275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122-2025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46275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128.2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  <c r="Z1080">
        <f>HYPERLINK("https://klasma.github.io/Logging_2132/knärot/S 122-2025 karta knärot.png", "S 122-2025")</f>
        <v/>
      </c>
      <c r="AA1080">
        <f>HYPERLINK("https://klasma.github.io/Logging_2132/klagomål/S 122-2025 FSC-klagomål.docx", "S 122-2025")</f>
        <v/>
      </c>
      <c r="AB1080">
        <f>HYPERLINK("https://klasma.github.io/Logging_2132/klagomålsmail/S 122-2025 FSC-klagomål mail.docx", "S 122-2025")</f>
        <v/>
      </c>
      <c r="AC1080">
        <f>HYPERLINK("https://klasma.github.io/Logging_2132/tillsyn/S 122-2025 tillsynsbegäran.docx", "S 122-2025")</f>
        <v/>
      </c>
      <c r="AD1080">
        <f>HYPERLINK("https://klasma.github.io/Logging_2132/tillsynsmail/S 122-2025 tillsynsbegäran mail.docx", "S 122-2025")</f>
        <v/>
      </c>
    </row>
    <row r="1081">
      <c r="A1081" t="inlineStr">
        <is>
          <t>S 573-2026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46083</v>
      </c>
      <c r="E1081" s="1" t="n">
        <v>46275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SCA</t>
        </is>
      </c>
      <c r="I1081" t="n">
        <v>64.3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2026-09-10T02:11:40Z</dcterms:created>
  <dcterms:modified xmlns:dcterms="http://purl.org/dc/terms/" xmlns:xsi="http://www.w3.org/2001/XMLSchema-instance" xsi:type="dcterms:W3CDTF">2026-09-10T02:11:41Z</dcterms:modified>
</cp:coreProperties>
</file>