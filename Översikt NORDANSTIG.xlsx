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45572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45572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45572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45572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45572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45572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45572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45572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45572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45572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45572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45572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45572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45572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45572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45572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45572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45572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45572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45572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45572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36310-2024</t>
        </is>
      </c>
      <c r="B23" s="1" t="n">
        <v>45534</v>
      </c>
      <c r="C23" s="1" t="n">
        <v>45572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41576-2019</t>
        </is>
      </c>
      <c r="B24" s="1" t="n">
        <v>43699</v>
      </c>
      <c r="C24" s="1" t="n">
        <v>45572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41576-2019 artfynd.xlsx", "A 41576-2019")</f>
        <v/>
      </c>
      <c r="T24">
        <f>HYPERLINK("https://klasma.github.io/Logging_2132/kartor/A 41576-2019 karta.png", "A 41576-2019")</f>
        <v/>
      </c>
      <c r="V24">
        <f>HYPERLINK("https://klasma.github.io/Logging_2132/klagomål/A 41576-2019 FSC-klagomål.docx", "A 41576-2019")</f>
        <v/>
      </c>
      <c r="W24">
        <f>HYPERLINK("https://klasma.github.io/Logging_2132/klagomålsmail/A 41576-2019 FSC-klagomål mail.docx", "A 41576-2019")</f>
        <v/>
      </c>
      <c r="X24">
        <f>HYPERLINK("https://klasma.github.io/Logging_2132/tillsyn/A 41576-2019 tillsynsbegäran.docx", "A 41576-2019")</f>
        <v/>
      </c>
      <c r="Y24">
        <f>HYPERLINK("https://klasma.github.io/Logging_2132/tillsynsmail/A 41576-2019 tillsynsbegäran mail.docx", "A 41576-2019")</f>
        <v/>
      </c>
    </row>
    <row r="25" ht="15" customHeight="1">
      <c r="A25" t="inlineStr">
        <is>
          <t>A 68915-2019</t>
        </is>
      </c>
      <c r="B25" s="1" t="n">
        <v>43822</v>
      </c>
      <c r="C25" s="1" t="n">
        <v>45572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21.2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Långskägg</t>
        </is>
      </c>
      <c r="S25">
        <f>HYPERLINK("https://klasma.github.io/Logging_2132/artfynd/A 68915-2019 artfynd.xlsx", "A 68915-2019")</f>
        <v/>
      </c>
      <c r="T25">
        <f>HYPERLINK("https://klasma.github.io/Logging_2132/kartor/A 68915-2019 karta.png", "A 68915-2019")</f>
        <v/>
      </c>
      <c r="V25">
        <f>HYPERLINK("https://klasma.github.io/Logging_2132/klagomål/A 68915-2019 FSC-klagomål.docx", "A 68915-2019")</f>
        <v/>
      </c>
      <c r="W25">
        <f>HYPERLINK("https://klasma.github.io/Logging_2132/klagomålsmail/A 68915-2019 FSC-klagomål mail.docx", "A 68915-2019")</f>
        <v/>
      </c>
      <c r="X25">
        <f>HYPERLINK("https://klasma.github.io/Logging_2132/tillsyn/A 68915-2019 tillsynsbegäran.docx", "A 68915-2019")</f>
        <v/>
      </c>
      <c r="Y25">
        <f>HYPERLINK("https://klasma.github.io/Logging_2132/tillsynsmail/A 68915-2019 tillsynsbegäran mail.docx", "A 68915-2019")</f>
        <v/>
      </c>
    </row>
    <row r="26" ht="15" customHeight="1">
      <c r="A26" t="inlineStr">
        <is>
          <t>A 10186-2020</t>
        </is>
      </c>
      <c r="B26" s="1" t="n">
        <v>43885</v>
      </c>
      <c r="C26" s="1" t="n">
        <v>45572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Aspskinn</t>
        </is>
      </c>
      <c r="S26">
        <f>HYPERLINK("https://klasma.github.io/Logging_2132/artfynd/A 10186-2020 artfynd.xlsx", "A 10186-2020")</f>
        <v/>
      </c>
      <c r="T26">
        <f>HYPERLINK("https://klasma.github.io/Logging_2132/kartor/A 10186-2020 karta.png", "A 10186-2020")</f>
        <v/>
      </c>
      <c r="V26">
        <f>HYPERLINK("https://klasma.github.io/Logging_2132/klagomål/A 10186-2020 FSC-klagomål.docx", "A 10186-2020")</f>
        <v/>
      </c>
      <c r="W26">
        <f>HYPERLINK("https://klasma.github.io/Logging_2132/klagomålsmail/A 10186-2020 FSC-klagomål mail.docx", "A 10186-2020")</f>
        <v/>
      </c>
      <c r="X26">
        <f>HYPERLINK("https://klasma.github.io/Logging_2132/tillsyn/A 10186-2020 tillsynsbegäran.docx", "A 10186-2020")</f>
        <v/>
      </c>
      <c r="Y26">
        <f>HYPERLINK("https://klasma.github.io/Logging_2132/tillsynsmail/A 10186-2020 tillsynsbegäran mail.docx", "A 10186-2020")</f>
        <v/>
      </c>
    </row>
    <row r="27" ht="15" customHeight="1">
      <c r="A27" t="inlineStr">
        <is>
          <t>A 24130-2020</t>
        </is>
      </c>
      <c r="B27" s="1" t="n">
        <v>43973</v>
      </c>
      <c r="C27" s="1" t="n">
        <v>45572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HYPERLINK("https://klasma.github.io/Logging_2132/artfynd/A 24130-2020 artfynd.xlsx", "A 24130-2020")</f>
        <v/>
      </c>
      <c r="T27">
        <f>HYPERLINK("https://klasma.github.io/Logging_2132/kartor/A 24130-2020 karta.png", "A 24130-2020")</f>
        <v/>
      </c>
      <c r="V27">
        <f>HYPERLINK("https://klasma.github.io/Logging_2132/klagomål/A 24130-2020 FSC-klagomål.docx", "A 24130-2020")</f>
        <v/>
      </c>
      <c r="W27">
        <f>HYPERLINK("https://klasma.github.io/Logging_2132/klagomålsmail/A 24130-2020 FSC-klagomål mail.docx", "A 24130-2020")</f>
        <v/>
      </c>
      <c r="X27">
        <f>HYPERLINK("https://klasma.github.io/Logging_2132/tillsyn/A 24130-2020 tillsynsbegäran.docx", "A 24130-2020")</f>
        <v/>
      </c>
      <c r="Y27">
        <f>HYPERLINK("https://klasma.github.io/Logging_2132/tillsynsmail/A 24130-2020 tillsynsbegäran mail.docx", "A 24130-2020")</f>
        <v/>
      </c>
      <c r="Z27">
        <f>HYPERLINK("https://klasma.github.io/Logging_2132/fåglar/A 24130-2020 prioriterade fågelarter.docx", "A 24130-2020")</f>
        <v/>
      </c>
    </row>
    <row r="28" ht="15" customHeight="1">
      <c r="A28" t="inlineStr">
        <is>
          <t>A 24126-2020</t>
        </is>
      </c>
      <c r="B28" s="1" t="n">
        <v>43973</v>
      </c>
      <c r="C28" s="1" t="n">
        <v>45572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24126-2020 artfynd.xlsx", "A 24126-2020")</f>
        <v/>
      </c>
      <c r="T28">
        <f>HYPERLINK("https://klasma.github.io/Logging_2132/kartor/A 24126-2020 karta.png", "A 24126-2020")</f>
        <v/>
      </c>
      <c r="V28">
        <f>HYPERLINK("https://klasma.github.io/Logging_2132/klagomål/A 24126-2020 FSC-klagomål.docx", "A 24126-2020")</f>
        <v/>
      </c>
      <c r="W28">
        <f>HYPERLINK("https://klasma.github.io/Logging_2132/klagomålsmail/A 24126-2020 FSC-klagomål mail.docx", "A 24126-2020")</f>
        <v/>
      </c>
      <c r="X28">
        <f>HYPERLINK("https://klasma.github.io/Logging_2132/tillsyn/A 24126-2020 tillsynsbegäran.docx", "A 24126-2020")</f>
        <v/>
      </c>
      <c r="Y28">
        <f>HYPERLINK("https://klasma.github.io/Logging_2132/tillsynsmail/A 24126-2020 tillsynsbegäran mail.docx", "A 24126-2020")</f>
        <v/>
      </c>
    </row>
    <row r="29" ht="15" customHeight="1">
      <c r="A29" t="inlineStr">
        <is>
          <t>A 58828-2021</t>
        </is>
      </c>
      <c r="B29" s="1" t="n">
        <v>44489</v>
      </c>
      <c r="C29" s="1" t="n">
        <v>45572</v>
      </c>
      <c r="D29" t="inlineStr">
        <is>
          <t>GÄVLEBORGS LÄN</t>
        </is>
      </c>
      <c r="E29" t="inlineStr">
        <is>
          <t>NORDANSTIG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58828-2021 artfynd.xlsx", "A 58828-2021")</f>
        <v/>
      </c>
      <c r="T29">
        <f>HYPERLINK("https://klasma.github.io/Logging_2132/kartor/A 58828-2021 karta.png", "A 58828-2021")</f>
        <v/>
      </c>
      <c r="V29">
        <f>HYPERLINK("https://klasma.github.io/Logging_2132/klagomål/A 58828-2021 FSC-klagomål.docx", "A 58828-2021")</f>
        <v/>
      </c>
      <c r="W29">
        <f>HYPERLINK("https://klasma.github.io/Logging_2132/klagomålsmail/A 58828-2021 FSC-klagomål mail.docx", "A 58828-2021")</f>
        <v/>
      </c>
      <c r="X29">
        <f>HYPERLINK("https://klasma.github.io/Logging_2132/tillsyn/A 58828-2021 tillsynsbegäran.docx", "A 58828-2021")</f>
        <v/>
      </c>
      <c r="Y29">
        <f>HYPERLINK("https://klasma.github.io/Logging_2132/tillsynsmail/A 58828-2021 tillsynsbegäran mail.docx", "A 58828-2021")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45572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20782-2022</t>
        </is>
      </c>
      <c r="B31" s="1" t="n">
        <v>44701</v>
      </c>
      <c r="C31" s="1" t="n">
        <v>45572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20782-2022 artfynd.xlsx", "A 20782-2022")</f>
        <v/>
      </c>
      <c r="T31">
        <f>HYPERLINK("https://klasma.github.io/Logging_2132/kartor/A 20782-2022 karta.png", "A 20782-2022")</f>
        <v/>
      </c>
      <c r="U31">
        <f>HYPERLINK("https://klasma.github.io/Logging_2132/knärot/A 20782-2022 karta knärot.png", "A 20782-2022")</f>
        <v/>
      </c>
      <c r="V31">
        <f>HYPERLINK("https://klasma.github.io/Logging_2132/klagomål/A 20782-2022 FSC-klagomål.docx", "A 20782-2022")</f>
        <v/>
      </c>
      <c r="W31">
        <f>HYPERLINK("https://klasma.github.io/Logging_2132/klagomålsmail/A 20782-2022 FSC-klagomål mail.docx", "A 20782-2022")</f>
        <v/>
      </c>
      <c r="X31">
        <f>HYPERLINK("https://klasma.github.io/Logging_2132/tillsyn/A 20782-2022 tillsynsbegäran.docx", "A 20782-2022")</f>
        <v/>
      </c>
      <c r="Y31">
        <f>HYPERLINK("https://klasma.github.io/Logging_2132/tillsynsmail/A 20782-2022 tillsynsbegäran mail.docx", "A 20782-2022")</f>
        <v/>
      </c>
    </row>
    <row r="32" ht="15" customHeight="1">
      <c r="A32" t="inlineStr">
        <is>
          <t>A 38159-2022</t>
        </is>
      </c>
      <c r="B32" s="1" t="n">
        <v>44812</v>
      </c>
      <c r="C32" s="1" t="n">
        <v>45572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62767-2022</t>
        </is>
      </c>
      <c r="B33" s="1" t="n">
        <v>44884</v>
      </c>
      <c r="C33" s="1" t="n">
        <v>45572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13.3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HYPERLINK("https://klasma.github.io/Logging_2132/artfynd/A 62767-2022 artfynd.xlsx", "A 62767-2022")</f>
        <v/>
      </c>
      <c r="T33">
        <f>HYPERLINK("https://klasma.github.io/Logging_2132/kartor/A 62767-2022 karta.png", "A 62767-2022")</f>
        <v/>
      </c>
      <c r="V33">
        <f>HYPERLINK("https://klasma.github.io/Logging_2132/klagomål/A 62767-2022 FSC-klagomål.docx", "A 62767-2022")</f>
        <v/>
      </c>
      <c r="W33">
        <f>HYPERLINK("https://klasma.github.io/Logging_2132/klagomålsmail/A 62767-2022 FSC-klagomål mail.docx", "A 62767-2022")</f>
        <v/>
      </c>
      <c r="X33">
        <f>HYPERLINK("https://klasma.github.io/Logging_2132/tillsyn/A 62767-2022 tillsynsbegäran.docx", "A 62767-2022")</f>
        <v/>
      </c>
      <c r="Y33">
        <f>HYPERLINK("https://klasma.github.io/Logging_2132/tillsynsmail/A 62767-2022 tillsynsbegäran mail.docx", "A 62767-2022")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45572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9312-2023</t>
        </is>
      </c>
      <c r="B35" s="1" t="n">
        <v>44980</v>
      </c>
      <c r="C35" s="1" t="n">
        <v>45572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HYPERLINK("https://klasma.github.io/Logging_2132/artfynd/A 9312-2023 artfynd.xlsx", "A 9312-2023")</f>
        <v/>
      </c>
      <c r="T35">
        <f>HYPERLINK("https://klasma.github.io/Logging_2132/kartor/A 9312-2023 karta.png", "A 9312-2023")</f>
        <v/>
      </c>
      <c r="V35">
        <f>HYPERLINK("https://klasma.github.io/Logging_2132/klagomål/A 9312-2023 FSC-klagomål.docx", "A 9312-2023")</f>
        <v/>
      </c>
      <c r="W35">
        <f>HYPERLINK("https://klasma.github.io/Logging_2132/klagomålsmail/A 9312-2023 FSC-klagomål mail.docx", "A 9312-2023")</f>
        <v/>
      </c>
      <c r="X35">
        <f>HYPERLINK("https://klasma.github.io/Logging_2132/tillsyn/A 9312-2023 tillsynsbegäran.docx", "A 9312-2023")</f>
        <v/>
      </c>
      <c r="Y35">
        <f>HYPERLINK("https://klasma.github.io/Logging_2132/tillsynsmail/A 9312-2023 tillsynsbegäran mail.docx", "A 9312-2023")</f>
        <v/>
      </c>
    </row>
    <row r="36" ht="15" customHeight="1">
      <c r="A36" t="inlineStr">
        <is>
          <t>A 27637-2023</t>
        </is>
      </c>
      <c r="B36" s="1" t="n">
        <v>45097</v>
      </c>
      <c r="C36" s="1" t="n">
        <v>45572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Skogshakmossa</t>
        </is>
      </c>
      <c r="S36">
        <f>HYPERLINK("https://klasma.github.io/Logging_2132/artfynd/A 27637-2023 artfynd.xlsx", "A 27637-2023")</f>
        <v/>
      </c>
      <c r="T36">
        <f>HYPERLINK("https://klasma.github.io/Logging_2132/kartor/A 27637-2023 karta.png", "A 27637-2023")</f>
        <v/>
      </c>
      <c r="V36">
        <f>HYPERLINK("https://klasma.github.io/Logging_2132/klagomål/A 27637-2023 FSC-klagomål.docx", "A 27637-2023")</f>
        <v/>
      </c>
      <c r="W36">
        <f>HYPERLINK("https://klasma.github.io/Logging_2132/klagomålsmail/A 27637-2023 FSC-klagomål mail.docx", "A 27637-2023")</f>
        <v/>
      </c>
      <c r="X36">
        <f>HYPERLINK("https://klasma.github.io/Logging_2132/tillsyn/A 27637-2023 tillsynsbegäran.docx", "A 27637-2023")</f>
        <v/>
      </c>
      <c r="Y36">
        <f>HYPERLINK("https://klasma.github.io/Logging_2132/tillsynsmail/A 27637-2023 tillsynsbegäran mail.docx", "A 27637-2023")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45572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44032-2023</t>
        </is>
      </c>
      <c r="B38" s="1" t="n">
        <v>45188</v>
      </c>
      <c r="C38" s="1" t="n">
        <v>45572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53392-2023</t>
        </is>
      </c>
      <c r="B39" s="1" t="n">
        <v>45229</v>
      </c>
      <c r="C39" s="1" t="n">
        <v>45572</v>
      </c>
      <c r="D39" t="inlineStr">
        <is>
          <t>GÄVLEBORGS LÄN</t>
        </is>
      </c>
      <c r="E39" t="inlineStr">
        <is>
          <t>NORDANSTIG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53392-2023 artfynd.xlsx", "A 53392-2023")</f>
        <v/>
      </c>
      <c r="T39">
        <f>HYPERLINK("https://klasma.github.io/Logging_2132/kartor/A 53392-2023 karta.png", "A 53392-2023")</f>
        <v/>
      </c>
      <c r="V39">
        <f>HYPERLINK("https://klasma.github.io/Logging_2132/klagomål/A 53392-2023 FSC-klagomål.docx", "A 53392-2023")</f>
        <v/>
      </c>
      <c r="W39">
        <f>HYPERLINK("https://klasma.github.io/Logging_2132/klagomålsmail/A 53392-2023 FSC-klagomål mail.docx", "A 53392-2023")</f>
        <v/>
      </c>
      <c r="X39">
        <f>HYPERLINK("https://klasma.github.io/Logging_2132/tillsyn/A 53392-2023 tillsynsbegäran.docx", "A 53392-2023")</f>
        <v/>
      </c>
      <c r="Y39">
        <f>HYPERLINK("https://klasma.github.io/Logging_2132/tillsynsmail/A 53392-2023 tillsynsbegäran mail.docx", "A 53392-2023")</f>
        <v/>
      </c>
    </row>
    <row r="40" ht="15" customHeight="1">
      <c r="A40" t="inlineStr">
        <is>
          <t>A 60157-2023</t>
        </is>
      </c>
      <c r="B40" s="1" t="n">
        <v>45258</v>
      </c>
      <c r="C40" s="1" t="n">
        <v>45572</v>
      </c>
      <c r="D40" t="inlineStr">
        <is>
          <t>GÄVLEBORGS LÄN</t>
        </is>
      </c>
      <c r="E40" t="inlineStr">
        <is>
          <t>NORDANSTIG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60157-2023 artfynd.xlsx", "A 60157-2023")</f>
        <v/>
      </c>
      <c r="T40">
        <f>HYPERLINK("https://klasma.github.io/Logging_2132/kartor/A 60157-2023 karta.png", "A 60157-2023")</f>
        <v/>
      </c>
      <c r="V40">
        <f>HYPERLINK("https://klasma.github.io/Logging_2132/klagomål/A 60157-2023 FSC-klagomål.docx", "A 60157-2023")</f>
        <v/>
      </c>
      <c r="W40">
        <f>HYPERLINK("https://klasma.github.io/Logging_2132/klagomålsmail/A 60157-2023 FSC-klagomål mail.docx", "A 60157-2023")</f>
        <v/>
      </c>
      <c r="X40">
        <f>HYPERLINK("https://klasma.github.io/Logging_2132/tillsyn/A 60157-2023 tillsynsbegäran.docx", "A 60157-2023")</f>
        <v/>
      </c>
      <c r="Y40">
        <f>HYPERLINK("https://klasma.github.io/Logging_2132/tillsynsmail/A 60157-2023 tillsynsbegäran mail.docx", "A 60157-2023")</f>
        <v/>
      </c>
    </row>
    <row r="41" ht="15" customHeight="1">
      <c r="A41" t="inlineStr">
        <is>
          <t>A 470-2024</t>
        </is>
      </c>
      <c r="B41" s="1" t="n">
        <v>45297</v>
      </c>
      <c r="C41" s="1" t="n">
        <v>45572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45572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14194-2024</t>
        </is>
      </c>
      <c r="B43" s="1" t="n">
        <v>45393</v>
      </c>
      <c r="C43" s="1" t="n">
        <v>45572</v>
      </c>
      <c r="D43" t="inlineStr">
        <is>
          <t>GÄVLEBORGS LÄN</t>
        </is>
      </c>
      <c r="E43" t="inlineStr">
        <is>
          <t>NORDANSTIG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14194-2024 artfynd.xlsx", "A 14194-2024")</f>
        <v/>
      </c>
      <c r="T43">
        <f>HYPERLINK("https://klasma.github.io/Logging_2132/kartor/A 14194-2024 karta.png", "A 14194-2024")</f>
        <v/>
      </c>
      <c r="V43">
        <f>HYPERLINK("https://klasma.github.io/Logging_2132/klagomål/A 14194-2024 FSC-klagomål.docx", "A 14194-2024")</f>
        <v/>
      </c>
      <c r="W43">
        <f>HYPERLINK("https://klasma.github.io/Logging_2132/klagomålsmail/A 14194-2024 FSC-klagomål mail.docx", "A 14194-2024")</f>
        <v/>
      </c>
      <c r="X43">
        <f>HYPERLINK("https://klasma.github.io/Logging_2132/tillsyn/A 14194-2024 tillsynsbegäran.docx", "A 14194-2024")</f>
        <v/>
      </c>
      <c r="Y43">
        <f>HYPERLINK("https://klasma.github.io/Logging_2132/tillsynsmail/A 14194-2024 tillsynsbegäran mail.docx", "A 14194-2024")</f>
        <v/>
      </c>
    </row>
    <row r="44" ht="15" customHeight="1">
      <c r="A44" t="inlineStr">
        <is>
          <t>A 31066-2024</t>
        </is>
      </c>
      <c r="B44" s="1" t="n">
        <v>45502</v>
      </c>
      <c r="C44" s="1" t="n">
        <v>45572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31053-2024</t>
        </is>
      </c>
      <c r="B45" s="1" t="n">
        <v>45502</v>
      </c>
      <c r="C45" s="1" t="n">
        <v>45572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Smal svampklubba</t>
        </is>
      </c>
      <c r="S45">
        <f>HYPERLINK("https://klasma.github.io/Logging_2132/artfynd/A 31053-2024 artfynd.xlsx", "A 31053-2024")</f>
        <v/>
      </c>
      <c r="T45">
        <f>HYPERLINK("https://klasma.github.io/Logging_2132/kartor/A 31053-2024 karta.png", "A 31053-2024")</f>
        <v/>
      </c>
      <c r="V45">
        <f>HYPERLINK("https://klasma.github.io/Logging_2132/klagomål/A 31053-2024 FSC-klagomål.docx", "A 31053-2024")</f>
        <v/>
      </c>
      <c r="W45">
        <f>HYPERLINK("https://klasma.github.io/Logging_2132/klagomålsmail/A 31053-2024 FSC-klagomål mail.docx", "A 31053-2024")</f>
        <v/>
      </c>
      <c r="X45">
        <f>HYPERLINK("https://klasma.github.io/Logging_2132/tillsyn/A 31053-2024 tillsynsbegäran.docx", "A 31053-2024")</f>
        <v/>
      </c>
      <c r="Y45">
        <f>HYPERLINK("https://klasma.github.io/Logging_2132/tillsynsmail/A 31053-2024 tillsynsbegäran mail.docx", "A 31053-2024")</f>
        <v/>
      </c>
    </row>
    <row r="46" ht="15" customHeight="1">
      <c r="A46" t="inlineStr">
        <is>
          <t>A 17929-2019</t>
        </is>
      </c>
      <c r="B46" s="1" t="n">
        <v>43557</v>
      </c>
      <c r="C46" s="1" t="n">
        <v>45572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19187-2019</t>
        </is>
      </c>
      <c r="B47" s="1" t="n">
        <v>43564</v>
      </c>
      <c r="C47" s="1" t="n">
        <v>45572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20889-2019</t>
        </is>
      </c>
      <c r="B48" s="1" t="n">
        <v>43578</v>
      </c>
      <c r="C48" s="1" t="n">
        <v>45572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21796-2019</t>
        </is>
      </c>
      <c r="B49" s="1" t="n">
        <v>43581</v>
      </c>
      <c r="C49" s="1" t="n">
        <v>45572</v>
      </c>
      <c r="D49" t="inlineStr">
        <is>
          <t>GÄVLEBORGS LÄN</t>
        </is>
      </c>
      <c r="E49" t="inlineStr">
        <is>
          <t>NORDANSTIG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22162-2019</t>
        </is>
      </c>
      <c r="B50" s="1" t="n">
        <v>43585</v>
      </c>
      <c r="C50" s="1" t="n">
        <v>45572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22161-2019</t>
        </is>
      </c>
      <c r="B51" s="1" t="n">
        <v>43585</v>
      </c>
      <c r="C51" s="1" t="n">
        <v>45572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24158-2019</t>
        </is>
      </c>
      <c r="B52" s="1" t="n">
        <v>43598</v>
      </c>
      <c r="C52" s="1" t="n">
        <v>45572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25756-2019</t>
        </is>
      </c>
      <c r="B53" s="1" t="n">
        <v>43608</v>
      </c>
      <c r="C53" s="1" t="n">
        <v>45572</v>
      </c>
      <c r="D53" t="inlineStr">
        <is>
          <t>GÄVLEBORGS LÄN</t>
        </is>
      </c>
      <c r="E53" t="inlineStr">
        <is>
          <t>NORDANSTIG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25928-2019</t>
        </is>
      </c>
      <c r="B54" s="1" t="n">
        <v>43608</v>
      </c>
      <c r="C54" s="1" t="n">
        <v>45572</v>
      </c>
      <c r="D54" t="inlineStr">
        <is>
          <t>GÄVLEBORGS LÄN</t>
        </is>
      </c>
      <c r="E54" t="inlineStr">
        <is>
          <t>NORDANSTIG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26013-2019</t>
        </is>
      </c>
      <c r="B55" s="1" t="n">
        <v>43608</v>
      </c>
      <c r="C55" s="1" t="n">
        <v>45572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27176-2019</t>
        </is>
      </c>
      <c r="B56" s="1" t="n">
        <v>43614</v>
      </c>
      <c r="C56" s="1" t="n">
        <v>45572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27455-2019</t>
        </is>
      </c>
      <c r="B57" s="1" t="n">
        <v>43618</v>
      </c>
      <c r="C57" s="1" t="n">
        <v>45572</v>
      </c>
      <c r="D57" t="inlineStr">
        <is>
          <t>GÄVLEBORGS LÄN</t>
        </is>
      </c>
      <c r="E57" t="inlineStr">
        <is>
          <t>NORDANSTIG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27456-2019</t>
        </is>
      </c>
      <c r="B58" s="1" t="n">
        <v>43618</v>
      </c>
      <c r="C58" s="1" t="n">
        <v>45572</v>
      </c>
      <c r="D58" t="inlineStr">
        <is>
          <t>GÄVLEBORGS LÄN</t>
        </is>
      </c>
      <c r="E58" t="inlineStr">
        <is>
          <t>NORDANSTIG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27457-2019</t>
        </is>
      </c>
      <c r="B59" s="1" t="n">
        <v>43618</v>
      </c>
      <c r="C59" s="1" t="n">
        <v>45572</v>
      </c>
      <c r="D59" t="inlineStr">
        <is>
          <t>GÄVLEBORGS LÄN</t>
        </is>
      </c>
      <c r="E59" t="inlineStr">
        <is>
          <t>NORDANSTIG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27453-2019</t>
        </is>
      </c>
      <c r="B60" s="1" t="n">
        <v>43618</v>
      </c>
      <c r="C60" s="1" t="n">
        <v>45572</v>
      </c>
      <c r="D60" t="inlineStr">
        <is>
          <t>GÄVLEBORGS LÄN</t>
        </is>
      </c>
      <c r="E60" t="inlineStr">
        <is>
          <t>NORDANSTIG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29453-2019</t>
        </is>
      </c>
      <c r="B61" s="1" t="n">
        <v>43626</v>
      </c>
      <c r="C61" s="1" t="n">
        <v>45572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31776-2019</t>
        </is>
      </c>
      <c r="B62" s="1" t="n">
        <v>43626</v>
      </c>
      <c r="C62" s="1" t="n">
        <v>45572</v>
      </c>
      <c r="D62" t="inlineStr">
        <is>
          <t>GÄVLEBORGS LÄN</t>
        </is>
      </c>
      <c r="E62" t="inlineStr">
        <is>
          <t>NORDANSTIG</t>
        </is>
      </c>
      <c r="G62" t="n">
        <v>90.09999999999999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30256-2019</t>
        </is>
      </c>
      <c r="B63" s="1" t="n">
        <v>43634</v>
      </c>
      <c r="C63" s="1" t="n">
        <v>45572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30607-2019</t>
        </is>
      </c>
      <c r="B64" s="1" t="n">
        <v>43635</v>
      </c>
      <c r="C64" s="1" t="n">
        <v>45572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31934-2019</t>
        </is>
      </c>
      <c r="B65" s="1" t="n">
        <v>43642</v>
      </c>
      <c r="C65" s="1" t="n">
        <v>45572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32092-2019</t>
        </is>
      </c>
      <c r="B66" s="1" t="n">
        <v>43643</v>
      </c>
      <c r="C66" s="1" t="n">
        <v>45572</v>
      </c>
      <c r="D66" t="inlineStr">
        <is>
          <t>GÄVLEBORGS LÄN</t>
        </is>
      </c>
      <c r="E66" t="inlineStr">
        <is>
          <t>NORDANSTIG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32551-2019</t>
        </is>
      </c>
      <c r="B67" s="1" t="n">
        <v>43647</v>
      </c>
      <c r="C67" s="1" t="n">
        <v>45572</v>
      </c>
      <c r="D67" t="inlineStr">
        <is>
          <t>GÄVLEBORGS LÄN</t>
        </is>
      </c>
      <c r="E67" t="inlineStr">
        <is>
          <t>NORDANSTIG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32880-2019</t>
        </is>
      </c>
      <c r="B68" s="1" t="n">
        <v>43648</v>
      </c>
      <c r="C68" s="1" t="n">
        <v>45572</v>
      </c>
      <c r="D68" t="inlineStr">
        <is>
          <t>GÄVLEBORGS LÄN</t>
        </is>
      </c>
      <c r="E68" t="inlineStr">
        <is>
          <t>NORDANSTIG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32912-2019</t>
        </is>
      </c>
      <c r="B69" s="1" t="n">
        <v>43648</v>
      </c>
      <c r="C69" s="1" t="n">
        <v>45572</v>
      </c>
      <c r="D69" t="inlineStr">
        <is>
          <t>GÄVLEBORGS LÄN</t>
        </is>
      </c>
      <c r="E69" t="inlineStr">
        <is>
          <t>NORDANSTIG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38945-2019</t>
        </is>
      </c>
      <c r="B70" s="1" t="n">
        <v>43689</v>
      </c>
      <c r="C70" s="1" t="n">
        <v>45572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38978-2019</t>
        </is>
      </c>
      <c r="B71" s="1" t="n">
        <v>43689</v>
      </c>
      <c r="C71" s="1" t="n">
        <v>45572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38983-2019</t>
        </is>
      </c>
      <c r="B72" s="1" t="n">
        <v>43689</v>
      </c>
      <c r="C72" s="1" t="n">
        <v>45572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41620-2019</t>
        </is>
      </c>
      <c r="B73" s="1" t="n">
        <v>43699</v>
      </c>
      <c r="C73" s="1" t="n">
        <v>45572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42018-2019</t>
        </is>
      </c>
      <c r="B74" s="1" t="n">
        <v>43700</v>
      </c>
      <c r="C74" s="1" t="n">
        <v>45572</v>
      </c>
      <c r="D74" t="inlineStr">
        <is>
          <t>GÄVLEBORGS LÄN</t>
        </is>
      </c>
      <c r="E74" t="inlineStr">
        <is>
          <t>NORDANSTIG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41843-2019</t>
        </is>
      </c>
      <c r="B75" s="1" t="n">
        <v>43700</v>
      </c>
      <c r="C75" s="1" t="n">
        <v>45572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42038-2019</t>
        </is>
      </c>
      <c r="B76" s="1" t="n">
        <v>43700</v>
      </c>
      <c r="C76" s="1" t="n">
        <v>45572</v>
      </c>
      <c r="D76" t="inlineStr">
        <is>
          <t>GÄVLEBORGS LÄN</t>
        </is>
      </c>
      <c r="E76" t="inlineStr">
        <is>
          <t>NORDANSTIG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42026-2019</t>
        </is>
      </c>
      <c r="B77" s="1" t="n">
        <v>43700</v>
      </c>
      <c r="C77" s="1" t="n">
        <v>45572</v>
      </c>
      <c r="D77" t="inlineStr">
        <is>
          <t>GÄVLEBORGS LÄN</t>
        </is>
      </c>
      <c r="E77" t="inlineStr">
        <is>
          <t>NORDANSTIG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42987-2019</t>
        </is>
      </c>
      <c r="B78" s="1" t="n">
        <v>43705</v>
      </c>
      <c r="C78" s="1" t="n">
        <v>45572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44897-2019</t>
        </is>
      </c>
      <c r="B79" s="1" t="n">
        <v>43713</v>
      </c>
      <c r="C79" s="1" t="n">
        <v>45572</v>
      </c>
      <c r="D79" t="inlineStr">
        <is>
          <t>GÄVLEBORGS LÄN</t>
        </is>
      </c>
      <c r="E79" t="inlineStr">
        <is>
          <t>NORDANSTIG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45419-2019</t>
        </is>
      </c>
      <c r="B80" s="1" t="n">
        <v>43714</v>
      </c>
      <c r="C80" s="1" t="n">
        <v>45572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45749-2019</t>
        </is>
      </c>
      <c r="B81" s="1" t="n">
        <v>43717</v>
      </c>
      <c r="C81" s="1" t="n">
        <v>45572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46294-2019</t>
        </is>
      </c>
      <c r="B82" s="1" t="n">
        <v>43718</v>
      </c>
      <c r="C82" s="1" t="n">
        <v>45572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48019-2019</t>
        </is>
      </c>
      <c r="B83" s="1" t="n">
        <v>43725</v>
      </c>
      <c r="C83" s="1" t="n">
        <v>45572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47907-2019</t>
        </is>
      </c>
      <c r="B84" s="1" t="n">
        <v>43725</v>
      </c>
      <c r="C84" s="1" t="n">
        <v>45572</v>
      </c>
      <c r="D84" t="inlineStr">
        <is>
          <t>GÄVLEBORGS LÄN</t>
        </is>
      </c>
      <c r="E84" t="inlineStr">
        <is>
          <t>NORDANSTIG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48139-2019</t>
        </is>
      </c>
      <c r="B85" s="1" t="n">
        <v>43725</v>
      </c>
      <c r="C85" s="1" t="n">
        <v>45572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50150-2019</t>
        </is>
      </c>
      <c r="B86" s="1" t="n">
        <v>43734</v>
      </c>
      <c r="C86" s="1" t="n">
        <v>45572</v>
      </c>
      <c r="D86" t="inlineStr">
        <is>
          <t>GÄVLEBORGS LÄN</t>
        </is>
      </c>
      <c r="E86" t="inlineStr">
        <is>
          <t>NORDANSTIG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51904-2019</t>
        </is>
      </c>
      <c r="B87" s="1" t="n">
        <v>43741</v>
      </c>
      <c r="C87" s="1" t="n">
        <v>45572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52795-2019</t>
        </is>
      </c>
      <c r="B88" s="1" t="n">
        <v>43746</v>
      </c>
      <c r="C88" s="1" t="n">
        <v>45572</v>
      </c>
      <c r="D88" t="inlineStr">
        <is>
          <t>GÄVLEBORGS LÄN</t>
        </is>
      </c>
      <c r="E88" t="inlineStr">
        <is>
          <t>NORDANSTIG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53361-2019</t>
        </is>
      </c>
      <c r="B89" s="1" t="n">
        <v>43748</v>
      </c>
      <c r="C89" s="1" t="n">
        <v>45572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53198-2019</t>
        </is>
      </c>
      <c r="B90" s="1" t="n">
        <v>43748</v>
      </c>
      <c r="C90" s="1" t="n">
        <v>45572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54670-2019</t>
        </is>
      </c>
      <c r="B91" s="1" t="n">
        <v>43754</v>
      </c>
      <c r="C91" s="1" t="n">
        <v>45572</v>
      </c>
      <c r="D91" t="inlineStr">
        <is>
          <t>GÄVLEBORGS LÄN</t>
        </is>
      </c>
      <c r="E91" t="inlineStr">
        <is>
          <t>NORDANSTIG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56151-2019</t>
        </is>
      </c>
      <c r="B92" s="1" t="n">
        <v>43761</v>
      </c>
      <c r="C92" s="1" t="n">
        <v>45572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57348-2019</t>
        </is>
      </c>
      <c r="B93" s="1" t="n">
        <v>43767</v>
      </c>
      <c r="C93" s="1" t="n">
        <v>45572</v>
      </c>
      <c r="D93" t="inlineStr">
        <is>
          <t>GÄVLEBORGS LÄN</t>
        </is>
      </c>
      <c r="E93" t="inlineStr">
        <is>
          <t>NORDANSTIG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58424-2019</t>
        </is>
      </c>
      <c r="B94" s="1" t="n">
        <v>43773</v>
      </c>
      <c r="C94" s="1" t="n">
        <v>45572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59090-2019</t>
        </is>
      </c>
      <c r="B95" s="1" t="n">
        <v>43774</v>
      </c>
      <c r="C95" s="1" t="n">
        <v>45572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59808-2019</t>
        </is>
      </c>
      <c r="B96" s="1" t="n">
        <v>43775</v>
      </c>
      <c r="C96" s="1" t="n">
        <v>45572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60499-2019</t>
        </is>
      </c>
      <c r="B97" s="1" t="n">
        <v>43780</v>
      </c>
      <c r="C97" s="1" t="n">
        <v>45572</v>
      </c>
      <c r="D97" t="inlineStr">
        <is>
          <t>GÄVLEBORGS LÄN</t>
        </is>
      </c>
      <c r="E97" t="inlineStr">
        <is>
          <t>NORDANSTIG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62388-2019</t>
        </is>
      </c>
      <c r="B98" s="1" t="n">
        <v>43788</v>
      </c>
      <c r="C98" s="1" t="n">
        <v>45572</v>
      </c>
      <c r="D98" t="inlineStr">
        <is>
          <t>GÄVLEBORGS LÄN</t>
        </is>
      </c>
      <c r="E98" t="inlineStr">
        <is>
          <t>NORDANSTIG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62934-2019</t>
        </is>
      </c>
      <c r="B99" s="1" t="n">
        <v>43790</v>
      </c>
      <c r="C99" s="1" t="n">
        <v>45572</v>
      </c>
      <c r="D99" t="inlineStr">
        <is>
          <t>GÄVLEBORGS LÄN</t>
        </is>
      </c>
      <c r="E99" t="inlineStr">
        <is>
          <t>NORDANSTIG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63009-2019</t>
        </is>
      </c>
      <c r="B100" s="1" t="n">
        <v>43790</v>
      </c>
      <c r="C100" s="1" t="n">
        <v>45572</v>
      </c>
      <c r="D100" t="inlineStr">
        <is>
          <t>GÄVLEBORGS LÄN</t>
        </is>
      </c>
      <c r="E100" t="inlineStr">
        <is>
          <t>NORDANSTIG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63269-2019</t>
        </is>
      </c>
      <c r="B101" s="1" t="n">
        <v>43793</v>
      </c>
      <c r="C101" s="1" t="n">
        <v>45572</v>
      </c>
      <c r="D101" t="inlineStr">
        <is>
          <t>GÄVLEBORGS LÄN</t>
        </is>
      </c>
      <c r="E101" t="inlineStr">
        <is>
          <t>NORDANSTIG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65428-2019</t>
        </is>
      </c>
      <c r="B102" s="1" t="n">
        <v>43798</v>
      </c>
      <c r="C102" s="1" t="n">
        <v>45572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64822-2019</t>
        </is>
      </c>
      <c r="B103" s="1" t="n">
        <v>43801</v>
      </c>
      <c r="C103" s="1" t="n">
        <v>45572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67302-2019</t>
        </is>
      </c>
      <c r="B104" s="1" t="n">
        <v>43812</v>
      </c>
      <c r="C104" s="1" t="n">
        <v>45572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67816-2019</t>
        </is>
      </c>
      <c r="B105" s="1" t="n">
        <v>43815</v>
      </c>
      <c r="C105" s="1" t="n">
        <v>45572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67916-2019</t>
        </is>
      </c>
      <c r="B106" s="1" t="n">
        <v>43816</v>
      </c>
      <c r="C106" s="1" t="n">
        <v>45572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67871-2019</t>
        </is>
      </c>
      <c r="B107" s="1" t="n">
        <v>43816</v>
      </c>
      <c r="C107" s="1" t="n">
        <v>45572</v>
      </c>
      <c r="D107" t="inlineStr">
        <is>
          <t>GÄVLEBORGS LÄN</t>
        </is>
      </c>
      <c r="E107" t="inlineStr">
        <is>
          <t>NORDANSTIG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223-2020</t>
        </is>
      </c>
      <c r="B108" s="1" t="n">
        <v>43833</v>
      </c>
      <c r="C108" s="1" t="n">
        <v>45572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Naturvårdsverket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533-2020</t>
        </is>
      </c>
      <c r="B109" s="1" t="n">
        <v>43837</v>
      </c>
      <c r="C109" s="1" t="n">
        <v>45572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1122-2020</t>
        </is>
      </c>
      <c r="B110" s="1" t="n">
        <v>43840</v>
      </c>
      <c r="C110" s="1" t="n">
        <v>45572</v>
      </c>
      <c r="D110" t="inlineStr">
        <is>
          <t>GÄVLEBORGS LÄN</t>
        </is>
      </c>
      <c r="E110" t="inlineStr">
        <is>
          <t>NORDANSTIG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2645-2020</t>
        </is>
      </c>
      <c r="B111" s="1" t="n">
        <v>43847</v>
      </c>
      <c r="C111" s="1" t="n">
        <v>45572</v>
      </c>
      <c r="D111" t="inlineStr">
        <is>
          <t>GÄVLEBORGS LÄN</t>
        </is>
      </c>
      <c r="E111" t="inlineStr">
        <is>
          <t>NORDANSTIG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2615-2020</t>
        </is>
      </c>
      <c r="B112" s="1" t="n">
        <v>43847</v>
      </c>
      <c r="C112" s="1" t="n">
        <v>45572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2689-2020</t>
        </is>
      </c>
      <c r="B113" s="1" t="n">
        <v>43850</v>
      </c>
      <c r="C113" s="1" t="n">
        <v>45572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4225-2020</t>
        </is>
      </c>
      <c r="B114" s="1" t="n">
        <v>43857</v>
      </c>
      <c r="C114" s="1" t="n">
        <v>45572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9081-2020</t>
        </is>
      </c>
      <c r="B115" s="1" t="n">
        <v>43879</v>
      </c>
      <c r="C115" s="1" t="n">
        <v>45572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10604-2020</t>
        </is>
      </c>
      <c r="B116" s="1" t="n">
        <v>43887</v>
      </c>
      <c r="C116" s="1" t="n">
        <v>45572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12793-2020</t>
        </is>
      </c>
      <c r="B117" s="1" t="n">
        <v>43899</v>
      </c>
      <c r="C117" s="1" t="n">
        <v>45572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17128-2020</t>
        </is>
      </c>
      <c r="B118" s="1" t="n">
        <v>43922</v>
      </c>
      <c r="C118" s="1" t="n">
        <v>45572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17319-2020</t>
        </is>
      </c>
      <c r="B119" s="1" t="n">
        <v>43922</v>
      </c>
      <c r="C119" s="1" t="n">
        <v>45572</v>
      </c>
      <c r="D119" t="inlineStr">
        <is>
          <t>GÄVLEBORGS LÄN</t>
        </is>
      </c>
      <c r="E119" t="inlineStr">
        <is>
          <t>NORDANSTIG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17996-2020</t>
        </is>
      </c>
      <c r="B120" s="1" t="n">
        <v>43926</v>
      </c>
      <c r="C120" s="1" t="n">
        <v>45572</v>
      </c>
      <c r="D120" t="inlineStr">
        <is>
          <t>GÄVLEBORGS LÄN</t>
        </is>
      </c>
      <c r="E120" t="inlineStr">
        <is>
          <t>NORDANSTIG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17994-2020</t>
        </is>
      </c>
      <c r="B121" s="1" t="n">
        <v>43926</v>
      </c>
      <c r="C121" s="1" t="n">
        <v>45572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17993-2020</t>
        </is>
      </c>
      <c r="B122" s="1" t="n">
        <v>43926</v>
      </c>
      <c r="C122" s="1" t="n">
        <v>45572</v>
      </c>
      <c r="D122" t="inlineStr">
        <is>
          <t>GÄVLEBORGS LÄN</t>
        </is>
      </c>
      <c r="E122" t="inlineStr">
        <is>
          <t>NORDANSTIG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17995-2020</t>
        </is>
      </c>
      <c r="B123" s="1" t="n">
        <v>43926</v>
      </c>
      <c r="C123" s="1" t="n">
        <v>45572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18117-2020</t>
        </is>
      </c>
      <c r="B124" s="1" t="n">
        <v>43927</v>
      </c>
      <c r="C124" s="1" t="n">
        <v>45572</v>
      </c>
      <c r="D124" t="inlineStr">
        <is>
          <t>GÄVLEBORGS LÄN</t>
        </is>
      </c>
      <c r="E124" t="inlineStr">
        <is>
          <t>NORDANSTIG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18301-2020</t>
        </is>
      </c>
      <c r="B125" s="1" t="n">
        <v>43928</v>
      </c>
      <c r="C125" s="1" t="n">
        <v>45572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18762-2020</t>
        </is>
      </c>
      <c r="B126" s="1" t="n">
        <v>43930</v>
      </c>
      <c r="C126" s="1" t="n">
        <v>45572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18712-2020</t>
        </is>
      </c>
      <c r="B127" s="1" t="n">
        <v>43930</v>
      </c>
      <c r="C127" s="1" t="n">
        <v>45572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18766-2020</t>
        </is>
      </c>
      <c r="B128" s="1" t="n">
        <v>43930</v>
      </c>
      <c r="C128" s="1" t="n">
        <v>45572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19847-2020</t>
        </is>
      </c>
      <c r="B129" s="1" t="n">
        <v>43942</v>
      </c>
      <c r="C129" s="1" t="n">
        <v>45572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20043-2020</t>
        </is>
      </c>
      <c r="B130" s="1" t="n">
        <v>43943</v>
      </c>
      <c r="C130" s="1" t="n">
        <v>45572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20065-2020</t>
        </is>
      </c>
      <c r="B131" s="1" t="n">
        <v>43943</v>
      </c>
      <c r="C131" s="1" t="n">
        <v>45572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20364-2020</t>
        </is>
      </c>
      <c r="B132" s="1" t="n">
        <v>43945</v>
      </c>
      <c r="C132" s="1" t="n">
        <v>45572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20385-2020</t>
        </is>
      </c>
      <c r="B133" s="1" t="n">
        <v>43945</v>
      </c>
      <c r="C133" s="1" t="n">
        <v>45572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21188-2020</t>
        </is>
      </c>
      <c r="B134" s="1" t="n">
        <v>43951</v>
      </c>
      <c r="C134" s="1" t="n">
        <v>45572</v>
      </c>
      <c r="D134" t="inlineStr">
        <is>
          <t>GÄVLEBORGS LÄN</t>
        </is>
      </c>
      <c r="E134" t="inlineStr">
        <is>
          <t>NORDANSTIG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21137-2020</t>
        </is>
      </c>
      <c r="B135" s="1" t="n">
        <v>43951</v>
      </c>
      <c r="C135" s="1" t="n">
        <v>45572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21424-2020</t>
        </is>
      </c>
      <c r="B136" s="1" t="n">
        <v>43955</v>
      </c>
      <c r="C136" s="1" t="n">
        <v>45572</v>
      </c>
      <c r="D136" t="inlineStr">
        <is>
          <t>GÄVLEBORGS LÄN</t>
        </is>
      </c>
      <c r="E136" t="inlineStr">
        <is>
          <t>NORDANSTIG</t>
        </is>
      </c>
      <c r="G136" t="n">
        <v>34.4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21422-2020</t>
        </is>
      </c>
      <c r="B137" s="1" t="n">
        <v>43955</v>
      </c>
      <c r="C137" s="1" t="n">
        <v>45572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21556-2020</t>
        </is>
      </c>
      <c r="B138" s="1" t="n">
        <v>43956</v>
      </c>
      <c r="C138" s="1" t="n">
        <v>45572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21549-2020</t>
        </is>
      </c>
      <c r="B139" s="1" t="n">
        <v>43956</v>
      </c>
      <c r="C139" s="1" t="n">
        <v>45572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21899-2020</t>
        </is>
      </c>
      <c r="B140" s="1" t="n">
        <v>43958</v>
      </c>
      <c r="C140" s="1" t="n">
        <v>45572</v>
      </c>
      <c r="D140" t="inlineStr">
        <is>
          <t>GÄVLEBORGS LÄN</t>
        </is>
      </c>
      <c r="E140" t="inlineStr">
        <is>
          <t>NORDANSTIG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22074-2020</t>
        </is>
      </c>
      <c r="B141" s="1" t="n">
        <v>43959</v>
      </c>
      <c r="C141" s="1" t="n">
        <v>45572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22403-2020</t>
        </is>
      </c>
      <c r="B142" s="1" t="n">
        <v>43962</v>
      </c>
      <c r="C142" s="1" t="n">
        <v>45572</v>
      </c>
      <c r="D142" t="inlineStr">
        <is>
          <t>GÄVLEBORGS LÄN</t>
        </is>
      </c>
      <c r="E142" t="inlineStr">
        <is>
          <t>NORDANSTIG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23237-2020</t>
        </is>
      </c>
      <c r="B143" s="1" t="n">
        <v>43966</v>
      </c>
      <c r="C143" s="1" t="n">
        <v>45572</v>
      </c>
      <c r="D143" t="inlineStr">
        <is>
          <t>GÄVLEBORGS LÄN</t>
        </is>
      </c>
      <c r="E143" t="inlineStr">
        <is>
          <t>NORDANSTIG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23618-2020</t>
        </is>
      </c>
      <c r="B144" s="1" t="n">
        <v>43969</v>
      </c>
      <c r="C144" s="1" t="n">
        <v>45572</v>
      </c>
      <c r="D144" t="inlineStr">
        <is>
          <t>GÄVLEBORGS LÄN</t>
        </is>
      </c>
      <c r="E144" t="inlineStr">
        <is>
          <t>NORDANSTIG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24125-2020</t>
        </is>
      </c>
      <c r="B145" s="1" t="n">
        <v>43973</v>
      </c>
      <c r="C145" s="1" t="n">
        <v>45572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24102-2020</t>
        </is>
      </c>
      <c r="B146" s="1" t="n">
        <v>43973</v>
      </c>
      <c r="C146" s="1" t="n">
        <v>45572</v>
      </c>
      <c r="D146" t="inlineStr">
        <is>
          <t>GÄVLEBORGS LÄN</t>
        </is>
      </c>
      <c r="E146" t="inlineStr">
        <is>
          <t>NORDANSTIG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24238-2020</t>
        </is>
      </c>
      <c r="B147" s="1" t="n">
        <v>43976</v>
      </c>
      <c r="C147" s="1" t="n">
        <v>45572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24294-2020</t>
        </is>
      </c>
      <c r="B148" s="1" t="n">
        <v>43976</v>
      </c>
      <c r="C148" s="1" t="n">
        <v>45572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24230-2020</t>
        </is>
      </c>
      <c r="B149" s="1" t="n">
        <v>43976</v>
      </c>
      <c r="C149" s="1" t="n">
        <v>45572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24603-2020</t>
        </is>
      </c>
      <c r="B150" s="1" t="n">
        <v>43977</v>
      </c>
      <c r="C150" s="1" t="n">
        <v>45572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24721-2020</t>
        </is>
      </c>
      <c r="B151" s="1" t="n">
        <v>43978</v>
      </c>
      <c r="C151" s="1" t="n">
        <v>45572</v>
      </c>
      <c r="D151" t="inlineStr">
        <is>
          <t>GÄVLEBORGS LÄN</t>
        </is>
      </c>
      <c r="E151" t="inlineStr">
        <is>
          <t>NORDANSTIG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25024-2020</t>
        </is>
      </c>
      <c r="B152" s="1" t="n">
        <v>43979</v>
      </c>
      <c r="C152" s="1" t="n">
        <v>45572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25032-2020</t>
        </is>
      </c>
      <c r="B153" s="1" t="n">
        <v>43979</v>
      </c>
      <c r="C153" s="1" t="n">
        <v>45572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25303-2020</t>
        </is>
      </c>
      <c r="B154" s="1" t="n">
        <v>43980</v>
      </c>
      <c r="C154" s="1" t="n">
        <v>45572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25652-2020</t>
        </is>
      </c>
      <c r="B155" s="1" t="n">
        <v>43983</v>
      </c>
      <c r="C155" s="1" t="n">
        <v>45572</v>
      </c>
      <c r="D155" t="inlineStr">
        <is>
          <t>GÄVLEBORGS LÄN</t>
        </is>
      </c>
      <c r="E155" t="inlineStr">
        <is>
          <t>NORDANSTIG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25671-2020</t>
        </is>
      </c>
      <c r="B156" s="1" t="n">
        <v>43983</v>
      </c>
      <c r="C156" s="1" t="n">
        <v>45572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25925-2020</t>
        </is>
      </c>
      <c r="B157" s="1" t="n">
        <v>43984</v>
      </c>
      <c r="C157" s="1" t="n">
        <v>45572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26150-2020</t>
        </is>
      </c>
      <c r="B158" s="1" t="n">
        <v>43985</v>
      </c>
      <c r="C158" s="1" t="n">
        <v>45572</v>
      </c>
      <c r="D158" t="inlineStr">
        <is>
          <t>GÄVLEBORGS LÄN</t>
        </is>
      </c>
      <c r="E158" t="inlineStr">
        <is>
          <t>NORDANSTIG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26285-2020</t>
        </is>
      </c>
      <c r="B159" s="1" t="n">
        <v>43986</v>
      </c>
      <c r="C159" s="1" t="n">
        <v>45572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27175-2020</t>
        </is>
      </c>
      <c r="B160" s="1" t="n">
        <v>43991</v>
      </c>
      <c r="C160" s="1" t="n">
        <v>45572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27176-2020</t>
        </is>
      </c>
      <c r="B161" s="1" t="n">
        <v>43991</v>
      </c>
      <c r="C161" s="1" t="n">
        <v>45572</v>
      </c>
      <c r="D161" t="inlineStr">
        <is>
          <t>GÄVLEBORGS LÄN</t>
        </is>
      </c>
      <c r="E161" t="inlineStr">
        <is>
          <t>NORDANSTIG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27237-2020</t>
        </is>
      </c>
      <c r="B162" s="1" t="n">
        <v>43992</v>
      </c>
      <c r="C162" s="1" t="n">
        <v>45572</v>
      </c>
      <c r="D162" t="inlineStr">
        <is>
          <t>GÄVLEBORGS LÄN</t>
        </is>
      </c>
      <c r="E162" t="inlineStr">
        <is>
          <t>NORDANSTIG</t>
        </is>
      </c>
      <c r="G162" t="n">
        <v>33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27769-2020</t>
        </is>
      </c>
      <c r="B163" s="1" t="n">
        <v>43994</v>
      </c>
      <c r="C163" s="1" t="n">
        <v>45572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27783-2020</t>
        </is>
      </c>
      <c r="B164" s="1" t="n">
        <v>43994</v>
      </c>
      <c r="C164" s="1" t="n">
        <v>45572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29146-2020</t>
        </is>
      </c>
      <c r="B165" s="1" t="n">
        <v>44004</v>
      </c>
      <c r="C165" s="1" t="n">
        <v>45572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29124-2020</t>
        </is>
      </c>
      <c r="B166" s="1" t="n">
        <v>44004</v>
      </c>
      <c r="C166" s="1" t="n">
        <v>45572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29284-2020</t>
        </is>
      </c>
      <c r="B167" s="1" t="n">
        <v>44004</v>
      </c>
      <c r="C167" s="1" t="n">
        <v>45572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29653-2020</t>
        </is>
      </c>
      <c r="B168" s="1" t="n">
        <v>44005</v>
      </c>
      <c r="C168" s="1" t="n">
        <v>45572</v>
      </c>
      <c r="D168" t="inlineStr">
        <is>
          <t>GÄVLEBORGS LÄN</t>
        </is>
      </c>
      <c r="E168" t="inlineStr">
        <is>
          <t>NORDANSTIG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30191-2020</t>
        </is>
      </c>
      <c r="B169" s="1" t="n">
        <v>44007</v>
      </c>
      <c r="C169" s="1" t="n">
        <v>45572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30448-2020</t>
        </is>
      </c>
      <c r="B170" s="1" t="n">
        <v>44007</v>
      </c>
      <c r="C170" s="1" t="n">
        <v>45572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30450-2020</t>
        </is>
      </c>
      <c r="B171" s="1" t="n">
        <v>44007</v>
      </c>
      <c r="C171" s="1" t="n">
        <v>45572</v>
      </c>
      <c r="D171" t="inlineStr">
        <is>
          <t>GÄVLEBORGS LÄN</t>
        </is>
      </c>
      <c r="E171" t="inlineStr">
        <is>
          <t>NORDANSTIG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30449-2020</t>
        </is>
      </c>
      <c r="B172" s="1" t="n">
        <v>44007</v>
      </c>
      <c r="C172" s="1" t="n">
        <v>45572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30817-2020</t>
        </is>
      </c>
      <c r="B173" s="1" t="n">
        <v>44011</v>
      </c>
      <c r="C173" s="1" t="n">
        <v>45572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30927-2020</t>
        </is>
      </c>
      <c r="B174" s="1" t="n">
        <v>44011</v>
      </c>
      <c r="C174" s="1" t="n">
        <v>45572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31183-2020</t>
        </is>
      </c>
      <c r="B175" s="1" t="n">
        <v>44012</v>
      </c>
      <c r="C175" s="1" t="n">
        <v>45572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31193-2020</t>
        </is>
      </c>
      <c r="B176" s="1" t="n">
        <v>44012</v>
      </c>
      <c r="C176" s="1" t="n">
        <v>45572</v>
      </c>
      <c r="D176" t="inlineStr">
        <is>
          <t>GÄVLEBORGS LÄN</t>
        </is>
      </c>
      <c r="E176" t="inlineStr">
        <is>
          <t>NORDANSTIG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31202-2020</t>
        </is>
      </c>
      <c r="B177" s="1" t="n">
        <v>44012</v>
      </c>
      <c r="C177" s="1" t="n">
        <v>45572</v>
      </c>
      <c r="D177" t="inlineStr">
        <is>
          <t>GÄVLEBORGS LÄN</t>
        </is>
      </c>
      <c r="E177" t="inlineStr">
        <is>
          <t>NORDANSTIG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31408-2020</t>
        </is>
      </c>
      <c r="B178" s="1" t="n">
        <v>44013</v>
      </c>
      <c r="C178" s="1" t="n">
        <v>45572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31402-2020</t>
        </is>
      </c>
      <c r="B179" s="1" t="n">
        <v>44013</v>
      </c>
      <c r="C179" s="1" t="n">
        <v>45572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31491-2020</t>
        </is>
      </c>
      <c r="B180" s="1" t="n">
        <v>44013</v>
      </c>
      <c r="C180" s="1" t="n">
        <v>45572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32527-2020</t>
        </is>
      </c>
      <c r="B181" s="1" t="n">
        <v>44018</v>
      </c>
      <c r="C181" s="1" t="n">
        <v>45572</v>
      </c>
      <c r="D181" t="inlineStr">
        <is>
          <t>GÄVLEBORGS LÄN</t>
        </is>
      </c>
      <c r="E181" t="inlineStr">
        <is>
          <t>NORDANSTIG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34036-2020</t>
        </is>
      </c>
      <c r="B182" s="1" t="n">
        <v>44028</v>
      </c>
      <c r="C182" s="1" t="n">
        <v>45572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34627-2020</t>
        </is>
      </c>
      <c r="B183" s="1" t="n">
        <v>44034</v>
      </c>
      <c r="C183" s="1" t="n">
        <v>45572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34625-2020</t>
        </is>
      </c>
      <c r="B184" s="1" t="n">
        <v>44034</v>
      </c>
      <c r="C184" s="1" t="n">
        <v>45572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36209-2020</t>
        </is>
      </c>
      <c r="B185" s="1" t="n">
        <v>44048</v>
      </c>
      <c r="C185" s="1" t="n">
        <v>45572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36636-2020</t>
        </is>
      </c>
      <c r="B186" s="1" t="n">
        <v>44050</v>
      </c>
      <c r="C186" s="1" t="n">
        <v>45572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37034-2020</t>
        </is>
      </c>
      <c r="B187" s="1" t="n">
        <v>44054</v>
      </c>
      <c r="C187" s="1" t="n">
        <v>45572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37159-2020</t>
        </is>
      </c>
      <c r="B188" s="1" t="n">
        <v>44054</v>
      </c>
      <c r="C188" s="1" t="n">
        <v>45572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37453-2020</t>
        </is>
      </c>
      <c r="B189" s="1" t="n">
        <v>44055</v>
      </c>
      <c r="C189" s="1" t="n">
        <v>45572</v>
      </c>
      <c r="D189" t="inlineStr">
        <is>
          <t>GÄVLEBORGS LÄN</t>
        </is>
      </c>
      <c r="E189" t="inlineStr">
        <is>
          <t>NORDANSTIG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37449-2020</t>
        </is>
      </c>
      <c r="B190" s="1" t="n">
        <v>44055</v>
      </c>
      <c r="C190" s="1" t="n">
        <v>45572</v>
      </c>
      <c r="D190" t="inlineStr">
        <is>
          <t>GÄVLEBORGS LÄN</t>
        </is>
      </c>
      <c r="E190" t="inlineStr">
        <is>
          <t>NORDANSTIG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38633-2020</t>
        </is>
      </c>
      <c r="B191" s="1" t="n">
        <v>44061</v>
      </c>
      <c r="C191" s="1" t="n">
        <v>45572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39524-2020</t>
        </is>
      </c>
      <c r="B192" s="1" t="n">
        <v>44064</v>
      </c>
      <c r="C192" s="1" t="n">
        <v>45572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HYPERLINK("https://klasma.github.io/Logging_2132/knärot/A 39524-2020 karta knärot.png", "A 39524-2020")</f>
        <v/>
      </c>
      <c r="V192">
        <f>HYPERLINK("https://klasma.github.io/Logging_2132/klagomål/A 39524-2020 FSC-klagomål.docx", "A 39524-2020")</f>
        <v/>
      </c>
      <c r="W192">
        <f>HYPERLINK("https://klasma.github.io/Logging_2132/klagomålsmail/A 39524-2020 FSC-klagomål mail.docx", "A 39524-2020")</f>
        <v/>
      </c>
      <c r="X192">
        <f>HYPERLINK("https://klasma.github.io/Logging_2132/tillsyn/A 39524-2020 tillsynsbegäran.docx", "A 39524-2020")</f>
        <v/>
      </c>
      <c r="Y192">
        <f>HYPERLINK("https://klasma.github.io/Logging_2132/tillsynsmail/A 39524-2020 tillsynsbegäran mail.docx", "A 39524-2020")</f>
        <v/>
      </c>
    </row>
    <row r="193" ht="15" customHeight="1">
      <c r="A193" t="inlineStr">
        <is>
          <t>A 43668-2020</t>
        </is>
      </c>
      <c r="B193" s="1" t="n">
        <v>44082</v>
      </c>
      <c r="C193" s="1" t="n">
        <v>45572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43662-2020</t>
        </is>
      </c>
      <c r="B194" s="1" t="n">
        <v>44082</v>
      </c>
      <c r="C194" s="1" t="n">
        <v>45572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45683-2020</t>
        </is>
      </c>
      <c r="B195" s="1" t="n">
        <v>44090</v>
      </c>
      <c r="C195" s="1" t="n">
        <v>45572</v>
      </c>
      <c r="D195" t="inlineStr">
        <is>
          <t>GÄVLEBORGS LÄN</t>
        </is>
      </c>
      <c r="E195" t="inlineStr">
        <is>
          <t>NORDANSTIG</t>
        </is>
      </c>
      <c r="G195" t="n">
        <v>31.9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45573-2020</t>
        </is>
      </c>
      <c r="B196" s="1" t="n">
        <v>44090</v>
      </c>
      <c r="C196" s="1" t="n">
        <v>45572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46346-2020</t>
        </is>
      </c>
      <c r="B197" s="1" t="n">
        <v>44092</v>
      </c>
      <c r="C197" s="1" t="n">
        <v>45572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46334-2020</t>
        </is>
      </c>
      <c r="B198" s="1" t="n">
        <v>44092</v>
      </c>
      <c r="C198" s="1" t="n">
        <v>45572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46646-2020</t>
        </is>
      </c>
      <c r="B199" s="1" t="n">
        <v>44095</v>
      </c>
      <c r="C199" s="1" t="n">
        <v>45572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48366-2020</t>
        </is>
      </c>
      <c r="B200" s="1" t="n">
        <v>44102</v>
      </c>
      <c r="C200" s="1" t="n">
        <v>45572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49160-2020</t>
        </is>
      </c>
      <c r="B201" s="1" t="n">
        <v>44104</v>
      </c>
      <c r="C201" s="1" t="n">
        <v>45572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50069-2020</t>
        </is>
      </c>
      <c r="B202" s="1" t="n">
        <v>44109</v>
      </c>
      <c r="C202" s="1" t="n">
        <v>45572</v>
      </c>
      <c r="D202" t="inlineStr">
        <is>
          <t>GÄVLEBORGS LÄN</t>
        </is>
      </c>
      <c r="E202" t="inlineStr">
        <is>
          <t>NORDANSTIG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51062-2020</t>
        </is>
      </c>
      <c r="B203" s="1" t="n">
        <v>44112</v>
      </c>
      <c r="C203" s="1" t="n">
        <v>45572</v>
      </c>
      <c r="D203" t="inlineStr">
        <is>
          <t>GÄVLEBORGS LÄN</t>
        </is>
      </c>
      <c r="E203" t="inlineStr">
        <is>
          <t>NORDANSTIG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51669-2020</t>
        </is>
      </c>
      <c r="B204" s="1" t="n">
        <v>44113</v>
      </c>
      <c r="C204" s="1" t="n">
        <v>45572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45572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52966-2020</t>
        </is>
      </c>
      <c r="B206" s="1" t="n">
        <v>44120</v>
      </c>
      <c r="C206" s="1" t="n">
        <v>45572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53648-2020</t>
        </is>
      </c>
      <c r="B207" s="1" t="n">
        <v>44124</v>
      </c>
      <c r="C207" s="1" t="n">
        <v>45572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53939-2020</t>
        </is>
      </c>
      <c r="B208" s="1" t="n">
        <v>44125</v>
      </c>
      <c r="C208" s="1" t="n">
        <v>45572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54745-2020</t>
        </is>
      </c>
      <c r="B209" s="1" t="n">
        <v>44127</v>
      </c>
      <c r="C209" s="1" t="n">
        <v>45572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54661-2020</t>
        </is>
      </c>
      <c r="B210" s="1" t="n">
        <v>44127</v>
      </c>
      <c r="C210" s="1" t="n">
        <v>45572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55131-2020</t>
        </is>
      </c>
      <c r="B211" s="1" t="n">
        <v>44130</v>
      </c>
      <c r="C211" s="1" t="n">
        <v>45572</v>
      </c>
      <c r="D211" t="inlineStr">
        <is>
          <t>GÄVLEBORGS LÄN</t>
        </is>
      </c>
      <c r="E211" t="inlineStr">
        <is>
          <t>NORDANSTIG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55147-2020</t>
        </is>
      </c>
      <c r="B212" s="1" t="n">
        <v>44130</v>
      </c>
      <c r="C212" s="1" t="n">
        <v>45572</v>
      </c>
      <c r="D212" t="inlineStr">
        <is>
          <t>GÄVLEBORGS LÄN</t>
        </is>
      </c>
      <c r="E212" t="inlineStr">
        <is>
          <t>NORDANSTIG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55766-2020</t>
        </is>
      </c>
      <c r="B213" s="1" t="n">
        <v>44132</v>
      </c>
      <c r="C213" s="1" t="n">
        <v>45572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56991-2020</t>
        </is>
      </c>
      <c r="B214" s="1" t="n">
        <v>44138</v>
      </c>
      <c r="C214" s="1" t="n">
        <v>45572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57194-2020</t>
        </is>
      </c>
      <c r="B215" s="1" t="n">
        <v>44139</v>
      </c>
      <c r="C215" s="1" t="n">
        <v>45572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57244-2020</t>
        </is>
      </c>
      <c r="B216" s="1" t="n">
        <v>44139</v>
      </c>
      <c r="C216" s="1" t="n">
        <v>45572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57273-2020</t>
        </is>
      </c>
      <c r="B217" s="1" t="n">
        <v>44139</v>
      </c>
      <c r="C217" s="1" t="n">
        <v>45572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57886-2020</t>
        </is>
      </c>
      <c r="B218" s="1" t="n">
        <v>44140</v>
      </c>
      <c r="C218" s="1" t="n">
        <v>45572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58732-2020</t>
        </is>
      </c>
      <c r="B219" s="1" t="n">
        <v>44146</v>
      </c>
      <c r="C219" s="1" t="n">
        <v>45572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59213-2020</t>
        </is>
      </c>
      <c r="B220" s="1" t="n">
        <v>44147</v>
      </c>
      <c r="C220" s="1" t="n">
        <v>45572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60085-2020</t>
        </is>
      </c>
      <c r="B221" s="1" t="n">
        <v>44152</v>
      </c>
      <c r="C221" s="1" t="n">
        <v>45572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60908-2020</t>
        </is>
      </c>
      <c r="B222" s="1" t="n">
        <v>44154</v>
      </c>
      <c r="C222" s="1" t="n">
        <v>45572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64173-2020</t>
        </is>
      </c>
      <c r="B223" s="1" t="n">
        <v>44167</v>
      </c>
      <c r="C223" s="1" t="n">
        <v>45572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65089-2020</t>
        </is>
      </c>
      <c r="B224" s="1" t="n">
        <v>44172</v>
      </c>
      <c r="C224" s="1" t="n">
        <v>45572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65259-2020</t>
        </is>
      </c>
      <c r="B225" s="1" t="n">
        <v>44172</v>
      </c>
      <c r="C225" s="1" t="n">
        <v>45572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65842-2020</t>
        </is>
      </c>
      <c r="B226" s="1" t="n">
        <v>44174</v>
      </c>
      <c r="C226" s="1" t="n">
        <v>45572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69086-2020</t>
        </is>
      </c>
      <c r="B227" s="1" t="n">
        <v>44188</v>
      </c>
      <c r="C227" s="1" t="n">
        <v>45572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69185-2020</t>
        </is>
      </c>
      <c r="B228" s="1" t="n">
        <v>44190</v>
      </c>
      <c r="C228" s="1" t="n">
        <v>45572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69186-2020</t>
        </is>
      </c>
      <c r="B229" s="1" t="n">
        <v>44190</v>
      </c>
      <c r="C229" s="1" t="n">
        <v>45572</v>
      </c>
      <c r="D229" t="inlineStr">
        <is>
          <t>GÄVLEBORGS LÄN</t>
        </is>
      </c>
      <c r="E229" t="inlineStr">
        <is>
          <t>NORDANSTIG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69187-2020</t>
        </is>
      </c>
      <c r="B230" s="1" t="n">
        <v>44190</v>
      </c>
      <c r="C230" s="1" t="n">
        <v>45572</v>
      </c>
      <c r="D230" t="inlineStr">
        <is>
          <t>GÄVLEBORGS LÄN</t>
        </is>
      </c>
      <c r="E230" t="inlineStr">
        <is>
          <t>NORDANSTIG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69184-2020</t>
        </is>
      </c>
      <c r="B231" s="1" t="n">
        <v>44190</v>
      </c>
      <c r="C231" s="1" t="n">
        <v>45572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605-2021</t>
        </is>
      </c>
      <c r="B232" s="1" t="n">
        <v>44203</v>
      </c>
      <c r="C232" s="1" t="n">
        <v>45572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1024-2021</t>
        </is>
      </c>
      <c r="B233" s="1" t="n">
        <v>44207</v>
      </c>
      <c r="C233" s="1" t="n">
        <v>45572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1236-2021</t>
        </is>
      </c>
      <c r="B234" s="1" t="n">
        <v>44208</v>
      </c>
      <c r="C234" s="1" t="n">
        <v>45572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1190-2021</t>
        </is>
      </c>
      <c r="B235" s="1" t="n">
        <v>44208</v>
      </c>
      <c r="C235" s="1" t="n">
        <v>45572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1373-2021</t>
        </is>
      </c>
      <c r="B236" s="1" t="n">
        <v>44208</v>
      </c>
      <c r="C236" s="1" t="n">
        <v>45572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1569-2021</t>
        </is>
      </c>
      <c r="B237" s="1" t="n">
        <v>44208</v>
      </c>
      <c r="C237" s="1" t="n">
        <v>45572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3456-2021</t>
        </is>
      </c>
      <c r="B238" s="1" t="n">
        <v>44218</v>
      </c>
      <c r="C238" s="1" t="n">
        <v>45572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3509-2021</t>
        </is>
      </c>
      <c r="B239" s="1" t="n">
        <v>44218</v>
      </c>
      <c r="C239" s="1" t="n">
        <v>45572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3705-2021</t>
        </is>
      </c>
      <c r="B240" s="1" t="n">
        <v>44221</v>
      </c>
      <c r="C240" s="1" t="n">
        <v>45572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4366-2021</t>
        </is>
      </c>
      <c r="B241" s="1" t="n">
        <v>44223</v>
      </c>
      <c r="C241" s="1" t="n">
        <v>45572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4954-2021</t>
        </is>
      </c>
      <c r="B242" s="1" t="n">
        <v>44228</v>
      </c>
      <c r="C242" s="1" t="n">
        <v>45572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5843-2021</t>
        </is>
      </c>
      <c r="B243" s="1" t="n">
        <v>44231</v>
      </c>
      <c r="C243" s="1" t="n">
        <v>45572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5916-2021</t>
        </is>
      </c>
      <c r="B244" s="1" t="n">
        <v>44231</v>
      </c>
      <c r="C244" s="1" t="n">
        <v>45572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5949-2021</t>
        </is>
      </c>
      <c r="B245" s="1" t="n">
        <v>44231</v>
      </c>
      <c r="C245" s="1" t="n">
        <v>45572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6344-2021</t>
        </is>
      </c>
      <c r="B246" s="1" t="n">
        <v>44235</v>
      </c>
      <c r="C246" s="1" t="n">
        <v>45572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6529-2021</t>
        </is>
      </c>
      <c r="B247" s="1" t="n">
        <v>44236</v>
      </c>
      <c r="C247" s="1" t="n">
        <v>45572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6561-2021</t>
        </is>
      </c>
      <c r="B248" s="1" t="n">
        <v>44236</v>
      </c>
      <c r="C248" s="1" t="n">
        <v>45572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6718-2021</t>
        </is>
      </c>
      <c r="B249" s="1" t="n">
        <v>44236</v>
      </c>
      <c r="C249" s="1" t="n">
        <v>45572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6983-2021</t>
        </is>
      </c>
      <c r="B250" s="1" t="n">
        <v>44237</v>
      </c>
      <c r="C250" s="1" t="n">
        <v>45572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7080-2021</t>
        </is>
      </c>
      <c r="B251" s="1" t="n">
        <v>44237</v>
      </c>
      <c r="C251" s="1" t="n">
        <v>45572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7804-2021</t>
        </is>
      </c>
      <c r="B252" s="1" t="n">
        <v>44242</v>
      </c>
      <c r="C252" s="1" t="n">
        <v>45572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8039-2021</t>
        </is>
      </c>
      <c r="B253" s="1" t="n">
        <v>44243</v>
      </c>
      <c r="C253" s="1" t="n">
        <v>45572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8942-2021</t>
        </is>
      </c>
      <c r="B254" s="1" t="n">
        <v>44249</v>
      </c>
      <c r="C254" s="1" t="n">
        <v>45572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8924-2021</t>
        </is>
      </c>
      <c r="B255" s="1" t="n">
        <v>44249</v>
      </c>
      <c r="C255" s="1" t="n">
        <v>45572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10548-2021</t>
        </is>
      </c>
      <c r="B256" s="1" t="n">
        <v>44258</v>
      </c>
      <c r="C256" s="1" t="n">
        <v>45572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10612-2021</t>
        </is>
      </c>
      <c r="B257" s="1" t="n">
        <v>44258</v>
      </c>
      <c r="C257" s="1" t="n">
        <v>45572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11214-2021</t>
        </is>
      </c>
      <c r="B258" s="1" t="n">
        <v>44263</v>
      </c>
      <c r="C258" s="1" t="n">
        <v>45572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11308-2021</t>
        </is>
      </c>
      <c r="B259" s="1" t="n">
        <v>44263</v>
      </c>
      <c r="C259" s="1" t="n">
        <v>45572</v>
      </c>
      <c r="D259" t="inlineStr">
        <is>
          <t>GÄVLEBORGS LÄN</t>
        </is>
      </c>
      <c r="E259" t="inlineStr">
        <is>
          <t>NORDANSTIG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11366-2021</t>
        </is>
      </c>
      <c r="B260" s="1" t="n">
        <v>44263</v>
      </c>
      <c r="C260" s="1" t="n">
        <v>45572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11795-2021</t>
        </is>
      </c>
      <c r="B261" s="1" t="n">
        <v>44265</v>
      </c>
      <c r="C261" s="1" t="n">
        <v>45572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15173-2021</t>
        </is>
      </c>
      <c r="B262" s="1" t="n">
        <v>44284</v>
      </c>
      <c r="C262" s="1" t="n">
        <v>45572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15292-2021</t>
        </is>
      </c>
      <c r="B263" s="1" t="n">
        <v>44284</v>
      </c>
      <c r="C263" s="1" t="n">
        <v>45572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15304-2021</t>
        </is>
      </c>
      <c r="B264" s="1" t="n">
        <v>44284</v>
      </c>
      <c r="C264" s="1" t="n">
        <v>45572</v>
      </c>
      <c r="D264" t="inlineStr">
        <is>
          <t>GÄVLEBORGS LÄN</t>
        </is>
      </c>
      <c r="E264" t="inlineStr">
        <is>
          <t>NORDANSTIG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15982-2021</t>
        </is>
      </c>
      <c r="B265" s="1" t="n">
        <v>44287</v>
      </c>
      <c r="C265" s="1" t="n">
        <v>45572</v>
      </c>
      <c r="D265" t="inlineStr">
        <is>
          <t>GÄVLEBORGS LÄN</t>
        </is>
      </c>
      <c r="E265" t="inlineStr">
        <is>
          <t>NORDANSTIG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17983-2021</t>
        </is>
      </c>
      <c r="B266" s="1" t="n">
        <v>44301</v>
      </c>
      <c r="C266" s="1" t="n">
        <v>45572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18398-2021</t>
        </is>
      </c>
      <c r="B267" s="1" t="n">
        <v>44305</v>
      </c>
      <c r="C267" s="1" t="n">
        <v>45572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18430-2021</t>
        </is>
      </c>
      <c r="B268" s="1" t="n">
        <v>44305</v>
      </c>
      <c r="C268" s="1" t="n">
        <v>45572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18394-2021</t>
        </is>
      </c>
      <c r="B269" s="1" t="n">
        <v>44305</v>
      </c>
      <c r="C269" s="1" t="n">
        <v>45572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19264-2021</t>
        </is>
      </c>
      <c r="B270" s="1" t="n">
        <v>44309</v>
      </c>
      <c r="C270" s="1" t="n">
        <v>45572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19496-2021</t>
        </is>
      </c>
      <c r="B271" s="1" t="n">
        <v>44312</v>
      </c>
      <c r="C271" s="1" t="n">
        <v>45572</v>
      </c>
      <c r="D271" t="inlineStr">
        <is>
          <t>GÄVLEBORGS LÄN</t>
        </is>
      </c>
      <c r="E271" t="inlineStr">
        <is>
          <t>NORDANSTIG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19728-2021</t>
        </is>
      </c>
      <c r="B272" s="1" t="n">
        <v>44313</v>
      </c>
      <c r="C272" s="1" t="n">
        <v>45572</v>
      </c>
      <c r="D272" t="inlineStr">
        <is>
          <t>GÄVLEBORGS LÄN</t>
        </is>
      </c>
      <c r="E272" t="inlineStr">
        <is>
          <t>NORDANSTIG</t>
        </is>
      </c>
      <c r="G272" t="n">
        <v>69.09999999999999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20995-2021</t>
        </is>
      </c>
      <c r="B273" s="1" t="n">
        <v>44319</v>
      </c>
      <c r="C273" s="1" t="n">
        <v>45572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21175-2021</t>
        </is>
      </c>
      <c r="B274" s="1" t="n">
        <v>44320</v>
      </c>
      <c r="C274" s="1" t="n">
        <v>45572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23066-2021</t>
        </is>
      </c>
      <c r="B275" s="1" t="n">
        <v>44329</v>
      </c>
      <c r="C275" s="1" t="n">
        <v>45572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23134-2021</t>
        </is>
      </c>
      <c r="B276" s="1" t="n">
        <v>44330</v>
      </c>
      <c r="C276" s="1" t="n">
        <v>45572</v>
      </c>
      <c r="D276" t="inlineStr">
        <is>
          <t>GÄVLEBORGS LÄN</t>
        </is>
      </c>
      <c r="E276" t="inlineStr">
        <is>
          <t>NORDANSTIG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24424-2021</t>
        </is>
      </c>
      <c r="B277" s="1" t="n">
        <v>44337</v>
      </c>
      <c r="C277" s="1" t="n">
        <v>45572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25315-2021</t>
        </is>
      </c>
      <c r="B278" s="1" t="n">
        <v>44342</v>
      </c>
      <c r="C278" s="1" t="n">
        <v>45572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26573-2021</t>
        </is>
      </c>
      <c r="B279" s="1" t="n">
        <v>44348</v>
      </c>
      <c r="C279" s="1" t="n">
        <v>45572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26503-2021</t>
        </is>
      </c>
      <c r="B280" s="1" t="n">
        <v>44348</v>
      </c>
      <c r="C280" s="1" t="n">
        <v>45572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26501-2021</t>
        </is>
      </c>
      <c r="B281" s="1" t="n">
        <v>44348</v>
      </c>
      <c r="C281" s="1" t="n">
        <v>45572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26827-2021</t>
        </is>
      </c>
      <c r="B282" s="1" t="n">
        <v>44349</v>
      </c>
      <c r="C282" s="1" t="n">
        <v>45572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26833-2021</t>
        </is>
      </c>
      <c r="B283" s="1" t="n">
        <v>44349</v>
      </c>
      <c r="C283" s="1" t="n">
        <v>45572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26869-2021</t>
        </is>
      </c>
      <c r="B284" s="1" t="n">
        <v>44349</v>
      </c>
      <c r="C284" s="1" t="n">
        <v>45572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</v>
      </c>
      <c r="C285" s="1" t="n">
        <v>45572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28048-2021</t>
        </is>
      </c>
      <c r="B286" s="1" t="n">
        <v>44355</v>
      </c>
      <c r="C286" s="1" t="n">
        <v>45572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28248-2021</t>
        </is>
      </c>
      <c r="B287" s="1" t="n">
        <v>44355</v>
      </c>
      <c r="C287" s="1" t="n">
        <v>45572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28760-2021</t>
        </is>
      </c>
      <c r="B288" s="1" t="n">
        <v>44357</v>
      </c>
      <c r="C288" s="1" t="n">
        <v>45572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28878-2021</t>
        </is>
      </c>
      <c r="B289" s="1" t="n">
        <v>44357</v>
      </c>
      <c r="C289" s="1" t="n">
        <v>45572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28879-2021</t>
        </is>
      </c>
      <c r="B290" s="1" t="n">
        <v>44357</v>
      </c>
      <c r="C290" s="1" t="n">
        <v>45572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29593-2021</t>
        </is>
      </c>
      <c r="B291" s="1" t="n">
        <v>44362</v>
      </c>
      <c r="C291" s="1" t="n">
        <v>45572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29828-2021</t>
        </is>
      </c>
      <c r="B292" s="1" t="n">
        <v>44362</v>
      </c>
      <c r="C292" s="1" t="n">
        <v>45572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30515-2021</t>
        </is>
      </c>
      <c r="B293" s="1" t="n">
        <v>44364</v>
      </c>
      <c r="C293" s="1" t="n">
        <v>45572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31923-2021</t>
        </is>
      </c>
      <c r="B294" s="1" t="n">
        <v>44370</v>
      </c>
      <c r="C294" s="1" t="n">
        <v>45572</v>
      </c>
      <c r="D294" t="inlineStr">
        <is>
          <t>GÄVLEBORGS LÄN</t>
        </is>
      </c>
      <c r="E294" t="inlineStr">
        <is>
          <t>NORDANSTIG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31930-2021</t>
        </is>
      </c>
      <c r="B295" s="1" t="n">
        <v>44370</v>
      </c>
      <c r="C295" s="1" t="n">
        <v>45572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32043-2021</t>
        </is>
      </c>
      <c r="B296" s="1" t="n">
        <v>44370</v>
      </c>
      <c r="C296" s="1" t="n">
        <v>45572</v>
      </c>
      <c r="D296" t="inlineStr">
        <is>
          <t>GÄVLEBORGS LÄN</t>
        </is>
      </c>
      <c r="E296" t="inlineStr">
        <is>
          <t>NORDANSTIG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34286-2021</t>
        </is>
      </c>
      <c r="B297" s="1" t="n">
        <v>44379</v>
      </c>
      <c r="C297" s="1" t="n">
        <v>45572</v>
      </c>
      <c r="D297" t="inlineStr">
        <is>
          <t>GÄVLEBORGS LÄN</t>
        </is>
      </c>
      <c r="E297" t="inlineStr">
        <is>
          <t>NORDANSTIG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34542-2021</t>
        </is>
      </c>
      <c r="B298" s="1" t="n">
        <v>44382</v>
      </c>
      <c r="C298" s="1" t="n">
        <v>45572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35859-2021</t>
        </is>
      </c>
      <c r="B299" s="1" t="n">
        <v>44386</v>
      </c>
      <c r="C299" s="1" t="n">
        <v>45572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37203-2021</t>
        </is>
      </c>
      <c r="B300" s="1" t="n">
        <v>44396</v>
      </c>
      <c r="C300" s="1" t="n">
        <v>45572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37845-2021</t>
        </is>
      </c>
      <c r="B301" s="1" t="n">
        <v>44403</v>
      </c>
      <c r="C301" s="1" t="n">
        <v>45572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39687-2021</t>
        </is>
      </c>
      <c r="B302" s="1" t="n">
        <v>44417</v>
      </c>
      <c r="C302" s="1" t="n">
        <v>45572</v>
      </c>
      <c r="D302" t="inlineStr">
        <is>
          <t>GÄVLEBORGS LÄN</t>
        </is>
      </c>
      <c r="E302" t="inlineStr">
        <is>
          <t>NORDANSTIG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40764-2021</t>
        </is>
      </c>
      <c r="B303" s="1" t="n">
        <v>44421</v>
      </c>
      <c r="C303" s="1" t="n">
        <v>45572</v>
      </c>
      <c r="D303" t="inlineStr">
        <is>
          <t>GÄVLEBORGS LÄN</t>
        </is>
      </c>
      <c r="E303" t="inlineStr">
        <is>
          <t>NORDANSTIG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40931-2021</t>
        </is>
      </c>
      <c r="B304" s="1" t="n">
        <v>44421</v>
      </c>
      <c r="C304" s="1" t="n">
        <v>45572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43441-2021</t>
        </is>
      </c>
      <c r="B305" s="1" t="n">
        <v>44432</v>
      </c>
      <c r="C305" s="1" t="n">
        <v>45572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43589-2021</t>
        </is>
      </c>
      <c r="B306" s="1" t="n">
        <v>44433</v>
      </c>
      <c r="C306" s="1" t="n">
        <v>45572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43883-2021</t>
        </is>
      </c>
      <c r="B307" s="1" t="n">
        <v>44434</v>
      </c>
      <c r="C307" s="1" t="n">
        <v>45572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44513-2021</t>
        </is>
      </c>
      <c r="B308" s="1" t="n">
        <v>44435</v>
      </c>
      <c r="C308" s="1" t="n">
        <v>45572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45061-2021</t>
        </is>
      </c>
      <c r="B309" s="1" t="n">
        <v>44439</v>
      </c>
      <c r="C309" s="1" t="n">
        <v>45572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45272-2021</t>
        </is>
      </c>
      <c r="B310" s="1" t="n">
        <v>44439</v>
      </c>
      <c r="C310" s="1" t="n">
        <v>45572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45408-2021</t>
        </is>
      </c>
      <c r="B311" s="1" t="n">
        <v>44440</v>
      </c>
      <c r="C311" s="1" t="n">
        <v>45572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45879-2021</t>
        </is>
      </c>
      <c r="B312" s="1" t="n">
        <v>44441</v>
      </c>
      <c r="C312" s="1" t="n">
        <v>45572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46156-2021</t>
        </is>
      </c>
      <c r="B313" s="1" t="n">
        <v>44442</v>
      </c>
      <c r="C313" s="1" t="n">
        <v>45572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46198-2021</t>
        </is>
      </c>
      <c r="B314" s="1" t="n">
        <v>44442</v>
      </c>
      <c r="C314" s="1" t="n">
        <v>45572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46198-2021 karta knärot.png", "A 46198-2021")</f>
        <v/>
      </c>
      <c r="V314">
        <f>HYPERLINK("https://klasma.github.io/Logging_2132/klagomål/A 46198-2021 FSC-klagomål.docx", "A 46198-2021")</f>
        <v/>
      </c>
      <c r="W314">
        <f>HYPERLINK("https://klasma.github.io/Logging_2132/klagomålsmail/A 46198-2021 FSC-klagomål mail.docx", "A 46198-2021")</f>
        <v/>
      </c>
      <c r="X314">
        <f>HYPERLINK("https://klasma.github.io/Logging_2132/tillsyn/A 46198-2021 tillsynsbegäran.docx", "A 46198-2021")</f>
        <v/>
      </c>
      <c r="Y314">
        <f>HYPERLINK("https://klasma.github.io/Logging_2132/tillsynsmail/A 46198-2021 tillsynsbegäran mail.docx", "A 46198-2021")</f>
        <v/>
      </c>
    </row>
    <row r="315" ht="15" customHeight="1">
      <c r="A315" t="inlineStr">
        <is>
          <t>A 47762-2021</t>
        </is>
      </c>
      <c r="B315" s="1" t="n">
        <v>44448</v>
      </c>
      <c r="C315" s="1" t="n">
        <v>45572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48731-2021</t>
        </is>
      </c>
      <c r="B316" s="1" t="n">
        <v>44452</v>
      </c>
      <c r="C316" s="1" t="n">
        <v>45572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49197-2021</t>
        </is>
      </c>
      <c r="B317" s="1" t="n">
        <v>44454</v>
      </c>
      <c r="C317" s="1" t="n">
        <v>45572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49903-2021</t>
        </is>
      </c>
      <c r="B318" s="1" t="n">
        <v>44455</v>
      </c>
      <c r="C318" s="1" t="n">
        <v>45572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50036-2021</t>
        </is>
      </c>
      <c r="B319" s="1" t="n">
        <v>44456</v>
      </c>
      <c r="C319" s="1" t="n">
        <v>45572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50716-2021</t>
        </is>
      </c>
      <c r="B320" s="1" t="n">
        <v>44460</v>
      </c>
      <c r="C320" s="1" t="n">
        <v>45572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50811-2021</t>
        </is>
      </c>
      <c r="B321" s="1" t="n">
        <v>44460</v>
      </c>
      <c r="C321" s="1" t="n">
        <v>45572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51223-2021</t>
        </is>
      </c>
      <c r="B322" s="1" t="n">
        <v>44461</v>
      </c>
      <c r="C322" s="1" t="n">
        <v>45572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51400-2021</t>
        </is>
      </c>
      <c r="B323" s="1" t="n">
        <v>44461</v>
      </c>
      <c r="C323" s="1" t="n">
        <v>45572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51543-2021</t>
        </is>
      </c>
      <c r="B324" s="1" t="n">
        <v>44461</v>
      </c>
      <c r="C324" s="1" t="n">
        <v>45572</v>
      </c>
      <c r="D324" t="inlineStr">
        <is>
          <t>GÄVLEBORGS LÄN</t>
        </is>
      </c>
      <c r="E324" t="inlineStr">
        <is>
          <t>NORDANSTIG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51551-2021</t>
        </is>
      </c>
      <c r="B325" s="1" t="n">
        <v>44462</v>
      </c>
      <c r="C325" s="1" t="n">
        <v>45572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51721-2021</t>
        </is>
      </c>
      <c r="B326" s="1" t="n">
        <v>44462</v>
      </c>
      <c r="C326" s="1" t="n">
        <v>45572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52417-2021</t>
        </is>
      </c>
      <c r="B327" s="1" t="n">
        <v>44466</v>
      </c>
      <c r="C327" s="1" t="n">
        <v>45572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52990-2021</t>
        </is>
      </c>
      <c r="B328" s="1" t="n">
        <v>44467</v>
      </c>
      <c r="C328" s="1" t="n">
        <v>45572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54350-2021</t>
        </is>
      </c>
      <c r="B329" s="1" t="n">
        <v>44473</v>
      </c>
      <c r="C329" s="1" t="n">
        <v>45572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54496-2021</t>
        </is>
      </c>
      <c r="B330" s="1" t="n">
        <v>44473</v>
      </c>
      <c r="C330" s="1" t="n">
        <v>45572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54570-2021</t>
        </is>
      </c>
      <c r="B331" s="1" t="n">
        <v>44473</v>
      </c>
      <c r="C331" s="1" t="n">
        <v>45572</v>
      </c>
      <c r="D331" t="inlineStr">
        <is>
          <t>GÄVLEBORGS LÄN</t>
        </is>
      </c>
      <c r="E331" t="inlineStr">
        <is>
          <t>NORDANSTIG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55314-2021</t>
        </is>
      </c>
      <c r="B332" s="1" t="n">
        <v>44475</v>
      </c>
      <c r="C332" s="1" t="n">
        <v>45572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56992-2021</t>
        </is>
      </c>
      <c r="B333" s="1" t="n">
        <v>44482</v>
      </c>
      <c r="C333" s="1" t="n">
        <v>45572</v>
      </c>
      <c r="D333" t="inlineStr">
        <is>
          <t>GÄVLEBORGS LÄN</t>
        </is>
      </c>
      <c r="E333" t="inlineStr">
        <is>
          <t>NORDANSTIG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57609-2021</t>
        </is>
      </c>
      <c r="B334" s="1" t="n">
        <v>44484</v>
      </c>
      <c r="C334" s="1" t="n">
        <v>45572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57624-2021</t>
        </is>
      </c>
      <c r="B335" s="1" t="n">
        <v>44484</v>
      </c>
      <c r="C335" s="1" t="n">
        <v>45572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58891-2021</t>
        </is>
      </c>
      <c r="B336" s="1" t="n">
        <v>44489</v>
      </c>
      <c r="C336" s="1" t="n">
        <v>45572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59211-2021</t>
        </is>
      </c>
      <c r="B337" s="1" t="n">
        <v>44490</v>
      </c>
      <c r="C337" s="1" t="n">
        <v>45572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59267-2021</t>
        </is>
      </c>
      <c r="B338" s="1" t="n">
        <v>44490</v>
      </c>
      <c r="C338" s="1" t="n">
        <v>45572</v>
      </c>
      <c r="D338" t="inlineStr">
        <is>
          <t>GÄVLEBORGS LÄN</t>
        </is>
      </c>
      <c r="E338" t="inlineStr">
        <is>
          <t>NORDANSTIG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59270-2021</t>
        </is>
      </c>
      <c r="B339" s="1" t="n">
        <v>44490</v>
      </c>
      <c r="C339" s="1" t="n">
        <v>45572</v>
      </c>
      <c r="D339" t="inlineStr">
        <is>
          <t>GÄVLEBORGS LÄN</t>
        </is>
      </c>
      <c r="E339" t="inlineStr">
        <is>
          <t>NORDANSTIG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59583-2021</t>
        </is>
      </c>
      <c r="B340" s="1" t="n">
        <v>44491</v>
      </c>
      <c r="C340" s="1" t="n">
        <v>45572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60968-2021</t>
        </is>
      </c>
      <c r="B341" s="1" t="n">
        <v>44497</v>
      </c>
      <c r="C341" s="1" t="n">
        <v>45572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61777-2021</t>
        </is>
      </c>
      <c r="B342" s="1" t="n">
        <v>44501</v>
      </c>
      <c r="C342" s="1" t="n">
        <v>45572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61772-2021</t>
        </is>
      </c>
      <c r="B343" s="1" t="n">
        <v>44501</v>
      </c>
      <c r="C343" s="1" t="n">
        <v>45572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62089-2021</t>
        </is>
      </c>
      <c r="B344" s="1" t="n">
        <v>44502</v>
      </c>
      <c r="C344" s="1" t="n">
        <v>45572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62111-2021</t>
        </is>
      </c>
      <c r="B345" s="1" t="n">
        <v>44502</v>
      </c>
      <c r="C345" s="1" t="n">
        <v>45572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62065-2021</t>
        </is>
      </c>
      <c r="B346" s="1" t="n">
        <v>44502</v>
      </c>
      <c r="C346" s="1" t="n">
        <v>45572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62450-2021</t>
        </is>
      </c>
      <c r="B347" s="1" t="n">
        <v>44503</v>
      </c>
      <c r="C347" s="1" t="n">
        <v>45572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62465-2021</t>
        </is>
      </c>
      <c r="B348" s="1" t="n">
        <v>44503</v>
      </c>
      <c r="C348" s="1" t="n">
        <v>45572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63656-2021</t>
        </is>
      </c>
      <c r="B349" s="1" t="n">
        <v>44509</v>
      </c>
      <c r="C349" s="1" t="n">
        <v>45572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63703-2021</t>
        </is>
      </c>
      <c r="B350" s="1" t="n">
        <v>44509</v>
      </c>
      <c r="C350" s="1" t="n">
        <v>45572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64712-2021</t>
        </is>
      </c>
      <c r="B351" s="1" t="n">
        <v>44512</v>
      </c>
      <c r="C351" s="1" t="n">
        <v>45572</v>
      </c>
      <c r="D351" t="inlineStr">
        <is>
          <t>GÄVLEBORGS LÄN</t>
        </is>
      </c>
      <c r="E351" t="inlineStr">
        <is>
          <t>NORDANSTIG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64835-2021</t>
        </is>
      </c>
      <c r="B352" s="1" t="n">
        <v>44512</v>
      </c>
      <c r="C352" s="1" t="n">
        <v>45572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65606-2021</t>
        </is>
      </c>
      <c r="B353" s="1" t="n">
        <v>44516</v>
      </c>
      <c r="C353" s="1" t="n">
        <v>45572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66217-2021</t>
        </is>
      </c>
      <c r="B354" s="1" t="n">
        <v>44518</v>
      </c>
      <c r="C354" s="1" t="n">
        <v>45572</v>
      </c>
      <c r="D354" t="inlineStr">
        <is>
          <t>GÄVLEBORGS LÄN</t>
        </is>
      </c>
      <c r="E354" t="inlineStr">
        <is>
          <t>NORDANSTIG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66814-2021</t>
        </is>
      </c>
      <c r="B355" s="1" t="n">
        <v>44522</v>
      </c>
      <c r="C355" s="1" t="n">
        <v>45572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67716-2021</t>
        </is>
      </c>
      <c r="B356" s="1" t="n">
        <v>44525</v>
      </c>
      <c r="C356" s="1" t="n">
        <v>45572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67879-2021</t>
        </is>
      </c>
      <c r="B357" s="1" t="n">
        <v>44525</v>
      </c>
      <c r="C357" s="1" t="n">
        <v>45572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67931-2021</t>
        </is>
      </c>
      <c r="B358" s="1" t="n">
        <v>44525</v>
      </c>
      <c r="C358" s="1" t="n">
        <v>45572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68396-2021</t>
        </is>
      </c>
      <c r="B359" s="1" t="n">
        <v>44529</v>
      </c>
      <c r="C359" s="1" t="n">
        <v>45572</v>
      </c>
      <c r="D359" t="inlineStr">
        <is>
          <t>GÄVLEBORGS LÄN</t>
        </is>
      </c>
      <c r="E359" t="inlineStr">
        <is>
          <t>NORDANSTIG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69127-2021</t>
        </is>
      </c>
      <c r="B360" s="1" t="n">
        <v>44530</v>
      </c>
      <c r="C360" s="1" t="n">
        <v>45572</v>
      </c>
      <c r="D360" t="inlineStr">
        <is>
          <t>GÄVLEBORGS LÄN</t>
        </is>
      </c>
      <c r="E360" t="inlineStr">
        <is>
          <t>NORDANSTIG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69125-2021</t>
        </is>
      </c>
      <c r="B361" s="1" t="n">
        <v>44530</v>
      </c>
      <c r="C361" s="1" t="n">
        <v>45572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69617-2021</t>
        </is>
      </c>
      <c r="B362" s="1" t="n">
        <v>44532</v>
      </c>
      <c r="C362" s="1" t="n">
        <v>45572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71415-2021</t>
        </is>
      </c>
      <c r="B363" s="1" t="n">
        <v>44540</v>
      </c>
      <c r="C363" s="1" t="n">
        <v>45572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71442-2021</t>
        </is>
      </c>
      <c r="B364" s="1" t="n">
        <v>44540</v>
      </c>
      <c r="C364" s="1" t="n">
        <v>45572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71532-2021</t>
        </is>
      </c>
      <c r="B365" s="1" t="n">
        <v>44540</v>
      </c>
      <c r="C365" s="1" t="n">
        <v>45572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71490-2021</t>
        </is>
      </c>
      <c r="B366" s="1" t="n">
        <v>44540</v>
      </c>
      <c r="C366" s="1" t="n">
        <v>45572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71526-2021</t>
        </is>
      </c>
      <c r="B367" s="1" t="n">
        <v>44540</v>
      </c>
      <c r="C367" s="1" t="n">
        <v>45572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71973-2021</t>
        </is>
      </c>
      <c r="B368" s="1" t="n">
        <v>44544</v>
      </c>
      <c r="C368" s="1" t="n">
        <v>45572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72082-2021</t>
        </is>
      </c>
      <c r="B369" s="1" t="n">
        <v>44544</v>
      </c>
      <c r="C369" s="1" t="n">
        <v>45572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72105-2021</t>
        </is>
      </c>
      <c r="B370" s="1" t="n">
        <v>44544</v>
      </c>
      <c r="C370" s="1" t="n">
        <v>45572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72056-2021</t>
        </is>
      </c>
      <c r="B371" s="1" t="n">
        <v>44544</v>
      </c>
      <c r="C371" s="1" t="n">
        <v>45572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72080-2021</t>
        </is>
      </c>
      <c r="B372" s="1" t="n">
        <v>44544</v>
      </c>
      <c r="C372" s="1" t="n">
        <v>45572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72102-2021</t>
        </is>
      </c>
      <c r="B373" s="1" t="n">
        <v>44544</v>
      </c>
      <c r="C373" s="1" t="n">
        <v>45572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72433-2021</t>
        </is>
      </c>
      <c r="B374" s="1" t="n">
        <v>44545</v>
      </c>
      <c r="C374" s="1" t="n">
        <v>45572</v>
      </c>
      <c r="D374" t="inlineStr">
        <is>
          <t>GÄVLEBORGS LÄN</t>
        </is>
      </c>
      <c r="E374" t="inlineStr">
        <is>
          <t>NORDANSTIG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45572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45572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45572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45572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45572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45572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45572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45572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45572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45572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45572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45572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45572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45572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45572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45572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45572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45572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45572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45572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45572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45572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45572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45572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45572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45572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45572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45572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45572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45572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45572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45572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45572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45572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45572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45572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45572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45572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45572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45572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45572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45572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45572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45572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45572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45572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45572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45572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45572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45572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45572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45572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45572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45572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45572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45572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45572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45572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45572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45572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45572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45572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45572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45572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45572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45572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45572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45572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45572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45572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45572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45572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45572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45572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45572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45572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45572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45572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45572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45572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45572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45572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45572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45572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45572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45572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45572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45572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45572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45572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45572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45572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45572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45572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45572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45572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45572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45572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45572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45572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45572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45572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45572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45572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45572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45572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45572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45572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45572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45572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45572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45572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45572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45572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45572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45572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45572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45572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45572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45572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45572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45572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45572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45572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45572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45572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45572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45572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45572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45572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45572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45572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45572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45572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45572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45572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45572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45572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45572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45572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45572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45572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45572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45572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45572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45572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45572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45572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45572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45572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45572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45572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45572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45572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45572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45572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45572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45572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45572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45572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45572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45572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45572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45572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45572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45572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45572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45572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45572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45572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45572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45572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45572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45572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45572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45572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45572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45572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45572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45572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45572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45572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45572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45572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45572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45572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45572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45572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45572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45572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45572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45572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45572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45572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45572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45572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45572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45572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45572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45572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45572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45572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45572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45572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45572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45572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45572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45572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45572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45572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45572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45572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45572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45572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45572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45572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45572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45572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45572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45572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45572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45572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45572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45572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45572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45572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45572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45572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45572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45572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45572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45572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45572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45572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45572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45572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45572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45572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45572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45572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45572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45572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45572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45572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45572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45572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45572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45572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45572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45572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45572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45572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45572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45572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45572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45572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45572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45572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45572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45572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45572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45572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45572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45572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45572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45572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45572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45572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45572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45572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45572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45572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45572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45572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45572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45572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45572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45572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45572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45572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45572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45572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45572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45572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45572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45572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45572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45572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45572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45572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45572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45572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45572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45572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45572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45572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45572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45572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45572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45572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45572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45572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45572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45572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45572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45572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45572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45572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45572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45572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45572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45572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45572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45572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45572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45572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45572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45572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45572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45572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45572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45572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45572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45572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45572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45572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45572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45572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45572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45572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45572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45572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45572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45572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45572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45572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45572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45572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45572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45572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45572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45572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45572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45572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45572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45572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45572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45572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45572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45572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45572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45572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45572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45572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45572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45572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45572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45572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45572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45572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45572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45572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45572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45572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45572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45572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45572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45572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45572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45572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45572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45572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45572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45572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45572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45572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45572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45572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45572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45572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45572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45572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45572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45572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45572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45572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45572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45572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45572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45572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45572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45572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45572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45572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45572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45572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45572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45572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45572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45572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45572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45572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45572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45572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45572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45572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45572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45572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45572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45572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45572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45572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45572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45572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45572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45572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45572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45572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45572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45572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45572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45572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45572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45572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45572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45572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45572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45572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45572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45572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45572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45572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45572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45572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45572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45572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45572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45572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45572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45572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45572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45572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45572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45572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45572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45572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45572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45572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45572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45572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45572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45572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45572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45572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45572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45572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45572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45572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45572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45572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45572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45572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45572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45572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45572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45572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45572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45572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45572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45572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45572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45572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45572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45572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45572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45572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45572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45572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45572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45572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45572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45572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45572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45572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45572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45572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45572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45572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45572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45572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45572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45572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45572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45572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45572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45572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45572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45572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45572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45572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45572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45572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45572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45572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45572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45572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45572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45572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45572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45572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45572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45572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45572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45572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45572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45572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45572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45572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45572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45572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45572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45572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45572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45572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45572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45572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45572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45572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45572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45572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45572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45572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45572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45572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45572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45572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45572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45572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45572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45572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45572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45572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45572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45572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45572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45572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45572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45572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45572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45572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45572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45572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45572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45572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45572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45572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45572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45572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45572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45572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45572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45572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45572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45572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45572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45572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45572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45572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45572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45572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45572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45572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45572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45572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45572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45572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45572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45572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45572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45572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45572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45572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45572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45572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45572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45572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45572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45572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45572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45572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45572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45572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45572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45572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45572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45572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45572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45572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45572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45572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45572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45572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45572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45572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45572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45572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45572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45572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45572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45572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45572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45572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45572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45572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45572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45572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45572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45572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45572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45572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45572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45572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45572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45572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45572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45572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45572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45572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45572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45572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45572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45572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45572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45572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45572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45572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45572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45572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45572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45572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45572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45572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45572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45572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45572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45572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45572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45572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45572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45572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45572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45572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45572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45572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45572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45572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45572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45572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45572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45572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45572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45572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45572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45572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45572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45572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45572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45572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45572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45572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45572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45572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45572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45572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45572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45572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45572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45572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45572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45572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45572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45572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45572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45572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45572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45572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45572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45572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45572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45572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45572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45572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45572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45572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45572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45572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45572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45572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45572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45572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45572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45572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45572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45572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45572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45572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45572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45572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45572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45572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45572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45572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45572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45572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45572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45572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45572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45572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45572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45572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45572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45572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45572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45572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45572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45572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45572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45572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45572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45572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45572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45572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45572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45572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45572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45572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45572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45572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45572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45572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45572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45572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45572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45572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45572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45572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45572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45572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45572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45572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45572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45572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45572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45572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45572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45572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45572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45572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45572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45572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45572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45572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45572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45572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45572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45572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45572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45572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45572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45572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45572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45572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45572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45572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45572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45572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45572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45572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45572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45572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45572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45572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45572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45572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45572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45572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45572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45572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45572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45572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45572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45572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45572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45572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45572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45572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45572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45572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45572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45572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45572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45572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45572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45572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45572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45572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45572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45572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45572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45572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45572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45572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45572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45572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45572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45572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45572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45572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45572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45572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45572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45572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45572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45572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45572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45572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45572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45572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45572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45572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45572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45572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45572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45572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45572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38048-2024</t>
        </is>
      </c>
      <c r="B1210" s="1" t="n">
        <v>45544</v>
      </c>
      <c r="C1210" s="1" t="n">
        <v>45572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38050-2024</t>
        </is>
      </c>
      <c r="B1211" s="1" t="n">
        <v>45544</v>
      </c>
      <c r="C1211" s="1" t="n">
        <v>45572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38298-2024</t>
        </is>
      </c>
      <c r="B1212" s="1" t="n">
        <v>45545</v>
      </c>
      <c r="C1212" s="1" t="n">
        <v>45572</v>
      </c>
      <c r="D1212" t="inlineStr">
        <is>
          <t>GÄVLEBORGS LÄN</t>
        </is>
      </c>
      <c r="E1212" t="inlineStr">
        <is>
          <t>NORDANSTIG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38241-2024</t>
        </is>
      </c>
      <c r="B1213" s="1" t="n">
        <v>45545</v>
      </c>
      <c r="C1213" s="1" t="n">
        <v>45572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38089-2024</t>
        </is>
      </c>
      <c r="B1214" s="1" t="n">
        <v>45545</v>
      </c>
      <c r="C1214" s="1" t="n">
        <v>45572</v>
      </c>
      <c r="D1214" t="inlineStr">
        <is>
          <t>GÄVLEBORGS LÄN</t>
        </is>
      </c>
      <c r="E1214" t="inlineStr">
        <is>
          <t>NORDANSTIG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45572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45572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45572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45572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45572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45572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45572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45572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45572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45572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45572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40498-2024</t>
        </is>
      </c>
      <c r="B1226" s="1" t="n">
        <v>45555</v>
      </c>
      <c r="C1226" s="1" t="n">
        <v>45572</v>
      </c>
      <c r="D1226" t="inlineStr">
        <is>
          <t>GÄVLEBORGS LÄN</t>
        </is>
      </c>
      <c r="E1226" t="inlineStr">
        <is>
          <t>NORDANSTIG</t>
        </is>
      </c>
      <c r="G1226" t="n">
        <v>12.5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40480-2024</t>
        </is>
      </c>
      <c r="B1227" s="1" t="n">
        <v>45555</v>
      </c>
      <c r="C1227" s="1" t="n">
        <v>45572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40477-2024</t>
        </is>
      </c>
      <c r="B1228" s="1" t="n">
        <v>45555</v>
      </c>
      <c r="C1228" s="1" t="n">
        <v>45572</v>
      </c>
      <c r="D1228" t="inlineStr">
        <is>
          <t>GÄVLEBORGS LÄN</t>
        </is>
      </c>
      <c r="E1228" t="inlineStr">
        <is>
          <t>NORDANSTIG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45572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45572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45572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41318-2024</t>
        </is>
      </c>
      <c r="B1232" s="1" t="n">
        <v>45559</v>
      </c>
      <c r="C1232" s="1" t="n">
        <v>45572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41207-2024</t>
        </is>
      </c>
      <c r="B1233" s="1" t="n">
        <v>45559</v>
      </c>
      <c r="C1233" s="1" t="n">
        <v>45572</v>
      </c>
      <c r="D1233" t="inlineStr">
        <is>
          <t>GÄVLEBORGS LÄN</t>
        </is>
      </c>
      <c r="E1233" t="inlineStr">
        <is>
          <t>NORDANSTIG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45572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45572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42717-2024</t>
        </is>
      </c>
      <c r="B1236" s="1" t="n">
        <v>45566</v>
      </c>
      <c r="C1236" s="1" t="n">
        <v>45572</v>
      </c>
      <c r="D1236" t="inlineStr">
        <is>
          <t>GÄVLEBORGS LÄN</t>
        </is>
      </c>
      <c r="E1236" t="inlineStr">
        <is>
          <t>NORDANSTIG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42796-2024</t>
        </is>
      </c>
      <c r="B1237" s="1" t="n">
        <v>45566</v>
      </c>
      <c r="C1237" s="1" t="n">
        <v>45572</v>
      </c>
      <c r="D1237" t="inlineStr">
        <is>
          <t>GÄVLEBORGS LÄN</t>
        </is>
      </c>
      <c r="E1237" t="inlineStr">
        <is>
          <t>NORDANSTIG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42858-2024</t>
        </is>
      </c>
      <c r="B1238" s="1" t="n">
        <v>45566</v>
      </c>
      <c r="C1238" s="1" t="n">
        <v>45572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45572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45572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45572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>
      <c r="A1242" t="inlineStr">
        <is>
          <t>A 43523-2024</t>
        </is>
      </c>
      <c r="B1242" s="1" t="n">
        <v>45569</v>
      </c>
      <c r="C1242" s="1" t="n">
        <v>45572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2024-10-07T12:50:53Z</dcterms:created>
  <dcterms:modified xmlns:dcterms="http://purl.org/dc/terms/" xmlns:xsi="http://www.w3.org/2001/XMLSchema-instance" xsi:type="dcterms:W3CDTF">2024-10-07T12:50:54Z</dcterms:modified>
</cp:coreProperties>
</file>