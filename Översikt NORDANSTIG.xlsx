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46241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46241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46241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46241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46241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46241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46241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46241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46241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46241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46241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46241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46241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46241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46241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46241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46241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46241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46241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46241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46241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46241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46241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46241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46241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46241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46241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46241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46241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46241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46241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46241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46241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17006-2026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46114</v>
      </c>
      <c r="E35" s="1" t="n">
        <v>46241</v>
      </c>
      <c r="F35" t="inlineStr">
        <is>
          <t>GÄVLEBORGS LÄN</t>
        </is>
      </c>
      <c r="G35" t="inlineStr">
        <is>
          <t>NORDANSTIG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Fläcknycklar</t>
        </is>
      </c>
      <c r="W35">
        <f>HYPERLINK("https://klasma.github.io/Logging_2132/artfynd/A 17006-2026 artfynd.xlsx", "A 17006-2026")</f>
        <v/>
      </c>
      <c r="X35">
        <f>HYPERLINK("https://klasma.github.io/Logging_2132/kartor/A 17006-2026 karta.png", "A 17006-2026")</f>
        <v/>
      </c>
      <c r="Y35">
        <f>HYPERLINK("https://klasma.github.io/Logging_2132/kartor_geotiff/A 17006-2026 georefererad karta.tif", "A 17006-2026")</f>
        <v/>
      </c>
      <c r="AA35">
        <f>HYPERLINK("https://klasma.github.io/Logging_2132/klagomål/A 17006-2026 FSC-klagomål.docx", "A 17006-2026")</f>
        <v/>
      </c>
      <c r="AB35">
        <f>HYPERLINK("https://klasma.github.io/Logging_2132/klagomålsmail/A 17006-2026 FSC-klagomål mail.docx", "A 17006-2026")</f>
        <v/>
      </c>
      <c r="AC35">
        <f>HYPERLINK("https://klasma.github.io/Logging_2132/tillsyn/A 17006-2026 tillsynsbegäran.docx", "A 17006-2026")</f>
        <v/>
      </c>
      <c r="AD35">
        <f>HYPERLINK("https://klasma.github.io/Logging_2132/tillsynsmail/A 17006-2026 tillsynsbegäran mail.docx", "A 17006-2026")</f>
        <v/>
      </c>
      <c r="AE35">
        <f>HYPERLINK("https://klasma.github.io/Logging_2132/fåglar/A 17006-2026 prioriterade fågelarter.docx", "A 17006-2026")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46241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46241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470-2024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45297</v>
      </c>
      <c r="E38" s="1" t="n">
        <v>46241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Duvhök
Kungsfågel</t>
        </is>
      </c>
      <c r="W38">
        <f>HYPERLINK("https://klasma.github.io/Logging_2132/artfynd/A 470-2024 artfynd.xlsx", "A 470-2024")</f>
        <v/>
      </c>
      <c r="X38">
        <f>HYPERLINK("https://klasma.github.io/Logging_2132/kartor/A 470-2024 karta.png", "A 470-2024")</f>
        <v/>
      </c>
      <c r="Y38">
        <f>HYPERLINK("https://klasma.github.io/Logging_2132/kartor_geotiff/A 470-2024 georefererad karta.tif", "A 470-2024")</f>
        <v/>
      </c>
      <c r="AA38">
        <f>HYPERLINK("https://klasma.github.io/Logging_2132/klagomål/A 470-2024 FSC-klagomål.docx", "A 470-2024")</f>
        <v/>
      </c>
      <c r="AB38">
        <f>HYPERLINK("https://klasma.github.io/Logging_2132/klagomålsmail/A 470-2024 FSC-klagomål mail.docx", "A 470-2024")</f>
        <v/>
      </c>
      <c r="AC38">
        <f>HYPERLINK("https://klasma.github.io/Logging_2132/tillsyn/A 470-2024 tillsynsbegäran.docx", "A 470-2024")</f>
        <v/>
      </c>
      <c r="AD38">
        <f>HYPERLINK("https://klasma.github.io/Logging_2132/tillsynsmail/A 470-2024 tillsynsbegäran mail.docx", "A 470-2024")</f>
        <v/>
      </c>
      <c r="AE38">
        <f>HYPERLINK("https://klasma.github.io/Logging_2132/fåglar/A 470-2024 prioriterade fågelarter.docx", "A 470-2024")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46241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46241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t="n">
        <v>0</v>
      </c>
      <c r="V40" s="2" t="inlineStr">
        <is>
          <t>Tjäder
Fläcknycklar</t>
        </is>
      </c>
      <c r="W40">
        <f>HYPERLINK("https://klasma.github.io/Logging_2132/artfynd/A 1708-2026 artfynd.xlsx", "A 1708-2026")</f>
        <v/>
      </c>
      <c r="X40">
        <f>HYPERLINK("https://klasma.github.io/Logging_2132/kartor/A 1708-2026 karta.png", "A 1708-2026")</f>
        <v/>
      </c>
      <c r="Y40">
        <f>HYPERLINK("https://klasma.github.io/Logging_2132/kartor_geotiff/A 1708-2026 georefererad karta.tif", "A 1708-2026")</f>
        <v/>
      </c>
      <c r="AA40">
        <f>HYPERLINK("https://klasma.github.io/Logging_2132/klagomål/A 1708-2026 FSC-klagomål.docx", "A 1708-2026")</f>
        <v/>
      </c>
      <c r="AB40">
        <f>HYPERLINK("https://klasma.github.io/Logging_2132/klagomålsmail/A 1708-2026 FSC-klagomål mail.docx", "A 1708-2026")</f>
        <v/>
      </c>
      <c r="AC40">
        <f>HYPERLINK("https://klasma.github.io/Logging_2132/tillsyn/A 1708-2026 tillsynsbegäran.docx", "A 1708-2026")</f>
        <v/>
      </c>
      <c r="AD40">
        <f>HYPERLINK("https://klasma.github.io/Logging_2132/tillsynsmail/A 1708-2026 tillsynsbegäran mail.docx", "A 1708-2026")</f>
        <v/>
      </c>
      <c r="AE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46241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46241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46241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46241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46241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46241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46241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46241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46241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46241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46241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46241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46241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46241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46241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46241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46241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46241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Svavelriska</t>
        </is>
      </c>
      <c r="W58">
        <f>HYPERLINK("https://klasma.github.io/Logging_2132/artfynd/A 22041-2022 artfynd.xlsx", "A 22041-2022")</f>
        <v/>
      </c>
      <c r="X58">
        <f>HYPERLINK("https://klasma.github.io/Logging_2132/kartor/A 22041-2022 karta.png", "A 22041-2022")</f>
        <v/>
      </c>
      <c r="Y58">
        <f>HYPERLINK("https://klasma.github.io/Logging_2132/kartor_geotiff/A 22041-2022 georefererad karta.tif", "A 22041-2022")</f>
        <v/>
      </c>
      <c r="AA58">
        <f>HYPERLINK("https://klasma.github.io/Logging_2132/klagomål/A 22041-2022 FSC-klagomål.docx", "A 22041-2022")</f>
        <v/>
      </c>
      <c r="AB58">
        <f>HYPERLINK("https://klasma.github.io/Logging_2132/klagomålsmail/A 22041-2022 FSC-klagomål mail.docx", "A 22041-2022")</f>
        <v/>
      </c>
      <c r="AC58">
        <f>HYPERLINK("https://klasma.github.io/Logging_2132/tillsyn/A 22041-2022 tillsynsbegäran.docx", "A 22041-2022")</f>
        <v/>
      </c>
      <c r="AD58">
        <f>HYPERLINK("https://klasma.github.io/Logging_2132/tillsynsmail/A 22041-2022 tillsynsbegäran mail.docx", "A 22041-2022")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46241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46241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20566-2025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46241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HYPERLINK("https://klasma.github.io/Logging_2132/artfynd/A 20566-2025 artfynd.xlsx", "A 20566-2025")</f>
        <v/>
      </c>
      <c r="X61">
        <f>HYPERLINK("https://klasma.github.io/Logging_2132/kartor/A 20566-2025 karta.png", "A 20566-2025")</f>
        <v/>
      </c>
      <c r="Y61">
        <f>HYPERLINK("https://klasma.github.io/Logging_2132/kartor_geotiff/A 20566-2025 georefererad karta.tif", "A 20566-2025")</f>
        <v/>
      </c>
      <c r="AA61">
        <f>HYPERLINK("https://klasma.github.io/Logging_2132/klagomål/A 20566-2025 FSC-klagomål.docx", "A 20566-2025")</f>
        <v/>
      </c>
      <c r="AB61">
        <f>HYPERLINK("https://klasma.github.io/Logging_2132/klagomålsmail/A 20566-2025 FSC-klagomål mail.docx", "A 20566-2025")</f>
        <v/>
      </c>
      <c r="AC61">
        <f>HYPERLINK("https://klasma.github.io/Logging_2132/tillsyn/A 20566-2025 tillsynsbegäran.docx", "A 20566-2025")</f>
        <v/>
      </c>
      <c r="AD61">
        <f>HYPERLINK("https://klasma.github.io/Logging_2132/tillsynsmail/A 20566-2025 tillsynsbegäran mail.docx", "A 20566-2025")</f>
        <v/>
      </c>
    </row>
    <row r="62" ht="15" customHeight="1">
      <c r="A62" t="inlineStr">
        <is>
          <t>A 13089-2025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45734</v>
      </c>
      <c r="E62" s="1" t="n">
        <v>46241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5.5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HYPERLINK("https://klasma.github.io/Logging_2132/artfynd/A 13089-2025 artfynd.xlsx", "A 13089-2025")</f>
        <v/>
      </c>
      <c r="X62">
        <f>HYPERLINK("https://klasma.github.io/Logging_2132/kartor/A 13089-2025 karta.png", "A 13089-2025")</f>
        <v/>
      </c>
      <c r="Y62">
        <f>HYPERLINK("https://klasma.github.io/Logging_2132/kartor_geotiff/A 13089-2025 georefererad karta.tif", "A 13089-2025")</f>
        <v/>
      </c>
      <c r="AA62">
        <f>HYPERLINK("https://klasma.github.io/Logging_2132/klagomål/A 13089-2025 FSC-klagomål.docx", "A 13089-2025")</f>
        <v/>
      </c>
      <c r="AB62">
        <f>HYPERLINK("https://klasma.github.io/Logging_2132/klagomålsmail/A 13089-2025 FSC-klagomål mail.docx", "A 13089-2025")</f>
        <v/>
      </c>
      <c r="AC62">
        <f>HYPERLINK("https://klasma.github.io/Logging_2132/tillsyn/A 13089-2025 tillsynsbegäran.docx", "A 13089-2025")</f>
        <v/>
      </c>
      <c r="AD62">
        <f>HYPERLINK("https://klasma.github.io/Logging_2132/tillsynsmail/A 13089-2025 tillsynsbegäran mail.docx", "A 13089-2025")</f>
        <v/>
      </c>
      <c r="AE62">
        <f>HYPERLINK("https://klasma.github.io/Logging_2132/fåglar/A 13089-2025 prioriterade fågelarter.docx", "A 13089-2025")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46241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46241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46241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6109-2023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44964</v>
      </c>
      <c r="E66" s="1" t="n">
        <v>46241</v>
      </c>
      <c r="F66" t="inlineStr">
        <is>
          <t>GÄVLEBORGS LÄN</t>
        </is>
      </c>
      <c r="G66" t="inlineStr">
        <is>
          <t>NORDANSTIG</t>
        </is>
      </c>
      <c r="I66" t="n">
        <v>0.1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HYPERLINK("https://klasma.github.io/Logging_2132/artfynd/A 6109-2023 artfynd.xlsx", "A 6109-2023")</f>
        <v/>
      </c>
      <c r="X66">
        <f>HYPERLINK("https://klasma.github.io/Logging_2132/kartor/A 6109-2023 karta.png", "A 6109-2023")</f>
        <v/>
      </c>
      <c r="Y66">
        <f>HYPERLINK("https://klasma.github.io/Logging_2132/kartor_geotiff/A 6109-2023 georefererad karta.tif", "A 6109-2023")</f>
        <v/>
      </c>
      <c r="AA66">
        <f>HYPERLINK("https://klasma.github.io/Logging_2132/klagomål/A 6109-2023 FSC-klagomål.docx", "A 6109-2023")</f>
        <v/>
      </c>
      <c r="AB66">
        <f>HYPERLINK("https://klasma.github.io/Logging_2132/klagomålsmail/A 6109-2023 FSC-klagomål mail.docx", "A 6109-2023")</f>
        <v/>
      </c>
      <c r="AC66">
        <f>HYPERLINK("https://klasma.github.io/Logging_2132/tillsyn/A 6109-2023 tillsynsbegäran.docx", "A 6109-2023")</f>
        <v/>
      </c>
      <c r="AD66">
        <f>HYPERLINK("https://klasma.github.io/Logging_2132/tillsynsmail/A 6109-2023 tillsynsbegäran mail.docx", "A 6109-2023")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46241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57806-2024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45631</v>
      </c>
      <c r="E68" s="1" t="n">
        <v>46241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HYPERLINK("https://klasma.github.io/Logging_2132/artfynd/A 57806-2024 artfynd.xlsx", "A 57806-2024")</f>
        <v/>
      </c>
      <c r="X68">
        <f>HYPERLINK("https://klasma.github.io/Logging_2132/kartor/A 57806-2024 karta.png", "A 57806-2024")</f>
        <v/>
      </c>
      <c r="Y68">
        <f>HYPERLINK("https://klasma.github.io/Logging_2132/kartor_geotiff/A 57806-2024 georefererad karta.tif", "A 57806-2024")</f>
        <v/>
      </c>
      <c r="Z68">
        <f>HYPERLINK("https://klasma.github.io/Logging_2132/knärot/A 57806-2024 karta knärot.png", "A 57806-2024")</f>
        <v/>
      </c>
      <c r="AA68">
        <f>HYPERLINK("https://klasma.github.io/Logging_2132/klagomål/A 57806-2024 FSC-klagomål.docx", "A 57806-2024")</f>
        <v/>
      </c>
      <c r="AB68">
        <f>HYPERLINK("https://klasma.github.io/Logging_2132/klagomålsmail/A 57806-2024 FSC-klagomål mail.docx", "A 57806-2024")</f>
        <v/>
      </c>
      <c r="AC68">
        <f>HYPERLINK("https://klasma.github.io/Logging_2132/tillsyn/A 57806-2024 tillsynsbegäran.docx", "A 57806-2024")</f>
        <v/>
      </c>
      <c r="AD68">
        <f>HYPERLINK("https://klasma.github.io/Logging_2132/tillsynsmail/A 57806-2024 tillsynsbegäran mail.docx", "A 57806-2024")</f>
        <v/>
      </c>
    </row>
    <row r="69" ht="15" customHeight="1">
      <c r="A69" t="inlineStr">
        <is>
          <t>A 3692-2022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44586</v>
      </c>
      <c r="E69" s="1" t="n">
        <v>46241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Lunglav</t>
        </is>
      </c>
      <c r="W69">
        <f>HYPERLINK("https://klasma.github.io/Logging_2132/artfynd/A 3692-2022 artfynd.xlsx", "A 3692-2022")</f>
        <v/>
      </c>
      <c r="X69">
        <f>HYPERLINK("https://klasma.github.io/Logging_2132/kartor/A 3692-2022 karta.png", "A 3692-2022")</f>
        <v/>
      </c>
      <c r="Y69">
        <f>HYPERLINK("https://klasma.github.io/Logging_2132/kartor_geotiff/A 3692-2022 georefererad karta.tif", "A 3692-2022")</f>
        <v/>
      </c>
      <c r="AA69">
        <f>HYPERLINK("https://klasma.github.io/Logging_2132/klagomål/A 3692-2022 FSC-klagomål.docx", "A 3692-2022")</f>
        <v/>
      </c>
      <c r="AB69">
        <f>HYPERLINK("https://klasma.github.io/Logging_2132/klagomålsmail/A 3692-2022 FSC-klagomål mail.docx", "A 3692-2022")</f>
        <v/>
      </c>
      <c r="AC69">
        <f>HYPERLINK("https://klasma.github.io/Logging_2132/tillsyn/A 3692-2022 tillsynsbegäran.docx", "A 3692-2022")</f>
        <v/>
      </c>
      <c r="AD69">
        <f>HYPERLINK("https://klasma.github.io/Logging_2132/tillsynsmail/A 3692-2022 tillsynsbegäran mail.docx", "A 3692-2022")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46241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11895-2026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46241</v>
      </c>
      <c r="F71" t="inlineStr">
        <is>
          <t>GÄVLEBORGS LÄN</t>
        </is>
      </c>
      <c r="G71" t="inlineStr">
        <is>
          <t>NORDANSTIG</t>
        </is>
      </c>
      <c r="I71" t="n">
        <v>21.2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Sötgräs</t>
        </is>
      </c>
      <c r="W71">
        <f>HYPERLINK("https://klasma.github.io/Logging_2132/artfynd/A 11895-2026 artfynd.xlsx", "A 11895-2026")</f>
        <v/>
      </c>
      <c r="X71">
        <f>HYPERLINK("https://klasma.github.io/Logging_2132/kartor/A 11895-2026 karta.png", "A 11895-2026")</f>
        <v/>
      </c>
      <c r="Y71">
        <f>HYPERLINK("https://klasma.github.io/Logging_2132/kartor_geotiff/A 11895-2026 georefererad karta.tif", "A 11895-2026")</f>
        <v/>
      </c>
      <c r="AA71">
        <f>HYPERLINK("https://klasma.github.io/Logging_2132/klagomål/A 11895-2026 FSC-klagomål.docx", "A 11895-2026")</f>
        <v/>
      </c>
      <c r="AB71">
        <f>HYPERLINK("https://klasma.github.io/Logging_2132/klagomålsmail/A 11895-2026 FSC-klagomål mail.docx", "A 11895-2026")</f>
        <v/>
      </c>
      <c r="AC71">
        <f>HYPERLINK("https://klasma.github.io/Logging_2132/tillsyn/A 11895-2026 tillsynsbegäran.docx", "A 11895-2026")</f>
        <v/>
      </c>
      <c r="AD71">
        <f>HYPERLINK("https://klasma.github.io/Logging_2132/tillsynsmail/A 11895-2026 tillsynsbegäran mail.docx", "A 11895-2026")</f>
        <v/>
      </c>
    </row>
    <row r="72" ht="15" customHeight="1">
      <c r="A72" t="inlineStr">
        <is>
          <t>A 25625-2026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46177</v>
      </c>
      <c r="E72" s="1" t="n">
        <v>46241</v>
      </c>
      <c r="F72" t="inlineStr">
        <is>
          <t>GÄVLEBORGS LÄN</t>
        </is>
      </c>
      <c r="G72" t="inlineStr">
        <is>
          <t>NORDANSTIG</t>
        </is>
      </c>
      <c r="H72" t="inlineStr">
        <is>
          <t>SCA</t>
        </is>
      </c>
      <c r="I72" t="n">
        <v>0.7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13</v>
      </c>
      <c r="U72" t="n">
        <v>0</v>
      </c>
      <c r="V72" s="2" t="inlineStr">
        <is>
          <t>Skogsknipprot</t>
        </is>
      </c>
      <c r="W72">
        <f>HYPERLINK("https://klasma.github.io/Logging_2132/artfynd/A 25625-2026 artfynd.xlsx", "A 25625-2026")</f>
        <v/>
      </c>
      <c r="X72">
        <f>HYPERLINK("https://klasma.github.io/Logging_2132/kartor/A 25625-2026 karta.png", "A 25625-2026")</f>
        <v/>
      </c>
      <c r="Y72">
        <f>HYPERLINK("https://klasma.github.io/Logging_2132/kartor_geotiff/A 25625-2026 georefererad karta.tif", "A 25625-2026")</f>
        <v/>
      </c>
      <c r="AA72">
        <f>HYPERLINK("https://klasma.github.io/Logging_2132/klagomål/A 25625-2026 FSC-klagomål.docx", "A 25625-2026")</f>
        <v/>
      </c>
      <c r="AB72">
        <f>HYPERLINK("https://klasma.github.io/Logging_2132/klagomålsmail/A 25625-2026 FSC-klagomål mail.docx", "A 25625-2026")</f>
        <v/>
      </c>
      <c r="AC72">
        <f>HYPERLINK("https://klasma.github.io/Logging_2132/tillsyn/A 25625-2026 tillsynsbegäran.docx", "A 25625-2026")</f>
        <v/>
      </c>
      <c r="AD72">
        <f>HYPERLINK("https://klasma.github.io/Logging_2132/tillsynsmail/A 25625-2026 tillsynsbegäran mail.docx", "A 25625-2026")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46241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26278-2026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46241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Lavskrika</t>
        </is>
      </c>
      <c r="W74">
        <f>HYPERLINK("https://klasma.github.io/Logging_2132/artfynd/A 26278-2026 artfynd.xlsx", "A 26278-2026")</f>
        <v/>
      </c>
      <c r="X74">
        <f>HYPERLINK("https://klasma.github.io/Logging_2132/kartor/A 26278-2026 karta.png", "A 26278-2026")</f>
        <v/>
      </c>
      <c r="Y74">
        <f>HYPERLINK("https://klasma.github.io/Logging_2132/kartor_geotiff/A 26278-2026 georefererad karta.tif", "A 26278-2026")</f>
        <v/>
      </c>
      <c r="AA74">
        <f>HYPERLINK("https://klasma.github.io/Logging_2132/klagomål/A 26278-2026 FSC-klagomål.docx", "A 26278-2026")</f>
        <v/>
      </c>
      <c r="AB74">
        <f>HYPERLINK("https://klasma.github.io/Logging_2132/klagomålsmail/A 26278-2026 FSC-klagomål mail.docx", "A 26278-2026")</f>
        <v/>
      </c>
      <c r="AC74">
        <f>HYPERLINK("https://klasma.github.io/Logging_2132/tillsyn/A 26278-2026 tillsynsbegäran.docx", "A 26278-2026")</f>
        <v/>
      </c>
      <c r="AD74">
        <f>HYPERLINK("https://klasma.github.io/Logging_2132/tillsynsmail/A 26278-2026 tillsynsbegäran mail.docx", "A 26278-2026")</f>
        <v/>
      </c>
      <c r="AE74">
        <f>HYPERLINK("https://klasma.github.io/Logging_2132/fåglar/A 26278-2026 prioriterade fågelarter.docx", "A 26278-2026")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46241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HYPERLINK("https://klasma.github.io/Logging_2132/artfynd/A 22863-2023 artfynd.xlsx", "A 22863-2023")</f>
        <v/>
      </c>
      <c r="X75">
        <f>HYPERLINK("https://klasma.github.io/Logging_2132/kartor/A 22863-2023 karta.png", "A 22863-2023")</f>
        <v/>
      </c>
      <c r="Y75">
        <f>HYPERLINK("https://klasma.github.io/Logging_2132/kartor_geotiff/A 22863-2023 georefererad karta.tif", "A 22863-2023")</f>
        <v/>
      </c>
      <c r="AA75">
        <f>HYPERLINK("https://klasma.github.io/Logging_2132/klagomål/A 22863-2023 FSC-klagomål.docx", "A 22863-2023")</f>
        <v/>
      </c>
      <c r="AB75">
        <f>HYPERLINK("https://klasma.github.io/Logging_2132/klagomålsmail/A 22863-2023 FSC-klagomål mail.docx", "A 22863-2023")</f>
        <v/>
      </c>
      <c r="AC75">
        <f>HYPERLINK("https://klasma.github.io/Logging_2132/tillsyn/A 22863-2023 tillsynsbegäran.docx", "A 22863-2023")</f>
        <v/>
      </c>
      <c r="AD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46241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HYPERLINK("https://klasma.github.io/Logging_2132/artfynd/A 14392-2025 artfynd.xlsx", "A 14392-2025")</f>
        <v/>
      </c>
      <c r="X76">
        <f>HYPERLINK("https://klasma.github.io/Logging_2132/kartor/A 14392-2025 karta.png", "A 14392-2025")</f>
        <v/>
      </c>
      <c r="Y76">
        <f>HYPERLINK("https://klasma.github.io/Logging_2132/kartor_geotiff/A 14392-2025 georefererad karta.tif", "A 14392-2025")</f>
        <v/>
      </c>
      <c r="AA76">
        <f>HYPERLINK("https://klasma.github.io/Logging_2132/klagomål/A 14392-2025 FSC-klagomål.docx", "A 14392-2025")</f>
        <v/>
      </c>
      <c r="AB76">
        <f>HYPERLINK("https://klasma.github.io/Logging_2132/klagomålsmail/A 14392-2025 FSC-klagomål mail.docx", "A 14392-2025")</f>
        <v/>
      </c>
      <c r="AC76">
        <f>HYPERLINK("https://klasma.github.io/Logging_2132/tillsyn/A 14392-2025 tillsynsbegäran.docx", "A 14392-2025")</f>
        <v/>
      </c>
      <c r="AD76">
        <f>HYPERLINK("https://klasma.github.io/Logging_2132/tillsynsmail/A 14392-2025 tillsynsbegäran mail.docx", "A 14392-2025")</f>
        <v/>
      </c>
    </row>
    <row r="77" ht="15" customHeight="1">
      <c r="A77" t="inlineStr">
        <is>
          <t>A 377-2024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45296</v>
      </c>
      <c r="E77" s="1" t="n">
        <v>46241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Havsörn</t>
        </is>
      </c>
      <c r="W77">
        <f>HYPERLINK("https://klasma.github.io/Logging_2132/artfynd/A 377-2024 artfynd.xlsx", "A 377-2024")</f>
        <v/>
      </c>
      <c r="X77">
        <f>HYPERLINK("https://klasma.github.io/Logging_2132/kartor/A 377-2024 karta.png", "A 377-2024")</f>
        <v/>
      </c>
      <c r="Y77">
        <f>HYPERLINK("https://klasma.github.io/Logging_2132/kartor_geotiff/A 377-2024 georefererad karta.tif", "A 377-2024")</f>
        <v/>
      </c>
      <c r="AA77">
        <f>HYPERLINK("https://klasma.github.io/Logging_2132/klagomål/A 377-2024 FSC-klagomål.docx", "A 377-2024")</f>
        <v/>
      </c>
      <c r="AB77">
        <f>HYPERLINK("https://klasma.github.io/Logging_2132/klagomålsmail/A 377-2024 FSC-klagomål mail.docx", "A 377-2024")</f>
        <v/>
      </c>
      <c r="AC77">
        <f>HYPERLINK("https://klasma.github.io/Logging_2132/tillsyn/A 377-2024 tillsynsbegäran.docx", "A 377-2024")</f>
        <v/>
      </c>
      <c r="AD77">
        <f>HYPERLINK("https://klasma.github.io/Logging_2132/tillsynsmail/A 377-2024 tillsynsbegäran mail.docx", "A 377-2024")</f>
        <v/>
      </c>
      <c r="AE77">
        <f>HYPERLINK("https://klasma.github.io/Logging_2132/fåglar/A 377-2024 prioriterade fågelarter.docx", "A 377-2024")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46241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23333-2025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46241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19.1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HYPERLINK("https://klasma.github.io/Logging_2132/artfynd/A 23333-2025 artfynd.xlsx", "A 23333-2025")</f>
        <v/>
      </c>
      <c r="X79">
        <f>HYPERLINK("https://klasma.github.io/Logging_2132/kartor/A 23333-2025 karta.png", "A 23333-2025")</f>
        <v/>
      </c>
      <c r="Y79">
        <f>HYPERLINK("https://klasma.github.io/Logging_2132/kartor_geotiff/A 23333-2025 georefererad karta.tif", "A 23333-2025")</f>
        <v/>
      </c>
      <c r="AA79">
        <f>HYPERLINK("https://klasma.github.io/Logging_2132/klagomål/A 23333-2025 FSC-klagomål.docx", "A 23333-2025")</f>
        <v/>
      </c>
      <c r="AB79">
        <f>HYPERLINK("https://klasma.github.io/Logging_2132/klagomålsmail/A 23333-2025 FSC-klagomål mail.docx", "A 23333-2025")</f>
        <v/>
      </c>
      <c r="AC79">
        <f>HYPERLINK("https://klasma.github.io/Logging_2132/tillsyn/A 23333-2025 tillsynsbegäran.docx", "A 23333-2025")</f>
        <v/>
      </c>
      <c r="AD79">
        <f>HYPERLINK("https://klasma.github.io/Logging_2132/tillsynsmail/A 23333-2025 tillsynsbegäran mail.docx", "A 23333-2025")</f>
        <v/>
      </c>
      <c r="AE79">
        <f>HYPERLINK("https://klasma.github.io/Logging_2132/fåglar/A 23333-2025 prioriterade fågelarter.docx", "A 23333-2025")</f>
        <v/>
      </c>
    </row>
    <row r="80" ht="15" customHeight="1">
      <c r="A80" t="inlineStr">
        <is>
          <t>A 24758-2025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46241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23.2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HYPERLINK("https://klasma.github.io/Logging_2132/artfynd/A 24758-2025 artfynd.xlsx", "A 24758-2025")</f>
        <v/>
      </c>
      <c r="X80">
        <f>HYPERLINK("https://klasma.github.io/Logging_2132/kartor/A 24758-2025 karta.png", "A 24758-2025")</f>
        <v/>
      </c>
      <c r="Y80">
        <f>HYPERLINK("https://klasma.github.io/Logging_2132/kartor_geotiff/A 24758-2025 georefererad karta.tif", "A 24758-2025")</f>
        <v/>
      </c>
      <c r="Z80">
        <f>HYPERLINK("https://klasma.github.io/Logging_2132/knärot/A 24758-2025 karta knärot.png", "A 24758-2025")</f>
        <v/>
      </c>
      <c r="AA80">
        <f>HYPERLINK("https://klasma.github.io/Logging_2132/klagomål/A 24758-2025 FSC-klagomål.docx", "A 24758-2025")</f>
        <v/>
      </c>
      <c r="AB80">
        <f>HYPERLINK("https://klasma.github.io/Logging_2132/klagomålsmail/A 24758-2025 FSC-klagomål mail.docx", "A 24758-2025")</f>
        <v/>
      </c>
      <c r="AC80">
        <f>HYPERLINK("https://klasma.github.io/Logging_2132/tillsyn/A 24758-2025 tillsynsbegäran.docx", "A 24758-2025")</f>
        <v/>
      </c>
      <c r="AD80">
        <f>HYPERLINK("https://klasma.github.io/Logging_2132/tillsynsmail/A 24758-2025 tillsynsbegäran mail.docx", "A 24758-2025")</f>
        <v/>
      </c>
    </row>
    <row r="81" ht="15" customHeight="1">
      <c r="A81" t="inlineStr">
        <is>
          <t>A 31845-2025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46241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Skinnlav</t>
        </is>
      </c>
      <c r="W81">
        <f>HYPERLINK("https://klasma.github.io/Logging_2132/artfynd/A 31845-2025 artfynd.xlsx", "A 31845-2025")</f>
        <v/>
      </c>
      <c r="X81">
        <f>HYPERLINK("https://klasma.github.io/Logging_2132/kartor/A 31845-2025 karta.png", "A 31845-2025")</f>
        <v/>
      </c>
      <c r="Y81">
        <f>HYPERLINK("https://klasma.github.io/Logging_2132/kartor_geotiff/A 31845-2025 georefererad karta.tif", "A 31845-2025")</f>
        <v/>
      </c>
      <c r="AA81">
        <f>HYPERLINK("https://klasma.github.io/Logging_2132/klagomål/A 31845-2025 FSC-klagomål.docx", "A 31845-2025")</f>
        <v/>
      </c>
      <c r="AB81">
        <f>HYPERLINK("https://klasma.github.io/Logging_2132/klagomålsmail/A 31845-2025 FSC-klagomål mail.docx", "A 31845-2025")</f>
        <v/>
      </c>
      <c r="AC81">
        <f>HYPERLINK("https://klasma.github.io/Logging_2132/tillsyn/A 31845-2025 tillsynsbegäran.docx", "A 31845-2025")</f>
        <v/>
      </c>
      <c r="AD81">
        <f>HYPERLINK("https://klasma.github.io/Logging_2132/tillsynsmail/A 31845-2025 tillsynsbegäran mail.docx", "A 31845-2025")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46241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46241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46241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46241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46241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46241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46241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46241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46241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46241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46241</v>
      </c>
      <c r="F92" t="inlineStr">
        <is>
          <t>GÄVLEBORGS LÄN</t>
        </is>
      </c>
      <c r="G92" t="inlineStr">
        <is>
          <t>NORDANSTIG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46241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46241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46241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46241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46241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46241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46241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46241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46241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46241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44417</v>
      </c>
      <c r="E103" s="1" t="n">
        <v>46241</v>
      </c>
      <c r="F103" t="inlineStr">
        <is>
          <t>GÄVLEBORGS LÄN</t>
        </is>
      </c>
      <c r="G103" t="inlineStr">
        <is>
          <t>NORDANSTIG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46241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46241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55314-2021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44475</v>
      </c>
      <c r="E106" s="1" t="n">
        <v>46241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46241</v>
      </c>
      <c r="F107" t="inlineStr">
        <is>
          <t>GÄVLEBORGS LÄN</t>
        </is>
      </c>
      <c r="G107" t="inlineStr">
        <is>
          <t>NORDANSTIG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46241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46241</v>
      </c>
      <c r="F109" t="inlineStr">
        <is>
          <t>GÄVLEBORGS LÄN</t>
        </is>
      </c>
      <c r="G109" t="inlineStr">
        <is>
          <t>NORDANSTIG</t>
        </is>
      </c>
      <c r="H109" t="inlineStr">
        <is>
          <t>SCA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46241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46241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46241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46241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46241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72594-2021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46241</v>
      </c>
      <c r="F115" t="inlineStr">
        <is>
          <t>GÄVLEBORGS LÄN</t>
        </is>
      </c>
      <c r="G115" t="inlineStr">
        <is>
          <t>NORDANSTIG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50811-2021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44460</v>
      </c>
      <c r="E116" s="1" t="n">
        <v>46241</v>
      </c>
      <c r="F116" t="inlineStr">
        <is>
          <t>GÄVLEBORGS LÄN</t>
        </is>
      </c>
      <c r="G116" t="inlineStr">
        <is>
          <t>NORDANSTIG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46241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46241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46241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46241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46241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46241</v>
      </c>
      <c r="F122" t="inlineStr">
        <is>
          <t>GÄVLEBORGS LÄN</t>
        </is>
      </c>
      <c r="G122" t="inlineStr">
        <is>
          <t>NORDANSTIG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46241</v>
      </c>
      <c r="F123" t="inlineStr">
        <is>
          <t>GÄVLEBORGS LÄN</t>
        </is>
      </c>
      <c r="G123" t="inlineStr">
        <is>
          <t>NORDANSTIG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44691</v>
      </c>
      <c r="E124" s="1" t="n">
        <v>46241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35129-2022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46241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44439</v>
      </c>
      <c r="E126" s="1" t="n">
        <v>46241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71973-2021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46241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44853</v>
      </c>
      <c r="E128" s="1" t="n">
        <v>46241</v>
      </c>
      <c r="F128" t="inlineStr">
        <is>
          <t>GÄVLEBORGS LÄN</t>
        </is>
      </c>
      <c r="G128" t="inlineStr">
        <is>
          <t>NORDANSTIG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72435-2021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44545</v>
      </c>
      <c r="E129" s="1" t="n">
        <v>46241</v>
      </c>
      <c r="F129" t="inlineStr">
        <is>
          <t>GÄVLEBORGS LÄN</t>
        </is>
      </c>
      <c r="G129" t="inlineStr">
        <is>
          <t>NORDANSTIG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46241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44732</v>
      </c>
      <c r="E131" s="1" t="n">
        <v>46241</v>
      </c>
      <c r="F131" t="inlineStr">
        <is>
          <t>GÄVLEBORGS LÄN</t>
        </is>
      </c>
      <c r="G131" t="inlineStr">
        <is>
          <t>NORDANSTIG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59270-2021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44490</v>
      </c>
      <c r="E132" s="1" t="n">
        <v>46241</v>
      </c>
      <c r="F132" t="inlineStr">
        <is>
          <t>GÄVLEBORGS LÄN</t>
        </is>
      </c>
      <c r="G132" t="inlineStr">
        <is>
          <t>NORDANSTIG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67931-2021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46241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42129-2022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46241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44620</v>
      </c>
      <c r="E135" s="1" t="n">
        <v>46241</v>
      </c>
      <c r="F135" t="inlineStr">
        <is>
          <t>GÄVLEBORGS LÄN</t>
        </is>
      </c>
      <c r="G135" t="inlineStr">
        <is>
          <t>NORDANSTIG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46241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44743</v>
      </c>
      <c r="E137" s="1" t="n">
        <v>46241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44840</v>
      </c>
      <c r="E138" s="1" t="n">
        <v>46241</v>
      </c>
      <c r="F138" t="inlineStr">
        <is>
          <t>GÄVLEBORGS LÄN</t>
        </is>
      </c>
      <c r="G138" t="inlineStr">
        <is>
          <t>NORDANSTIG</t>
        </is>
      </c>
      <c r="H138" t="inlineStr">
        <is>
          <t>SCA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46241</v>
      </c>
      <c r="F139" t="inlineStr">
        <is>
          <t>GÄVLEBORGS LÄN</t>
        </is>
      </c>
      <c r="G139" t="inlineStr">
        <is>
          <t>NORDANSTIG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44764</v>
      </c>
      <c r="E140" s="1" t="n">
        <v>46241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46241</v>
      </c>
      <c r="F141" t="inlineStr">
        <is>
          <t>GÄVLEBORGS LÄN</t>
        </is>
      </c>
      <c r="G141" t="inlineStr">
        <is>
          <t>NORDANSTIG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46241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25001-2022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46241</v>
      </c>
      <c r="F143" t="inlineStr">
        <is>
          <t>GÄVLEBORGS LÄN</t>
        </is>
      </c>
      <c r="G143" t="inlineStr">
        <is>
          <t>NORDANSTIG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44831</v>
      </c>
      <c r="E144" s="1" t="n">
        <v>46241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46241</v>
      </c>
      <c r="F145" t="inlineStr">
        <is>
          <t>GÄVLEBORGS LÄN</t>
        </is>
      </c>
      <c r="G145" t="inlineStr">
        <is>
          <t>NORDANSTIG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46241</v>
      </c>
      <c r="F146" t="inlineStr">
        <is>
          <t>GÄVLEBORGS LÄN</t>
        </is>
      </c>
      <c r="G146" t="inlineStr">
        <is>
          <t>NORDANSTIG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44502</v>
      </c>
      <c r="E147" s="1" t="n">
        <v>46241</v>
      </c>
      <c r="F147" t="inlineStr">
        <is>
          <t>GÄVLEBORGS LÄN</t>
        </is>
      </c>
      <c r="G147" t="inlineStr">
        <is>
          <t>NORDANSTIG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46241</v>
      </c>
      <c r="F148" t="inlineStr">
        <is>
          <t>GÄVLEBORGS LÄN</t>
        </is>
      </c>
      <c r="G148" t="inlineStr">
        <is>
          <t>NORDANSTIG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46241</v>
      </c>
      <c r="F149" t="inlineStr">
        <is>
          <t>GÄVLEBORGS LÄN</t>
        </is>
      </c>
      <c r="G149" t="inlineStr">
        <is>
          <t>NORDANSTIG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44461</v>
      </c>
      <c r="E150" s="1" t="n">
        <v>46241</v>
      </c>
      <c r="F150" t="inlineStr">
        <is>
          <t>GÄVLEBORGS LÄN</t>
        </is>
      </c>
      <c r="G150" t="inlineStr">
        <is>
          <t>NORDANSTIG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25002-2022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44728</v>
      </c>
      <c r="E151" s="1" t="n">
        <v>46241</v>
      </c>
      <c r="F151" t="inlineStr">
        <is>
          <t>GÄVLEBORGS LÄN</t>
        </is>
      </c>
      <c r="G151" t="inlineStr">
        <is>
          <t>NORDANSTIG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44785</v>
      </c>
      <c r="E152" s="1" t="n">
        <v>46241</v>
      </c>
      <c r="F152" t="inlineStr">
        <is>
          <t>GÄVLEBORGS LÄN</t>
        </is>
      </c>
      <c r="G152" t="inlineStr">
        <is>
          <t>NORDANSTIG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69127-2021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46241</v>
      </c>
      <c r="F153" t="inlineStr">
        <is>
          <t>GÄVLEBORGS LÄN</t>
        </is>
      </c>
      <c r="G153" t="inlineStr">
        <is>
          <t>NORDANSTIG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46241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46241</v>
      </c>
      <c r="F155" t="inlineStr">
        <is>
          <t>GÄVLEBORGS LÄN</t>
        </is>
      </c>
      <c r="G155" t="inlineStr">
        <is>
          <t>NORDANSTIG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44566</v>
      </c>
      <c r="E156" s="1" t="n">
        <v>46241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46241</v>
      </c>
      <c r="F157" t="inlineStr">
        <is>
          <t>GÄVLEBORGS LÄN</t>
        </is>
      </c>
      <c r="G157" t="inlineStr">
        <is>
          <t>NORDANSTIG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44684</v>
      </c>
      <c r="E158" s="1" t="n">
        <v>46241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44692</v>
      </c>
      <c r="E159" s="1" t="n">
        <v>46241</v>
      </c>
      <c r="F159" t="inlineStr">
        <is>
          <t>GÄVLEBORGS LÄN</t>
        </is>
      </c>
      <c r="G159" t="inlineStr">
        <is>
          <t>NORDANSTIG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26113-2022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44734</v>
      </c>
      <c r="E160" s="1" t="n">
        <v>46241</v>
      </c>
      <c r="F160" t="inlineStr">
        <is>
          <t>GÄVLEBORGS LÄN</t>
        </is>
      </c>
      <c r="G160" t="inlineStr">
        <is>
          <t>NORDANSTIG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25005-2022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44728</v>
      </c>
      <c r="E161" s="1" t="n">
        <v>46241</v>
      </c>
      <c r="F161" t="inlineStr">
        <is>
          <t>GÄVLEBORGS LÄN</t>
        </is>
      </c>
      <c r="G161" t="inlineStr">
        <is>
          <t>NORDANSTIG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46241</v>
      </c>
      <c r="F162" t="inlineStr">
        <is>
          <t>GÄVLEBORGS LÄN</t>
        </is>
      </c>
      <c r="G162" t="inlineStr">
        <is>
          <t>NORDANSTIG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45712</v>
      </c>
      <c r="E163" s="1" t="n">
        <v>46241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45364</v>
      </c>
      <c r="E164" s="1" t="n">
        <v>46241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45324</v>
      </c>
      <c r="E165" s="1" t="n">
        <v>46241</v>
      </c>
      <c r="F165" t="inlineStr">
        <is>
          <t>GÄVLEBORGS LÄN</t>
        </is>
      </c>
      <c r="G165" t="inlineStr">
        <is>
          <t>NORDANSTIG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44789</v>
      </c>
      <c r="E166" s="1" t="n">
        <v>46241</v>
      </c>
      <c r="F166" t="inlineStr">
        <is>
          <t>GÄVLEBORGS LÄN</t>
        </is>
      </c>
      <c r="G166" t="inlineStr">
        <is>
          <t>NORDANSTIG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44765</v>
      </c>
      <c r="E167" s="1" t="n">
        <v>46241</v>
      </c>
      <c r="F167" t="inlineStr">
        <is>
          <t>GÄVLEBORGS LÄN</t>
        </is>
      </c>
      <c r="G167" t="inlineStr">
        <is>
          <t>NORDANSTIG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46241</v>
      </c>
      <c r="F168" t="inlineStr">
        <is>
          <t>GÄVLEBORGS LÄN</t>
        </is>
      </c>
      <c r="G168" t="inlineStr">
        <is>
          <t>NORDANSTIG</t>
        </is>
      </c>
      <c r="I168" t="n">
        <v>11.3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45183</v>
      </c>
      <c r="E169" s="1" t="n">
        <v>46241</v>
      </c>
      <c r="F169" t="inlineStr">
        <is>
          <t>GÄVLEBORGS LÄN</t>
        </is>
      </c>
      <c r="G169" t="inlineStr">
        <is>
          <t>NORDANSTIG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46241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46241</v>
      </c>
      <c r="F171" t="inlineStr">
        <is>
          <t>GÄVLEBORGS LÄN</t>
        </is>
      </c>
      <c r="G171" t="inlineStr">
        <is>
          <t>NORDANSTIG</t>
        </is>
      </c>
      <c r="I171" t="n">
        <v>16.7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17887-2024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45419</v>
      </c>
      <c r="E172" s="1" t="n">
        <v>46241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46241</v>
      </c>
      <c r="F173" t="inlineStr">
        <is>
          <t>GÄVLEBORGS LÄN</t>
        </is>
      </c>
      <c r="G173" t="inlineStr">
        <is>
          <t>NORDANSTIG</t>
        </is>
      </c>
      <c r="H173" t="inlineStr">
        <is>
          <t>SCA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44844</v>
      </c>
      <c r="E174" s="1" t="n">
        <v>46241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45426</v>
      </c>
      <c r="E175" s="1" t="n">
        <v>46241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46241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46241</v>
      </c>
      <c r="F177" t="inlineStr">
        <is>
          <t>GÄVLEBORGS LÄN</t>
        </is>
      </c>
      <c r="G177" t="inlineStr">
        <is>
          <t>NORDANSTIG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42717-2024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46241</v>
      </c>
      <c r="F178" t="inlineStr">
        <is>
          <t>GÄVLEBORGS LÄN</t>
        </is>
      </c>
      <c r="G178" t="inlineStr">
        <is>
          <t>NORDANSTIG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46241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44433</v>
      </c>
      <c r="E180" s="1" t="n">
        <v>46241</v>
      </c>
      <c r="F180" t="inlineStr">
        <is>
          <t>GÄVLEBORGS LÄN</t>
        </is>
      </c>
      <c r="G180" t="inlineStr">
        <is>
          <t>NORDANSTIG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46241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44832</v>
      </c>
      <c r="E182" s="1" t="n">
        <v>46241</v>
      </c>
      <c r="F182" t="inlineStr">
        <is>
          <t>GÄVLEBORGS LÄN</t>
        </is>
      </c>
      <c r="G182" t="inlineStr">
        <is>
          <t>NORDANSTIG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44833</v>
      </c>
      <c r="E183" s="1" t="n">
        <v>46241</v>
      </c>
      <c r="F183" t="inlineStr">
        <is>
          <t>GÄVLEBORGS LÄN</t>
        </is>
      </c>
      <c r="G183" t="inlineStr">
        <is>
          <t>NORDANSTIG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45139</v>
      </c>
      <c r="E184" s="1" t="n">
        <v>46241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73748-2021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44552</v>
      </c>
      <c r="E185" s="1" t="n">
        <v>46241</v>
      </c>
      <c r="F185" t="inlineStr">
        <is>
          <t>GÄVLEBORGS LÄN</t>
        </is>
      </c>
      <c r="G185" t="inlineStr">
        <is>
          <t>NORDANSTIG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46241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45463</v>
      </c>
      <c r="E187" s="1" t="n">
        <v>46241</v>
      </c>
      <c r="F187" t="inlineStr">
        <is>
          <t>GÄVLEBORGS LÄN</t>
        </is>
      </c>
      <c r="G187" t="inlineStr">
        <is>
          <t>NORDANSTIG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46241</v>
      </c>
      <c r="F188" t="inlineStr">
        <is>
          <t>GÄVLEBORGS LÄN</t>
        </is>
      </c>
      <c r="G188" t="inlineStr">
        <is>
          <t>NORDANSTIG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49607-2022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46241</v>
      </c>
      <c r="F189" t="inlineStr">
        <is>
          <t>GÄVLEBORGS LÄN</t>
        </is>
      </c>
      <c r="G189" t="inlineStr">
        <is>
          <t>NORDANSTIG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46241</v>
      </c>
      <c r="F190" t="inlineStr">
        <is>
          <t>GÄVLEBORGS LÄN</t>
        </is>
      </c>
      <c r="G190" t="inlineStr">
        <is>
          <t>NORDANSTIG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46241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45513</v>
      </c>
      <c r="E192" s="1" t="n">
        <v>46241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46241</v>
      </c>
      <c r="F193" t="inlineStr">
        <is>
          <t>GÄVLEBORGS LÄN</t>
        </is>
      </c>
      <c r="G193" t="inlineStr">
        <is>
          <t>NORDANSTIG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45499</v>
      </c>
      <c r="E194" s="1" t="n">
        <v>46241</v>
      </c>
      <c r="F194" t="inlineStr">
        <is>
          <t>GÄVLEBORGS LÄN</t>
        </is>
      </c>
      <c r="G194" t="inlineStr">
        <is>
          <t>NORDANSTIG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46241</v>
      </c>
      <c r="F195" t="inlineStr">
        <is>
          <t>GÄVLEBORGS LÄN</t>
        </is>
      </c>
      <c r="G195" t="inlineStr">
        <is>
          <t>NORDANSTIG</t>
        </is>
      </c>
      <c r="I195" t="n">
        <v>15.1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46241</v>
      </c>
      <c r="F196" t="inlineStr">
        <is>
          <t>GÄVLEBORGS LÄN</t>
        </is>
      </c>
      <c r="G196" t="inlineStr">
        <is>
          <t>NORDANSTIG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41701-2023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45176</v>
      </c>
      <c r="E197" s="1" t="n">
        <v>46241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44945</v>
      </c>
      <c r="E198" s="1" t="n">
        <v>46241</v>
      </c>
      <c r="F198" t="inlineStr">
        <is>
          <t>GÄVLEBORGS LÄN</t>
        </is>
      </c>
      <c r="G198" t="inlineStr">
        <is>
          <t>NORDANSTIG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46241</v>
      </c>
      <c r="F199" t="inlineStr">
        <is>
          <t>GÄVLEBORGS LÄN</t>
        </is>
      </c>
      <c r="G199" t="inlineStr">
        <is>
          <t>NORDANSTIG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46241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46241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46241</v>
      </c>
      <c r="F202" t="inlineStr">
        <is>
          <t>GÄVLEBORGS LÄN</t>
        </is>
      </c>
      <c r="G202" t="inlineStr">
        <is>
          <t>NORDANSTIG</t>
        </is>
      </c>
      <c r="I202" t="n">
        <v>9.5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46241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46241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45042</v>
      </c>
      <c r="E205" s="1" t="n">
        <v>46241</v>
      </c>
      <c r="F205" t="inlineStr">
        <is>
          <t>GÄVLEBORGS LÄN</t>
        </is>
      </c>
      <c r="G205" t="inlineStr">
        <is>
          <t>NORDANSTIG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36464-2024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45537</v>
      </c>
      <c r="E206" s="1" t="n">
        <v>46241</v>
      </c>
      <c r="F206" t="inlineStr">
        <is>
          <t>GÄVLEBORGS LÄN</t>
        </is>
      </c>
      <c r="G206" t="inlineStr">
        <is>
          <t>NORDANSTIG</t>
        </is>
      </c>
      <c r="H206" t="inlineStr">
        <is>
          <t>SCA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46241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46241</v>
      </c>
      <c r="F208" t="inlineStr">
        <is>
          <t>GÄVLEBORGS LÄN</t>
        </is>
      </c>
      <c r="G208" t="inlineStr">
        <is>
          <t>NORDANSTIG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45358</v>
      </c>
      <c r="E209" s="1" t="n">
        <v>46241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46241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45566</v>
      </c>
      <c r="E211" s="1" t="n">
        <v>46241</v>
      </c>
      <c r="F211" t="inlineStr">
        <is>
          <t>GÄVLEBORGS LÄN</t>
        </is>
      </c>
      <c r="G211" t="inlineStr">
        <is>
          <t>NORDANSTIG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46241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44599</v>
      </c>
      <c r="E213" s="1" t="n">
        <v>46241</v>
      </c>
      <c r="F213" t="inlineStr">
        <is>
          <t>GÄVLEBORGS LÄN</t>
        </is>
      </c>
      <c r="G213" t="inlineStr">
        <is>
          <t>NORDANSTIG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45301</v>
      </c>
      <c r="E214" s="1" t="n">
        <v>46241</v>
      </c>
      <c r="F214" t="inlineStr">
        <is>
          <t>GÄVLEBORGS LÄN</t>
        </is>
      </c>
      <c r="G214" t="inlineStr">
        <is>
          <t>NORDANSTIG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46241</v>
      </c>
      <c r="F215" t="inlineStr">
        <is>
          <t>GÄVLEBORGS LÄN</t>
        </is>
      </c>
      <c r="G215" t="inlineStr">
        <is>
          <t>NORDANSTIG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46241</v>
      </c>
      <c r="F216" t="inlineStr">
        <is>
          <t>GÄVLEBORGS LÄN</t>
        </is>
      </c>
      <c r="G216" t="inlineStr">
        <is>
          <t>NORDANSTIG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45729</v>
      </c>
      <c r="E217" s="1" t="n">
        <v>46241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45462</v>
      </c>
      <c r="E218" s="1" t="n">
        <v>46241</v>
      </c>
      <c r="F218" t="inlineStr">
        <is>
          <t>GÄVLEBORGS LÄN</t>
        </is>
      </c>
      <c r="G218" t="inlineStr">
        <is>
          <t>NORDANSTIG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74460-2021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44560</v>
      </c>
      <c r="E219" s="1" t="n">
        <v>46241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45748</v>
      </c>
      <c r="E220" s="1" t="n">
        <v>46241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45579</v>
      </c>
      <c r="E221" s="1" t="n">
        <v>46241</v>
      </c>
      <c r="F221" t="inlineStr">
        <is>
          <t>GÄVLEBORGS LÄN</t>
        </is>
      </c>
      <c r="G221" t="inlineStr">
        <is>
          <t>NORDANSTIG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46241</v>
      </c>
      <c r="F222" t="inlineStr">
        <is>
          <t>GÄVLEBORGS LÄN</t>
        </is>
      </c>
      <c r="G222" t="inlineStr">
        <is>
          <t>NORDANSTIG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46241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9.199999999999999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15973-2022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44664</v>
      </c>
      <c r="E224" s="1" t="n">
        <v>46241</v>
      </c>
      <c r="F224" t="inlineStr">
        <is>
          <t>GÄVLEBORGS LÄN</t>
        </is>
      </c>
      <c r="G224" t="inlineStr">
        <is>
          <t>NORDANSTIG</t>
        </is>
      </c>
      <c r="H224" t="inlineStr">
        <is>
          <t>SCA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45506</v>
      </c>
      <c r="E225" s="1" t="n">
        <v>46241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46241</v>
      </c>
      <c r="F226" t="inlineStr">
        <is>
          <t>GÄVLEBORGS LÄN</t>
        </is>
      </c>
      <c r="G226" t="inlineStr">
        <is>
          <t>NORDANSTIG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44659</v>
      </c>
      <c r="E227" s="1" t="n">
        <v>46241</v>
      </c>
      <c r="F227" t="inlineStr">
        <is>
          <t>GÄVLEBORGS LÄN</t>
        </is>
      </c>
      <c r="G227" t="inlineStr">
        <is>
          <t>NORDANSTIG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44692</v>
      </c>
      <c r="E228" s="1" t="n">
        <v>46241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44967</v>
      </c>
      <c r="E229" s="1" t="n">
        <v>46241</v>
      </c>
      <c r="F229" t="inlineStr">
        <is>
          <t>GÄVLEBORGS LÄN</t>
        </is>
      </c>
      <c r="G229" t="inlineStr">
        <is>
          <t>NORDANSTIG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46241</v>
      </c>
      <c r="F230" t="inlineStr">
        <is>
          <t>GÄVLEBORGS LÄN</t>
        </is>
      </c>
      <c r="G230" t="inlineStr">
        <is>
          <t>NORDANSTIG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46241</v>
      </c>
      <c r="F231" t="inlineStr">
        <is>
          <t>GÄVLEBORGS LÄN</t>
        </is>
      </c>
      <c r="G231" t="inlineStr">
        <is>
          <t>NORDANSTIG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45372</v>
      </c>
      <c r="E232" s="1" t="n">
        <v>46241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46241</v>
      </c>
      <c r="F233" t="inlineStr">
        <is>
          <t>GÄVLEBORGS LÄN</t>
        </is>
      </c>
      <c r="G233" t="inlineStr">
        <is>
          <t>NORDANSTIG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44589</v>
      </c>
      <c r="E234" s="1" t="n">
        <v>46241</v>
      </c>
      <c r="F234" t="inlineStr">
        <is>
          <t>GÄVLEBORGS LÄN</t>
        </is>
      </c>
      <c r="G234" t="inlineStr">
        <is>
          <t>NORDANSTIG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46241</v>
      </c>
      <c r="F235" t="inlineStr">
        <is>
          <t>GÄVLEBORGS LÄN</t>
        </is>
      </c>
      <c r="G235" t="inlineStr">
        <is>
          <t>NORDANSTIG</t>
        </is>
      </c>
      <c r="I235" t="n">
        <v>12.5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44907</v>
      </c>
      <c r="E236" s="1" t="n">
        <v>46241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45860</v>
      </c>
      <c r="E237" s="1" t="n">
        <v>46241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45859</v>
      </c>
      <c r="E238" s="1" t="n">
        <v>46241</v>
      </c>
      <c r="F238" t="inlineStr">
        <is>
          <t>GÄVLEBORGS LÄN</t>
        </is>
      </c>
      <c r="G238" t="inlineStr">
        <is>
          <t>NORDANSTIG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45860</v>
      </c>
      <c r="E239" s="1" t="n">
        <v>46241</v>
      </c>
      <c r="F239" t="inlineStr">
        <is>
          <t>GÄVLEBORGS LÄN</t>
        </is>
      </c>
      <c r="G239" t="inlineStr">
        <is>
          <t>NORDANSTIG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37563-2025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45880</v>
      </c>
      <c r="E240" s="1" t="n">
        <v>46241</v>
      </c>
      <c r="F240" t="inlineStr">
        <is>
          <t>GÄVLEBORGS LÄN</t>
        </is>
      </c>
      <c r="G240" t="inlineStr">
        <is>
          <t>NORDANSTIG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46241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8.300000000000001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46241</v>
      </c>
      <c r="F242" t="inlineStr">
        <is>
          <t>GÄVLEBORGS LÄN</t>
        </is>
      </c>
      <c r="G242" t="inlineStr">
        <is>
          <t>NORDANSTIG</t>
        </is>
      </c>
      <c r="H242" t="inlineStr">
        <is>
          <t>Kommuner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46241</v>
      </c>
      <c r="F243" t="inlineStr">
        <is>
          <t>GÄVLEBORGS LÄN</t>
        </is>
      </c>
      <c r="G243" t="inlineStr">
        <is>
          <t>NORDANSTIG</t>
        </is>
      </c>
      <c r="H243" t="inlineStr">
        <is>
          <t>Kommuner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16310-2026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46241</v>
      </c>
      <c r="F244" t="inlineStr">
        <is>
          <t>GÄVLEBORGS LÄN</t>
        </is>
      </c>
      <c r="G244" t="inlineStr">
        <is>
          <t>NORDANSTIG</t>
        </is>
      </c>
      <c r="H244" t="inlineStr">
        <is>
          <t>Kommuner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38610-2025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45884</v>
      </c>
      <c r="E245" s="1" t="n">
        <v>46241</v>
      </c>
      <c r="F245" t="inlineStr">
        <is>
          <t>GÄVLEBORGS LÄN</t>
        </is>
      </c>
      <c r="G245" t="inlineStr">
        <is>
          <t>NORDANSTIG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46241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46241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42.1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16449-2026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46241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34.8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46241</v>
      </c>
      <c r="F249" t="inlineStr">
        <is>
          <t>GÄVLEBORGS LÄN</t>
        </is>
      </c>
      <c r="G249" t="inlineStr">
        <is>
          <t>NORDANSTIG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46241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46113</v>
      </c>
      <c r="E251" s="1" t="n">
        <v>46241</v>
      </c>
      <c r="F251" t="inlineStr">
        <is>
          <t>GÄVLEBORGS LÄN</t>
        </is>
      </c>
      <c r="G251" t="inlineStr">
        <is>
          <t>NORDANSTIG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46241</v>
      </c>
      <c r="F252" t="inlineStr">
        <is>
          <t>GÄVLEBORGS LÄN</t>
        </is>
      </c>
      <c r="G252" t="inlineStr">
        <is>
          <t>NORDANSTIG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38295-2025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45883</v>
      </c>
      <c r="E253" s="1" t="n">
        <v>46241</v>
      </c>
      <c r="F253" t="inlineStr">
        <is>
          <t>GÄVLEBORGS LÄN</t>
        </is>
      </c>
      <c r="G253" t="inlineStr">
        <is>
          <t>NORDANSTIG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46241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10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46241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46241</v>
      </c>
      <c r="F256" t="inlineStr">
        <is>
          <t>GÄVLEBORGS LÄN</t>
        </is>
      </c>
      <c r="G256" t="inlineStr">
        <is>
          <t>NORDANSTIG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22459-2023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45070</v>
      </c>
      <c r="E257" s="1" t="n">
        <v>46241</v>
      </c>
      <c r="F257" t="inlineStr">
        <is>
          <t>GÄVLEBORGS LÄN</t>
        </is>
      </c>
      <c r="G257" t="inlineStr">
        <is>
          <t>NORDANSTIG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57013-2022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44894</v>
      </c>
      <c r="E258" s="1" t="n">
        <v>46241</v>
      </c>
      <c r="F258" t="inlineStr">
        <is>
          <t>GÄVLEBORGS LÄN</t>
        </is>
      </c>
      <c r="G258" t="inlineStr">
        <is>
          <t>NORDANSTIG</t>
        </is>
      </c>
      <c r="H258" t="inlineStr">
        <is>
          <t>SCA</t>
        </is>
      </c>
      <c r="I258" t="n">
        <v>11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46241</v>
      </c>
      <c r="F259" t="inlineStr">
        <is>
          <t>GÄVLEBORGS LÄN</t>
        </is>
      </c>
      <c r="G259" t="inlineStr">
        <is>
          <t>NORDANSTIG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45622</v>
      </c>
      <c r="E260" s="1" t="n">
        <v>46241</v>
      </c>
      <c r="F260" t="inlineStr">
        <is>
          <t>GÄVLEBORGS LÄN</t>
        </is>
      </c>
      <c r="G260" t="inlineStr">
        <is>
          <t>NORDANSTIG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45624</v>
      </c>
      <c r="E261" s="1" t="n">
        <v>46241</v>
      </c>
      <c r="F261" t="inlineStr">
        <is>
          <t>GÄVLEBORGS LÄN</t>
        </is>
      </c>
      <c r="G261" t="inlineStr">
        <is>
          <t>NORDANSTIG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46241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45880</v>
      </c>
      <c r="E263" s="1" t="n">
        <v>46241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46119</v>
      </c>
      <c r="E264" s="1" t="n">
        <v>46241</v>
      </c>
      <c r="F264" t="inlineStr">
        <is>
          <t>GÄVLEBORGS LÄN</t>
        </is>
      </c>
      <c r="G264" t="inlineStr">
        <is>
          <t>NORDANSTIG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46241</v>
      </c>
      <c r="F265" t="inlineStr">
        <is>
          <t>GÄVLEBORGS LÄN</t>
        </is>
      </c>
      <c r="G265" t="inlineStr">
        <is>
          <t>NORDANSTIG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51930-2023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45223</v>
      </c>
      <c r="E266" s="1" t="n">
        <v>46241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37848-2025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45881</v>
      </c>
      <c r="E267" s="1" t="n">
        <v>46241</v>
      </c>
      <c r="F267" t="inlineStr">
        <is>
          <t>GÄVLEBORGS LÄN</t>
        </is>
      </c>
      <c r="G267" t="inlineStr">
        <is>
          <t>NORDANSTIG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46241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46241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46118</v>
      </c>
      <c r="E270" s="1" t="n">
        <v>46241</v>
      </c>
      <c r="F270" t="inlineStr">
        <is>
          <t>GÄVLEBORGS LÄN</t>
        </is>
      </c>
      <c r="G270" t="inlineStr">
        <is>
          <t>NORDANSTIG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46241</v>
      </c>
      <c r="F271" t="inlineStr">
        <is>
          <t>GÄVLEBORGS LÄN</t>
        </is>
      </c>
      <c r="G271" t="inlineStr">
        <is>
          <t>NORDANSTIG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46241</v>
      </c>
      <c r="F272" t="inlineStr">
        <is>
          <t>GÄVLEBORGS LÄN</t>
        </is>
      </c>
      <c r="G272" t="inlineStr">
        <is>
          <t>NORDANSTIG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46119</v>
      </c>
      <c r="E273" s="1" t="n">
        <v>46241</v>
      </c>
      <c r="F273" t="inlineStr">
        <is>
          <t>GÄVLEBORGS LÄN</t>
        </is>
      </c>
      <c r="G273" t="inlineStr">
        <is>
          <t>NORDANSTIG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17494-2026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46241</v>
      </c>
      <c r="F274" t="inlineStr">
        <is>
          <t>GÄVLEBORGS LÄN</t>
        </is>
      </c>
      <c r="G274" t="inlineStr">
        <is>
          <t>NORDANSTIG</t>
        </is>
      </c>
      <c r="I274" t="n">
        <v>16.3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45271</v>
      </c>
      <c r="E275" s="1" t="n">
        <v>46241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46241</v>
      </c>
      <c r="F276" t="inlineStr">
        <is>
          <t>GÄVLEBORGS LÄN</t>
        </is>
      </c>
      <c r="G276" t="inlineStr">
        <is>
          <t>NORDANSTIG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17492-2026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46120</v>
      </c>
      <c r="E277" s="1" t="n">
        <v>46241</v>
      </c>
      <c r="F277" t="inlineStr">
        <is>
          <t>GÄVLEBORGS LÄN</t>
        </is>
      </c>
      <c r="G277" t="inlineStr">
        <is>
          <t>NORDANSTIG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17498-2026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46120</v>
      </c>
      <c r="E278" s="1" t="n">
        <v>46241</v>
      </c>
      <c r="F278" t="inlineStr">
        <is>
          <t>GÄVLEBORGS LÄN</t>
        </is>
      </c>
      <c r="G278" t="inlineStr">
        <is>
          <t>NORDANSTIG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46241</v>
      </c>
      <c r="F279" t="inlineStr">
        <is>
          <t>GÄVLEBORGS LÄN</t>
        </is>
      </c>
      <c r="G279" t="inlineStr">
        <is>
          <t>NORDANSTIG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46241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46241</v>
      </c>
      <c r="F281" t="inlineStr">
        <is>
          <t>GÄVLEBORGS LÄN</t>
        </is>
      </c>
      <c r="G281" t="inlineStr">
        <is>
          <t>NORDANSTIG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45579</v>
      </c>
      <c r="E282" s="1" t="n">
        <v>46241</v>
      </c>
      <c r="F282" t="inlineStr">
        <is>
          <t>GÄVLEBORGS LÄN</t>
        </is>
      </c>
      <c r="G282" t="inlineStr">
        <is>
          <t>NORDANSTIG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17490-2026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46241</v>
      </c>
      <c r="F283" t="inlineStr">
        <is>
          <t>GÄVLEBORGS LÄN</t>
        </is>
      </c>
      <c r="G283" t="inlineStr">
        <is>
          <t>NORDANSTIG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46241</v>
      </c>
      <c r="F284" t="inlineStr">
        <is>
          <t>GÄVLEBORGS LÄN</t>
        </is>
      </c>
      <c r="G284" t="inlineStr">
        <is>
          <t>NORDANSTIG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46241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46241</v>
      </c>
      <c r="F286" t="inlineStr">
        <is>
          <t>GÄVLEBORGS LÄN</t>
        </is>
      </c>
      <c r="G286" t="inlineStr">
        <is>
          <t>NORDANSTIG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46241</v>
      </c>
      <c r="F287" t="inlineStr">
        <is>
          <t>GÄVLEBORGS LÄN</t>
        </is>
      </c>
      <c r="G287" t="inlineStr">
        <is>
          <t>NORDANSTIG</t>
        </is>
      </c>
      <c r="I287" t="n">
        <v>10.8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46241</v>
      </c>
      <c r="F288" t="inlineStr">
        <is>
          <t>GÄVLEBORGS LÄN</t>
        </is>
      </c>
      <c r="G288" t="inlineStr">
        <is>
          <t>NORDANSTIG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46241</v>
      </c>
      <c r="F289" t="inlineStr">
        <is>
          <t>GÄVLEBORGS LÄN</t>
        </is>
      </c>
      <c r="G289" t="inlineStr">
        <is>
          <t>NORDANSTIG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18680-2025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46241</v>
      </c>
      <c r="F290" t="inlineStr">
        <is>
          <t>GÄVLEBORGS LÄN</t>
        </is>
      </c>
      <c r="G290" t="inlineStr">
        <is>
          <t>NORDANSTIG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46241</v>
      </c>
      <c r="F291" t="inlineStr">
        <is>
          <t>GÄVLEBORGS LÄN</t>
        </is>
      </c>
      <c r="G291" t="inlineStr">
        <is>
          <t>NORDANSTIG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46241</v>
      </c>
      <c r="F292" t="inlineStr">
        <is>
          <t>GÄVLEBORGS LÄN</t>
        </is>
      </c>
      <c r="G292" t="inlineStr">
        <is>
          <t>NORDANSTIG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46241</v>
      </c>
      <c r="F293" t="inlineStr">
        <is>
          <t>GÄVLEBORGS LÄN</t>
        </is>
      </c>
      <c r="G293" t="inlineStr">
        <is>
          <t>NORDANSTIG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44960</v>
      </c>
      <c r="E294" s="1" t="n">
        <v>46241</v>
      </c>
      <c r="F294" t="inlineStr">
        <is>
          <t>GÄVLEBORGS LÄN</t>
        </is>
      </c>
      <c r="G294" t="inlineStr">
        <is>
          <t>NORDANSTIG</t>
        </is>
      </c>
      <c r="I294" t="n">
        <v>17.6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59297-2024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45637</v>
      </c>
      <c r="E295" s="1" t="n">
        <v>46241</v>
      </c>
      <c r="F295" t="inlineStr">
        <is>
          <t>GÄVLEBORGS LÄN</t>
        </is>
      </c>
      <c r="G295" t="inlineStr">
        <is>
          <t>NORDANSTIG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46241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45020</v>
      </c>
      <c r="E297" s="1" t="n">
        <v>46241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45020</v>
      </c>
      <c r="E298" s="1" t="n">
        <v>46241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45567</v>
      </c>
      <c r="E299" s="1" t="n">
        <v>46241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45897</v>
      </c>
      <c r="E300" s="1" t="n">
        <v>46241</v>
      </c>
      <c r="F300" t="inlineStr">
        <is>
          <t>GÄVLEBORGS LÄN</t>
        </is>
      </c>
      <c r="G300" t="inlineStr">
        <is>
          <t>NORDANSTIG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46241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46241</v>
      </c>
      <c r="F302" t="inlineStr">
        <is>
          <t>GÄVLEBORGS LÄN</t>
        </is>
      </c>
      <c r="G302" t="inlineStr">
        <is>
          <t>NORDANSTIG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44952</v>
      </c>
      <c r="E303" s="1" t="n">
        <v>46241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46241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45090</v>
      </c>
      <c r="E305" s="1" t="n">
        <v>46241</v>
      </c>
      <c r="F305" t="inlineStr">
        <is>
          <t>GÄVLEBORGS LÄN</t>
        </is>
      </c>
      <c r="G305" t="inlineStr">
        <is>
          <t>NORDANSTIG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45208</v>
      </c>
      <c r="E306" s="1" t="n">
        <v>46241</v>
      </c>
      <c r="F306" t="inlineStr">
        <is>
          <t>GÄVLEBORGS LÄN</t>
        </is>
      </c>
      <c r="G306" t="inlineStr">
        <is>
          <t>NORDANSTIG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21157-2022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44704</v>
      </c>
      <c r="E307" s="1" t="n">
        <v>46241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45140</v>
      </c>
      <c r="E308" s="1" t="n">
        <v>46241</v>
      </c>
      <c r="F308" t="inlineStr">
        <is>
          <t>GÄVLEBORGS LÄN</t>
        </is>
      </c>
      <c r="G308" t="inlineStr">
        <is>
          <t>NORDANSTIG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46241</v>
      </c>
      <c r="F309" t="inlineStr">
        <is>
          <t>GÄVLEBORGS LÄN</t>
        </is>
      </c>
      <c r="G309" t="inlineStr">
        <is>
          <t>NORDANSTIG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44704</v>
      </c>
      <c r="E310" s="1" t="n">
        <v>46241</v>
      </c>
      <c r="F310" t="inlineStr">
        <is>
          <t>GÄVLEBORGS LÄN</t>
        </is>
      </c>
      <c r="G310" t="inlineStr">
        <is>
          <t>NORDANSTIG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45020</v>
      </c>
      <c r="E311" s="1" t="n">
        <v>46241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46241</v>
      </c>
      <c r="F312" t="inlineStr">
        <is>
          <t>GÄVLEBORGS LÄN</t>
        </is>
      </c>
      <c r="G312" t="inlineStr">
        <is>
          <t>NORDANSTIG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46241</v>
      </c>
      <c r="F313" t="inlineStr">
        <is>
          <t>GÄVLEBORGS LÄN</t>
        </is>
      </c>
      <c r="G313" t="inlineStr">
        <is>
          <t>NORDANSTIG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46241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46241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59930-2024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45642</v>
      </c>
      <c r="E316" s="1" t="n">
        <v>46241</v>
      </c>
      <c r="F316" t="inlineStr">
        <is>
          <t>GÄVLEBORGS LÄN</t>
        </is>
      </c>
      <c r="G316" t="inlineStr">
        <is>
          <t>NORDANSTIG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45632</v>
      </c>
      <c r="E317" s="1" t="n">
        <v>46241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46241</v>
      </c>
      <c r="F318" t="inlineStr">
        <is>
          <t>GÄVLEBORGS LÄN</t>
        </is>
      </c>
      <c r="G318" t="inlineStr">
        <is>
          <t>NORDANSTIG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46241</v>
      </c>
      <c r="F319" t="inlineStr">
        <is>
          <t>GÄVLEBORGS LÄN</t>
        </is>
      </c>
      <c r="G319" t="inlineStr">
        <is>
          <t>NORDANSTIG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46241</v>
      </c>
      <c r="F320" t="inlineStr">
        <is>
          <t>GÄVLEBORGS LÄN</t>
        </is>
      </c>
      <c r="G320" t="inlineStr">
        <is>
          <t>NORDANSTIG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46241</v>
      </c>
      <c r="F321" t="inlineStr">
        <is>
          <t>GÄVLEBORGS LÄN</t>
        </is>
      </c>
      <c r="G321" t="inlineStr">
        <is>
          <t>NORDANSTIG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46241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46241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46241</v>
      </c>
      <c r="F324" t="inlineStr">
        <is>
          <t>GÄVLEBORGS LÄN</t>
        </is>
      </c>
      <c r="G324" t="inlineStr">
        <is>
          <t>NORDANSTIG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18282-2026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46241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43.6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14501-2026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46100</v>
      </c>
      <c r="E326" s="1" t="n">
        <v>46241</v>
      </c>
      <c r="F326" t="inlineStr">
        <is>
          <t>GÄVLEBORGS LÄN</t>
        </is>
      </c>
      <c r="G326" t="inlineStr">
        <is>
          <t>NORDANSTIG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46241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52788-2024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46241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45429</v>
      </c>
      <c r="E329" s="1" t="n">
        <v>46241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46241</v>
      </c>
      <c r="F330" t="inlineStr">
        <is>
          <t>GÄVLEBORGS LÄN</t>
        </is>
      </c>
      <c r="G330" t="inlineStr">
        <is>
          <t>NORDANSTIG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46241</v>
      </c>
      <c r="F331" t="inlineStr">
        <is>
          <t>GÄVLEBORGS LÄN</t>
        </is>
      </c>
      <c r="G331" t="inlineStr">
        <is>
          <t>NORDANSTIG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34913-2023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45142</v>
      </c>
      <c r="E332" s="1" t="n">
        <v>46241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45142</v>
      </c>
      <c r="E333" s="1" t="n">
        <v>46241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45616</v>
      </c>
      <c r="E334" s="1" t="n">
        <v>46241</v>
      </c>
      <c r="F334" t="inlineStr">
        <is>
          <t>GÄVLEBORGS LÄN</t>
        </is>
      </c>
      <c r="G334" t="inlineStr">
        <is>
          <t>NORDANSTIG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46241</v>
      </c>
      <c r="F335" t="inlineStr">
        <is>
          <t>GÄVLEBORGS LÄN</t>
        </is>
      </c>
      <c r="G335" t="inlineStr">
        <is>
          <t>NORDANSTIG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45617</v>
      </c>
      <c r="E336" s="1" t="n">
        <v>46241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44999</v>
      </c>
      <c r="E337" s="1" t="n">
        <v>46241</v>
      </c>
      <c r="F337" t="inlineStr">
        <is>
          <t>GÄVLEBORGS LÄN</t>
        </is>
      </c>
      <c r="G337" t="inlineStr">
        <is>
          <t>NORDANSTIG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44049-2025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46241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46241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44739</v>
      </c>
      <c r="E340" s="1" t="n">
        <v>46241</v>
      </c>
      <c r="F340" t="inlineStr">
        <is>
          <t>GÄVLEBORGS LÄN</t>
        </is>
      </c>
      <c r="G340" t="inlineStr">
        <is>
          <t>NORDANSTIG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46241</v>
      </c>
      <c r="F341" t="inlineStr">
        <is>
          <t>GÄVLEBORGS LÄN</t>
        </is>
      </c>
      <c r="G341" t="inlineStr">
        <is>
          <t>NORDANSTIG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46241</v>
      </c>
      <c r="F342" t="inlineStr">
        <is>
          <t>GÄVLEBORGS LÄN</t>
        </is>
      </c>
      <c r="G342" t="inlineStr">
        <is>
          <t>NORDANSTIG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44603-2025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46241</v>
      </c>
      <c r="F343" t="inlineStr">
        <is>
          <t>GÄVLEBORGS LÄN</t>
        </is>
      </c>
      <c r="G343" t="inlineStr">
        <is>
          <t>NORDANSTIG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44591-2025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46241</v>
      </c>
      <c r="F344" t="inlineStr">
        <is>
          <t>GÄVLEBORGS LÄN</t>
        </is>
      </c>
      <c r="G344" t="inlineStr">
        <is>
          <t>NORDANSTIG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34783-2022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44795</v>
      </c>
      <c r="E345" s="1" t="n">
        <v>46241</v>
      </c>
      <c r="F345" t="inlineStr">
        <is>
          <t>GÄVLEBORGS LÄN</t>
        </is>
      </c>
      <c r="G345" t="inlineStr">
        <is>
          <t>NORDANSTIG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25200-2022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44729</v>
      </c>
      <c r="E346" s="1" t="n">
        <v>46241</v>
      </c>
      <c r="F346" t="inlineStr">
        <is>
          <t>GÄVLEBORGS LÄN</t>
        </is>
      </c>
      <c r="G346" t="inlineStr">
        <is>
          <t>NORDANSTIG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44983-2025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45918</v>
      </c>
      <c r="E347" s="1" t="n">
        <v>46241</v>
      </c>
      <c r="F347" t="inlineStr">
        <is>
          <t>GÄVLEBORGS LÄN</t>
        </is>
      </c>
      <c r="G347" t="inlineStr">
        <is>
          <t>NORDANSTIG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44972-2025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45918</v>
      </c>
      <c r="E348" s="1" t="n">
        <v>46241</v>
      </c>
      <c r="F348" t="inlineStr">
        <is>
          <t>GÄVLEBORGS LÄN</t>
        </is>
      </c>
      <c r="G348" t="inlineStr">
        <is>
          <t>NORDANSTIG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45918</v>
      </c>
      <c r="E349" s="1" t="n">
        <v>46241</v>
      </c>
      <c r="F349" t="inlineStr">
        <is>
          <t>GÄVLEBORGS LÄN</t>
        </is>
      </c>
      <c r="G349" t="inlineStr">
        <is>
          <t>NORDANSTIG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18531-2026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46241</v>
      </c>
      <c r="F350" t="inlineStr">
        <is>
          <t>GÄVLEBORGS LÄN</t>
        </is>
      </c>
      <c r="G350" t="inlineStr">
        <is>
          <t>NORDANSTIG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45034</v>
      </c>
      <c r="E351" s="1" t="n">
        <v>46241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45058-2025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46241</v>
      </c>
      <c r="F352" t="inlineStr">
        <is>
          <t>GÄVLEBORGS LÄN</t>
        </is>
      </c>
      <c r="G352" t="inlineStr">
        <is>
          <t>NORDANSTIG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46241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45902-2025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45923</v>
      </c>
      <c r="E354" s="1" t="n">
        <v>46241</v>
      </c>
      <c r="F354" t="inlineStr">
        <is>
          <t>GÄVLEBORGS LÄN</t>
        </is>
      </c>
      <c r="G354" t="inlineStr">
        <is>
          <t>NORDANSTIG</t>
        </is>
      </c>
      <c r="H354" t="inlineStr">
        <is>
          <t>SCA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46134</v>
      </c>
      <c r="E355" s="1" t="n">
        <v>46241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46241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19679-2026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46134</v>
      </c>
      <c r="E357" s="1" t="n">
        <v>46241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46241</v>
      </c>
      <c r="F358" t="inlineStr">
        <is>
          <t>GÄVLEBORGS LÄN</t>
        </is>
      </c>
      <c r="G358" t="inlineStr">
        <is>
          <t>NORDANSTIG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46262-2025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46241</v>
      </c>
      <c r="F359" t="inlineStr">
        <is>
          <t>GÄVLEBORGS LÄN</t>
        </is>
      </c>
      <c r="G359" t="inlineStr">
        <is>
          <t>NORDANSTIG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45544</v>
      </c>
      <c r="E360" s="1" t="n">
        <v>46241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45041</v>
      </c>
      <c r="E361" s="1" t="n">
        <v>46241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45636</v>
      </c>
      <c r="E362" s="1" t="n">
        <v>46241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10484-2023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44987</v>
      </c>
      <c r="E363" s="1" t="n">
        <v>46241</v>
      </c>
      <c r="F363" t="inlineStr">
        <is>
          <t>GÄVLEBORGS LÄN</t>
        </is>
      </c>
      <c r="G363" t="inlineStr">
        <is>
          <t>NORDANSTIG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45912</v>
      </c>
      <c r="E364" s="1" t="n">
        <v>46241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19896-2025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45771</v>
      </c>
      <c r="E365" s="1" t="n">
        <v>46241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35115-2022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44797</v>
      </c>
      <c r="E366" s="1" t="n">
        <v>46241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56494-2024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45625</v>
      </c>
      <c r="E367" s="1" t="n">
        <v>46241</v>
      </c>
      <c r="F367" t="inlineStr">
        <is>
          <t>GÄVLEBORGS LÄN</t>
        </is>
      </c>
      <c r="G367" t="inlineStr">
        <is>
          <t>NORDANSTIG</t>
        </is>
      </c>
      <c r="I367" t="n">
        <v>10.1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20019-2026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46241</v>
      </c>
      <c r="F368" t="inlineStr">
        <is>
          <t>GÄVLEBORGS LÄN</t>
        </is>
      </c>
      <c r="G368" t="inlineStr">
        <is>
          <t>NORDANSTIG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46241</v>
      </c>
      <c r="F369" t="inlineStr">
        <is>
          <t>GÄVLEBORGS LÄN</t>
        </is>
      </c>
      <c r="G369" t="inlineStr">
        <is>
          <t>NORDANSTIG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9884-2023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44985</v>
      </c>
      <c r="E370" s="1" t="n">
        <v>46241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46241</v>
      </c>
      <c r="F371" t="inlineStr">
        <is>
          <t>GÄVLEBORGS LÄN</t>
        </is>
      </c>
      <c r="G371" t="inlineStr">
        <is>
          <t>NORDANSTIG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16659-2026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46241</v>
      </c>
      <c r="F372" t="inlineStr">
        <is>
          <t>GÄVLEBORGS LÄN</t>
        </is>
      </c>
      <c r="G372" t="inlineStr">
        <is>
          <t>NORDANSTIG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57196-2022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44895</v>
      </c>
      <c r="E373" s="1" t="n">
        <v>46241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46241</v>
      </c>
      <c r="F374" t="inlineStr">
        <is>
          <t>GÄVLEBORGS LÄN</t>
        </is>
      </c>
      <c r="G374" t="inlineStr">
        <is>
          <t>NORDANSTIG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42118-2022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44830</v>
      </c>
      <c r="E375" s="1" t="n">
        <v>46241</v>
      </c>
      <c r="F375" t="inlineStr">
        <is>
          <t>GÄVLEBORGS LÄN</t>
        </is>
      </c>
      <c r="G375" t="inlineStr">
        <is>
          <t>NORDANSTIG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46241</v>
      </c>
      <c r="F376" t="inlineStr">
        <is>
          <t>GÄVLEBORGS LÄN</t>
        </is>
      </c>
      <c r="G376" t="inlineStr">
        <is>
          <t>NORDANSTIG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30078-2024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45489</v>
      </c>
      <c r="E377" s="1" t="n">
        <v>46241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48566-2025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45936</v>
      </c>
      <c r="E378" s="1" t="n">
        <v>46241</v>
      </c>
      <c r="F378" t="inlineStr">
        <is>
          <t>GÄVLEBORGS LÄN</t>
        </is>
      </c>
      <c r="G378" t="inlineStr">
        <is>
          <t>NORDANSTIG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46241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46241</v>
      </c>
      <c r="F380" t="inlineStr">
        <is>
          <t>GÄVLEBORGS LÄN</t>
        </is>
      </c>
      <c r="G380" t="inlineStr">
        <is>
          <t>NORDANSTIG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48677-2025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46241</v>
      </c>
      <c r="F381" t="inlineStr">
        <is>
          <t>GÄVLEBORGS LÄN</t>
        </is>
      </c>
      <c r="G381" t="inlineStr">
        <is>
          <t>NORDANSTIG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20532-2026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46241</v>
      </c>
      <c r="F382" t="inlineStr">
        <is>
          <t>GÄVLEBORGS LÄN</t>
        </is>
      </c>
      <c r="G382" t="inlineStr">
        <is>
          <t>NORDANSTIG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46038</v>
      </c>
      <c r="E383" s="1" t="n">
        <v>46241</v>
      </c>
      <c r="F383" t="inlineStr">
        <is>
          <t>GÄVLEBORGS LÄN</t>
        </is>
      </c>
      <c r="G383" t="inlineStr">
        <is>
          <t>NORDANSTIG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33535-2022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44789</v>
      </c>
      <c r="E384" s="1" t="n">
        <v>46241</v>
      </c>
      <c r="F384" t="inlineStr">
        <is>
          <t>GÄVLEBORGS LÄN</t>
        </is>
      </c>
      <c r="G384" t="inlineStr">
        <is>
          <t>NORDANSTIG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48916-2025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46241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46241</v>
      </c>
      <c r="F386" t="inlineStr">
        <is>
          <t>GÄVLEBORGS LÄN</t>
        </is>
      </c>
      <c r="G386" t="inlineStr">
        <is>
          <t>NORDANSTIG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46241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49309-2025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46241</v>
      </c>
      <c r="F388" t="inlineStr">
        <is>
          <t>GÄVLEBORGS LÄN</t>
        </is>
      </c>
      <c r="G388" t="inlineStr">
        <is>
          <t>NORDANSTIG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46241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46241</v>
      </c>
      <c r="F390" t="inlineStr">
        <is>
          <t>GÄVLEBORGS LÄN</t>
        </is>
      </c>
      <c r="G390" t="inlineStr">
        <is>
          <t>NORDANSTIG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46241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46241</v>
      </c>
      <c r="F392" t="inlineStr">
        <is>
          <t>GÄVLEBORGS LÄN</t>
        </is>
      </c>
      <c r="G392" t="inlineStr">
        <is>
          <t>NORDANSTIG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46241</v>
      </c>
      <c r="F393" t="inlineStr">
        <is>
          <t>GÄVLEBORGS LÄN</t>
        </is>
      </c>
      <c r="G393" t="inlineStr">
        <is>
          <t>NORDANSTIG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46241</v>
      </c>
      <c r="F394" t="inlineStr">
        <is>
          <t>GÄVLEBORGS LÄN</t>
        </is>
      </c>
      <c r="G394" t="inlineStr">
        <is>
          <t>NORDANSTIG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46241</v>
      </c>
      <c r="F395" t="inlineStr">
        <is>
          <t>GÄVLEBORGS LÄN</t>
        </is>
      </c>
      <c r="G395" t="inlineStr">
        <is>
          <t>NORDANSTIG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46241</v>
      </c>
      <c r="F396" t="inlineStr">
        <is>
          <t>GÄVLEBORGS LÄN</t>
        </is>
      </c>
      <c r="G396" t="inlineStr">
        <is>
          <t>NORDANSTIG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46241</v>
      </c>
      <c r="F397" t="inlineStr">
        <is>
          <t>GÄVLEBORGS LÄN</t>
        </is>
      </c>
      <c r="G397" t="inlineStr">
        <is>
          <t>NORDANSTIG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46241</v>
      </c>
      <c r="F398" t="inlineStr">
        <is>
          <t>GÄVLEBORGS LÄN</t>
        </is>
      </c>
      <c r="G398" t="inlineStr">
        <is>
          <t>NORDANSTIG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46241</v>
      </c>
      <c r="F399" t="inlineStr">
        <is>
          <t>GÄVLEBORGS LÄN</t>
        </is>
      </c>
      <c r="G399" t="inlineStr">
        <is>
          <t>NORDANSTIG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63145-2023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45273</v>
      </c>
      <c r="E400" s="1" t="n">
        <v>46241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46241</v>
      </c>
      <c r="F401" t="inlineStr">
        <is>
          <t>GÄVLEBORGS LÄN</t>
        </is>
      </c>
      <c r="G401" t="inlineStr">
        <is>
          <t>NORDANSTIG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40733-2023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45170</v>
      </c>
      <c r="E402" s="1" t="n">
        <v>46241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45758</v>
      </c>
      <c r="E403" s="1" t="n">
        <v>46241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46241</v>
      </c>
      <c r="F404" t="inlineStr">
        <is>
          <t>GÄVLEBORGS LÄN</t>
        </is>
      </c>
      <c r="G404" t="inlineStr">
        <is>
          <t>NORDANSTIG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46241</v>
      </c>
      <c r="F405" t="inlineStr">
        <is>
          <t>GÄVLEBORGS LÄN</t>
        </is>
      </c>
      <c r="G405" t="inlineStr">
        <is>
          <t>NORDANSTIG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46241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45525</v>
      </c>
      <c r="E407" s="1" t="n">
        <v>46241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46241</v>
      </c>
      <c r="F408" t="inlineStr">
        <is>
          <t>GÄVLEBORGS LÄN</t>
        </is>
      </c>
      <c r="G408" t="inlineStr">
        <is>
          <t>NORDANSTIG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41957-2023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45177</v>
      </c>
      <c r="E409" s="1" t="n">
        <v>46241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45624</v>
      </c>
      <c r="E410" s="1" t="n">
        <v>46241</v>
      </c>
      <c r="F410" t="inlineStr">
        <is>
          <t>GÄVLEBORGS LÄN</t>
        </is>
      </c>
      <c r="G410" t="inlineStr">
        <is>
          <t>NORDANSTIG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50818-2025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46241</v>
      </c>
      <c r="F411" t="inlineStr">
        <is>
          <t>GÄVLEBORGS LÄN</t>
        </is>
      </c>
      <c r="G411" t="inlineStr">
        <is>
          <t>NORDANSTIG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46241</v>
      </c>
      <c r="F412" t="inlineStr">
        <is>
          <t>GÄVLEBORGS LÄN</t>
        </is>
      </c>
      <c r="G412" t="inlineStr">
        <is>
          <t>NORDANSTIG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46241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45947</v>
      </c>
      <c r="E414" s="1" t="n">
        <v>46241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46241</v>
      </c>
      <c r="F415" t="inlineStr">
        <is>
          <t>GÄVLEBORGS LÄN</t>
        </is>
      </c>
      <c r="G415" t="inlineStr">
        <is>
          <t>NORDANSTIG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46241</v>
      </c>
      <c r="F416" t="inlineStr">
        <is>
          <t>GÄVLEBORGS LÄN</t>
        </is>
      </c>
      <c r="G416" t="inlineStr">
        <is>
          <t>NORDANSTIG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46241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22868-2023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45072</v>
      </c>
      <c r="E418" s="1" t="n">
        <v>46241</v>
      </c>
      <c r="F418" t="inlineStr">
        <is>
          <t>GÄVLEBORGS LÄN</t>
        </is>
      </c>
      <c r="G418" t="inlineStr">
        <is>
          <t>NORDANSTIG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46241</v>
      </c>
      <c r="F419" t="inlineStr">
        <is>
          <t>GÄVLEBORGS LÄN</t>
        </is>
      </c>
      <c r="G419" t="inlineStr">
        <is>
          <t>NORDANSTIG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51014-2025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45947</v>
      </c>
      <c r="E420" s="1" t="n">
        <v>46241</v>
      </c>
      <c r="F420" t="inlineStr">
        <is>
          <t>GÄVLEBORGS LÄN</t>
        </is>
      </c>
      <c r="G420" t="inlineStr">
        <is>
          <t>NORDANSTIG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51466-2025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45950</v>
      </c>
      <c r="E421" s="1" t="n">
        <v>46241</v>
      </c>
      <c r="F421" t="inlineStr">
        <is>
          <t>GÄVLEBORGS LÄN</t>
        </is>
      </c>
      <c r="G421" t="inlineStr">
        <is>
          <t>NORDANSTIG</t>
        </is>
      </c>
      <c r="I421" t="n">
        <v>30.9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51464-2025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45950</v>
      </c>
      <c r="E422" s="1" t="n">
        <v>46241</v>
      </c>
      <c r="F422" t="inlineStr">
        <is>
          <t>GÄVLEBORGS LÄN</t>
        </is>
      </c>
      <c r="G422" t="inlineStr">
        <is>
          <t>NORDANSTIG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45951</v>
      </c>
      <c r="E423" s="1" t="n">
        <v>46241</v>
      </c>
      <c r="F423" t="inlineStr">
        <is>
          <t>GÄVLEBORGS LÄN</t>
        </is>
      </c>
      <c r="G423" t="inlineStr">
        <is>
          <t>NORDANSTIG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46241</v>
      </c>
      <c r="F424" t="inlineStr">
        <is>
          <t>GÄVLEBORGS LÄN</t>
        </is>
      </c>
      <c r="G424" t="inlineStr">
        <is>
          <t>NORDANSTIG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49284-2025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45938</v>
      </c>
      <c r="E425" s="1" t="n">
        <v>46241</v>
      </c>
      <c r="F425" t="inlineStr">
        <is>
          <t>GÄVLEBORGS LÄN</t>
        </is>
      </c>
      <c r="G425" t="inlineStr">
        <is>
          <t>NORDANSTIG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46241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46019</v>
      </c>
      <c r="E427" s="1" t="n">
        <v>46241</v>
      </c>
      <c r="F427" t="inlineStr">
        <is>
          <t>GÄVLEBORGS LÄN</t>
        </is>
      </c>
      <c r="G427" t="inlineStr">
        <is>
          <t>NORDANSTIG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53988-2023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45231</v>
      </c>
      <c r="E428" s="1" t="n">
        <v>46241</v>
      </c>
      <c r="F428" t="inlineStr">
        <is>
          <t>GÄVLEBORGS LÄN</t>
        </is>
      </c>
      <c r="G428" t="inlineStr">
        <is>
          <t>NORDANSTIG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45958</v>
      </c>
      <c r="E429" s="1" t="n">
        <v>46241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44960</v>
      </c>
      <c r="E430" s="1" t="n">
        <v>46241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31724-2024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45509</v>
      </c>
      <c r="E431" s="1" t="n">
        <v>46241</v>
      </c>
      <c r="F431" t="inlineStr">
        <is>
          <t>GÄVLEBORGS LÄN</t>
        </is>
      </c>
      <c r="G431" t="inlineStr">
        <is>
          <t>NORDANSTIG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46241</v>
      </c>
      <c r="F432" t="inlineStr">
        <is>
          <t>GÄVLEBORGS LÄN</t>
        </is>
      </c>
      <c r="G432" t="inlineStr">
        <is>
          <t>NORDANSTIG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44573</v>
      </c>
      <c r="E433" s="1" t="n">
        <v>46241</v>
      </c>
      <c r="F433" t="inlineStr">
        <is>
          <t>GÄVLEBORGS LÄN</t>
        </is>
      </c>
      <c r="G433" t="inlineStr">
        <is>
          <t>NORDANSTIG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64033-2025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46021</v>
      </c>
      <c r="E434" s="1" t="n">
        <v>46241</v>
      </c>
      <c r="F434" t="inlineStr">
        <is>
          <t>GÄVLEBORGS LÄN</t>
        </is>
      </c>
      <c r="G434" t="inlineStr">
        <is>
          <t>NORDANSTIG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50827-2025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45946</v>
      </c>
      <c r="E435" s="1" t="n">
        <v>46241</v>
      </c>
      <c r="F435" t="inlineStr">
        <is>
          <t>GÄVLEBORGS LÄN</t>
        </is>
      </c>
      <c r="G435" t="inlineStr">
        <is>
          <t>NORDANSTIG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46241</v>
      </c>
      <c r="F436" t="inlineStr">
        <is>
          <t>GÄVLEBORGS LÄN</t>
        </is>
      </c>
      <c r="G436" t="inlineStr">
        <is>
          <t>NORDANSTIG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46054</v>
      </c>
      <c r="E437" s="1" t="n">
        <v>46241</v>
      </c>
      <c r="F437" t="inlineStr">
        <is>
          <t>GÄVLEBORGS LÄN</t>
        </is>
      </c>
      <c r="G437" t="inlineStr">
        <is>
          <t>NORDANSTIG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46241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18933-2023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45044</v>
      </c>
      <c r="E439" s="1" t="n">
        <v>46241</v>
      </c>
      <c r="F439" t="inlineStr">
        <is>
          <t>GÄVLEBORGS LÄN</t>
        </is>
      </c>
      <c r="G439" t="inlineStr">
        <is>
          <t>NORDANSTIG</t>
        </is>
      </c>
      <c r="I439" t="n">
        <v>26.6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46033</v>
      </c>
      <c r="E440" s="1" t="n">
        <v>46241</v>
      </c>
      <c r="F440" t="inlineStr">
        <is>
          <t>GÄVLEBORGS LÄN</t>
        </is>
      </c>
      <c r="G440" t="inlineStr">
        <is>
          <t>NORDANSTIG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53360-2025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45959</v>
      </c>
      <c r="E441" s="1" t="n">
        <v>46241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35931-2023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45148</v>
      </c>
      <c r="E442" s="1" t="n">
        <v>46241</v>
      </c>
      <c r="F442" t="inlineStr">
        <is>
          <t>GÄVLEBORGS LÄN</t>
        </is>
      </c>
      <c r="G442" t="inlineStr">
        <is>
          <t>NORDANSTIG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19982-2026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46241</v>
      </c>
      <c r="F443" t="inlineStr">
        <is>
          <t>GÄVLEBORGS LÄN</t>
        </is>
      </c>
      <c r="G443" t="inlineStr">
        <is>
          <t>NORDANSTIG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46241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46241</v>
      </c>
      <c r="F445" t="inlineStr">
        <is>
          <t>GÄVLEBORGS LÄN</t>
        </is>
      </c>
      <c r="G445" t="inlineStr">
        <is>
          <t>NORDANSTIG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45541</v>
      </c>
      <c r="E446" s="1" t="n">
        <v>46241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46026</v>
      </c>
      <c r="E447" s="1" t="n">
        <v>46241</v>
      </c>
      <c r="F447" t="inlineStr">
        <is>
          <t>GÄVLEBORGS LÄN</t>
        </is>
      </c>
      <c r="G447" t="inlineStr">
        <is>
          <t>NORDANSTIG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61419-2024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45646</v>
      </c>
      <c r="E448" s="1" t="n">
        <v>46241</v>
      </c>
      <c r="F448" t="inlineStr">
        <is>
          <t>GÄVLEBORGS LÄN</t>
        </is>
      </c>
      <c r="G448" t="inlineStr">
        <is>
          <t>NORDANSTIG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55186-2025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45968</v>
      </c>
      <c r="E449" s="1" t="n">
        <v>46241</v>
      </c>
      <c r="F449" t="inlineStr">
        <is>
          <t>GÄVLEBORGS LÄN</t>
        </is>
      </c>
      <c r="G449" t="inlineStr">
        <is>
          <t>NORDANSTIG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44900</v>
      </c>
      <c r="E450" s="1" t="n">
        <v>46241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52206-2022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44869</v>
      </c>
      <c r="E451" s="1" t="n">
        <v>46241</v>
      </c>
      <c r="F451" t="inlineStr">
        <is>
          <t>GÄVLEBORGS LÄN</t>
        </is>
      </c>
      <c r="G451" t="inlineStr">
        <is>
          <t>NORDANSTIG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45297</v>
      </c>
      <c r="E452" s="1" t="n">
        <v>46241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44075-2025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46241</v>
      </c>
      <c r="F453" t="inlineStr">
        <is>
          <t>GÄVLEBORGS LÄN</t>
        </is>
      </c>
      <c r="G453" t="inlineStr">
        <is>
          <t>NORDANSTIG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55513-2025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46241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46241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46241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55453-2025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45971</v>
      </c>
      <c r="E457" s="1" t="n">
        <v>46241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40477-2024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45555</v>
      </c>
      <c r="E458" s="1" t="n">
        <v>46241</v>
      </c>
      <c r="F458" t="inlineStr">
        <is>
          <t>GÄVLEBORGS LÄN</t>
        </is>
      </c>
      <c r="G458" t="inlineStr">
        <is>
          <t>NORDANSTIG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44339-2024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45573</v>
      </c>
      <c r="E459" s="1" t="n">
        <v>46241</v>
      </c>
      <c r="F459" t="inlineStr">
        <is>
          <t>GÄVLEBORGS LÄN</t>
        </is>
      </c>
      <c r="G459" t="inlineStr">
        <is>
          <t>NORDANSTIG</t>
        </is>
      </c>
      <c r="I459" t="n">
        <v>10.7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46241</v>
      </c>
      <c r="F460" t="inlineStr">
        <is>
          <t>GÄVLEBORGS LÄN</t>
        </is>
      </c>
      <c r="G460" t="inlineStr">
        <is>
          <t>NORDANSTIG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46241</v>
      </c>
      <c r="F461" t="inlineStr">
        <is>
          <t>GÄVLEBORGS LÄN</t>
        </is>
      </c>
      <c r="G461" t="inlineStr">
        <is>
          <t>NORDANSTIG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55964-2025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46241</v>
      </c>
      <c r="F462" t="inlineStr">
        <is>
          <t>GÄVLEBORGS LÄN</t>
        </is>
      </c>
      <c r="G462" t="inlineStr">
        <is>
          <t>NORDANSTIG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56056-2025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46241</v>
      </c>
      <c r="F463" t="inlineStr">
        <is>
          <t>GÄVLEBORGS LÄN</t>
        </is>
      </c>
      <c r="G463" t="inlineStr">
        <is>
          <t>NORDANSTIG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46241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8.199999999999999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56357-2025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45974</v>
      </c>
      <c r="E465" s="1" t="n">
        <v>46241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56031-2025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45973</v>
      </c>
      <c r="E466" s="1" t="n">
        <v>46241</v>
      </c>
      <c r="F466" t="inlineStr">
        <is>
          <t>GÄVLEBORGS LÄN</t>
        </is>
      </c>
      <c r="G466" t="inlineStr">
        <is>
          <t>NORDANSTIG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45973</v>
      </c>
      <c r="E467" s="1" t="n">
        <v>46241</v>
      </c>
      <c r="F467" t="inlineStr">
        <is>
          <t>GÄVLEBORGS LÄN</t>
        </is>
      </c>
      <c r="G467" t="inlineStr">
        <is>
          <t>NORDANSTIG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46241</v>
      </c>
      <c r="F468" t="inlineStr">
        <is>
          <t>GÄVLEBORGS LÄN</t>
        </is>
      </c>
      <c r="G468" t="inlineStr">
        <is>
          <t>NORDANSTIG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32635-2022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44783</v>
      </c>
      <c r="E469" s="1" t="n">
        <v>46241</v>
      </c>
      <c r="F469" t="inlineStr">
        <is>
          <t>GÄVLEBORGS LÄN</t>
        </is>
      </c>
      <c r="G469" t="inlineStr">
        <is>
          <t>NORDANSTIG</t>
        </is>
      </c>
      <c r="I469" t="n">
        <v>10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29401-2025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45824</v>
      </c>
      <c r="E470" s="1" t="n">
        <v>46241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64034-2025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46021</v>
      </c>
      <c r="E471" s="1" t="n">
        <v>46241</v>
      </c>
      <c r="F471" t="inlineStr">
        <is>
          <t>GÄVLEBORGS LÄN</t>
        </is>
      </c>
      <c r="G471" t="inlineStr">
        <is>
          <t>NORDANSTIG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46241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46241</v>
      </c>
      <c r="F473" t="inlineStr">
        <is>
          <t>GÄVLEBORGS LÄN</t>
        </is>
      </c>
      <c r="G473" t="inlineStr">
        <is>
          <t>NORDANSTIG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43883-2021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44434</v>
      </c>
      <c r="E474" s="1" t="n">
        <v>46241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9976-2026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46073</v>
      </c>
      <c r="E475" s="1" t="n">
        <v>46241</v>
      </c>
      <c r="F475" t="inlineStr">
        <is>
          <t>GÄVLEBORGS LÄN</t>
        </is>
      </c>
      <c r="G475" t="inlineStr">
        <is>
          <t>NORDANSTIG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46048</v>
      </c>
      <c r="E476" s="1" t="n">
        <v>46241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46241</v>
      </c>
      <c r="F477" t="inlineStr">
        <is>
          <t>GÄVLEBORGS LÄN</t>
        </is>
      </c>
      <c r="G477" t="inlineStr">
        <is>
          <t>NORDANSTIG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46241</v>
      </c>
      <c r="F478" t="inlineStr">
        <is>
          <t>GÄVLEBORGS LÄN</t>
        </is>
      </c>
      <c r="G478" t="inlineStr">
        <is>
          <t>NORDANSTIG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57559-2025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45980</v>
      </c>
      <c r="E479" s="1" t="n">
        <v>46241</v>
      </c>
      <c r="F479" t="inlineStr">
        <is>
          <t>GÄVLEBORGS LÄN</t>
        </is>
      </c>
      <c r="G479" t="inlineStr">
        <is>
          <t>NORDANSTIG</t>
        </is>
      </c>
      <c r="H479" t="inlineStr">
        <is>
          <t>SCA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57558-2025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45980</v>
      </c>
      <c r="E480" s="1" t="n">
        <v>46241</v>
      </c>
      <c r="F480" t="inlineStr">
        <is>
          <t>GÄVLEBORGS LÄN</t>
        </is>
      </c>
      <c r="G480" t="inlineStr">
        <is>
          <t>NORDANSTIG</t>
        </is>
      </c>
      <c r="H480" t="inlineStr">
        <is>
          <t>SCA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57284-2025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45979</v>
      </c>
      <c r="E481" s="1" t="n">
        <v>46241</v>
      </c>
      <c r="F481" t="inlineStr">
        <is>
          <t>GÄVLEBORGS LÄN</t>
        </is>
      </c>
      <c r="G481" t="inlineStr">
        <is>
          <t>NORDANSTIG</t>
        </is>
      </c>
      <c r="H481" t="inlineStr">
        <is>
          <t>SCA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60869-2024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45644</v>
      </c>
      <c r="E482" s="1" t="n">
        <v>46241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64835-2021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44512</v>
      </c>
      <c r="E483" s="1" t="n">
        <v>46241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33377-2022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44788</v>
      </c>
      <c r="E484" s="1" t="n">
        <v>46241</v>
      </c>
      <c r="F484" t="inlineStr">
        <is>
          <t>GÄVLEBORGS LÄN</t>
        </is>
      </c>
      <c r="G484" t="inlineStr">
        <is>
          <t>NORDANSTIG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46241</v>
      </c>
      <c r="F485" t="inlineStr">
        <is>
          <t>GÄVLEBORGS LÄN</t>
        </is>
      </c>
      <c r="G485" t="inlineStr">
        <is>
          <t>NORDANSTIG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57875-2025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46241</v>
      </c>
      <c r="F486" t="inlineStr">
        <is>
          <t>GÄVLEBORGS LÄN</t>
        </is>
      </c>
      <c r="G486" t="inlineStr">
        <is>
          <t>NORDANSTIG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14866-2024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45397</v>
      </c>
      <c r="E487" s="1" t="n">
        <v>46241</v>
      </c>
      <c r="F487" t="inlineStr">
        <is>
          <t>GÄVLEBORGS LÄN</t>
        </is>
      </c>
      <c r="G487" t="inlineStr">
        <is>
          <t>NORDANSTIG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65039-2023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45287</v>
      </c>
      <c r="E488" s="1" t="n">
        <v>46241</v>
      </c>
      <c r="F488" t="inlineStr">
        <is>
          <t>GÄVLEBORGS LÄN</t>
        </is>
      </c>
      <c r="G488" t="inlineStr">
        <is>
          <t>NORDANSTIG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46241</v>
      </c>
      <c r="F489" t="inlineStr">
        <is>
          <t>GÄVLEBORGS LÄN</t>
        </is>
      </c>
      <c r="G489" t="inlineStr">
        <is>
          <t>NORDANSTIG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22784-2025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45789</v>
      </c>
      <c r="E490" s="1" t="n">
        <v>46241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55.6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44952</v>
      </c>
      <c r="E491" s="1" t="n">
        <v>46241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46031</v>
      </c>
      <c r="E492" s="1" t="n">
        <v>46241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51681-2025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45951</v>
      </c>
      <c r="E493" s="1" t="n">
        <v>46241</v>
      </c>
      <c r="F493" t="inlineStr">
        <is>
          <t>GÄVLEBORGS LÄN</t>
        </is>
      </c>
      <c r="G493" t="inlineStr">
        <is>
          <t>NORDANSTIG</t>
        </is>
      </c>
      <c r="I493" t="n">
        <v>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46241</v>
      </c>
      <c r="F494" t="inlineStr">
        <is>
          <t>GÄVLEBORGS LÄN</t>
        </is>
      </c>
      <c r="G494" t="inlineStr">
        <is>
          <t>NORDANSTIG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58522-2025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46241</v>
      </c>
      <c r="F495" t="inlineStr">
        <is>
          <t>GÄVLEBORGS LÄN</t>
        </is>
      </c>
      <c r="G495" t="inlineStr">
        <is>
          <t>NORDANSTIG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37640-2025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45880</v>
      </c>
      <c r="E496" s="1" t="n">
        <v>46241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55694-2024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45622</v>
      </c>
      <c r="E497" s="1" t="n">
        <v>46241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46084</v>
      </c>
      <c r="E498" s="1" t="n">
        <v>46241</v>
      </c>
      <c r="F498" t="inlineStr">
        <is>
          <t>GÄVLEBORGS LÄN</t>
        </is>
      </c>
      <c r="G498" t="inlineStr">
        <is>
          <t>NORDANSTIG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45884</v>
      </c>
      <c r="E499" s="1" t="n">
        <v>46241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46241</v>
      </c>
      <c r="F500" t="inlineStr">
        <is>
          <t>GÄVLEBORGS LÄN</t>
        </is>
      </c>
      <c r="G500" t="inlineStr">
        <is>
          <t>NORDANSTIG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45986</v>
      </c>
      <c r="E501" s="1" t="n">
        <v>46241</v>
      </c>
      <c r="F501" t="inlineStr">
        <is>
          <t>GÄVLEBORGS LÄN</t>
        </is>
      </c>
      <c r="G501" t="inlineStr">
        <is>
          <t>NORDANSTIG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21118-2026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46146</v>
      </c>
      <c r="E502" s="1" t="n">
        <v>46241</v>
      </c>
      <c r="F502" t="inlineStr">
        <is>
          <t>GÄVLEBORGS LÄN</t>
        </is>
      </c>
      <c r="G502" t="inlineStr">
        <is>
          <t>NORDANSTIG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45985</v>
      </c>
      <c r="E503" s="1" t="n">
        <v>46241</v>
      </c>
      <c r="F503" t="inlineStr">
        <is>
          <t>GÄVLEBORGS LÄN</t>
        </is>
      </c>
      <c r="G503" t="inlineStr">
        <is>
          <t>NORDANSTIG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45985</v>
      </c>
      <c r="E504" s="1" t="n">
        <v>46241</v>
      </c>
      <c r="F504" t="inlineStr">
        <is>
          <t>GÄVLEBORGS LÄN</t>
        </is>
      </c>
      <c r="G504" t="inlineStr">
        <is>
          <t>NORDANSTIG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46241</v>
      </c>
      <c r="F505" t="inlineStr">
        <is>
          <t>GÄVLEBORGS LÄN</t>
        </is>
      </c>
      <c r="G505" t="inlineStr">
        <is>
          <t>NORDANSTIG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23770-2024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45455</v>
      </c>
      <c r="E506" s="1" t="n">
        <v>46241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46241</v>
      </c>
      <c r="F507" t="inlineStr">
        <is>
          <t>GÄVLEBORGS LÄN</t>
        </is>
      </c>
      <c r="G507" t="inlineStr">
        <is>
          <t>NORDANSTIG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46241</v>
      </c>
      <c r="F508" t="inlineStr">
        <is>
          <t>GÄVLEBORGS LÄN</t>
        </is>
      </c>
      <c r="G508" t="inlineStr">
        <is>
          <t>NORDANSTIG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46241</v>
      </c>
      <c r="F509" t="inlineStr">
        <is>
          <t>GÄVLEBORGS LÄN</t>
        </is>
      </c>
      <c r="G509" t="inlineStr">
        <is>
          <t>NORDANSTIG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46241</v>
      </c>
      <c r="F510" t="inlineStr">
        <is>
          <t>GÄVLEBORGS LÄN</t>
        </is>
      </c>
      <c r="G510" t="inlineStr">
        <is>
          <t>NORDANSTIG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46241</v>
      </c>
      <c r="F511" t="inlineStr">
        <is>
          <t>GÄVLEBORGS LÄN</t>
        </is>
      </c>
      <c r="G511" t="inlineStr">
        <is>
          <t>NORDANSTIG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46241</v>
      </c>
      <c r="F512" t="inlineStr">
        <is>
          <t>GÄVLEBORGS LÄN</t>
        </is>
      </c>
      <c r="G512" t="inlineStr">
        <is>
          <t>NORDANSTIG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21060-2026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46241</v>
      </c>
      <c r="F513" t="inlineStr">
        <is>
          <t>GÄVLEBORGS LÄN</t>
        </is>
      </c>
      <c r="G513" t="inlineStr">
        <is>
          <t>NORDANSTIG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59008-2025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45987</v>
      </c>
      <c r="E514" s="1" t="n">
        <v>46241</v>
      </c>
      <c r="F514" t="inlineStr">
        <is>
          <t>GÄVLEBORGS LÄN</t>
        </is>
      </c>
      <c r="G514" t="inlineStr">
        <is>
          <t>NORDANSTIG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24106-2023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46241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62816-2023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45271</v>
      </c>
      <c r="E516" s="1" t="n">
        <v>46241</v>
      </c>
      <c r="F516" t="inlineStr">
        <is>
          <t>GÄVLEBORGS LÄN</t>
        </is>
      </c>
      <c r="G516" t="inlineStr">
        <is>
          <t>NORDANSTIG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44938</v>
      </c>
      <c r="E517" s="1" t="n">
        <v>46241</v>
      </c>
      <c r="F517" t="inlineStr">
        <is>
          <t>GÄVLEBORGS LÄN</t>
        </is>
      </c>
      <c r="G517" t="inlineStr">
        <is>
          <t>NORDANSTIG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12095-2023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44998</v>
      </c>
      <c r="E518" s="1" t="n">
        <v>46241</v>
      </c>
      <c r="F518" t="inlineStr">
        <is>
          <t>GÄVLEBORGS LÄN</t>
        </is>
      </c>
      <c r="G518" t="inlineStr">
        <is>
          <t>NORDANSTIG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65208-2023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45289</v>
      </c>
      <c r="E519" s="1" t="n">
        <v>46241</v>
      </c>
      <c r="F519" t="inlineStr">
        <is>
          <t>GÄVLEBORGS LÄN</t>
        </is>
      </c>
      <c r="G519" t="inlineStr">
        <is>
          <t>NORDANSTIG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10680-2026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46241</v>
      </c>
      <c r="F520" t="inlineStr">
        <is>
          <t>GÄVLEBORGS LÄN</t>
        </is>
      </c>
      <c r="G520" t="inlineStr">
        <is>
          <t>NORDANSTIG</t>
        </is>
      </c>
      <c r="I520" t="n">
        <v>10.9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59997-2025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46241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45994</v>
      </c>
      <c r="E522" s="1" t="n">
        <v>46241</v>
      </c>
      <c r="F522" t="inlineStr">
        <is>
          <t>GÄVLEBORGS LÄN</t>
        </is>
      </c>
      <c r="G522" t="inlineStr">
        <is>
          <t>NORDANSTIG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21648-2026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46149</v>
      </c>
      <c r="E523" s="1" t="n">
        <v>46241</v>
      </c>
      <c r="F523" t="inlineStr">
        <is>
          <t>GÄVLEBORGS LÄN</t>
        </is>
      </c>
      <c r="G523" t="inlineStr">
        <is>
          <t>NORDANSTIG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51380-2024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46241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21661-2026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46149</v>
      </c>
      <c r="E525" s="1" t="n">
        <v>46241</v>
      </c>
      <c r="F525" t="inlineStr">
        <is>
          <t>GÄVLEBORGS LÄN</t>
        </is>
      </c>
      <c r="G525" t="inlineStr">
        <is>
          <t>NORDANSTIG</t>
        </is>
      </c>
      <c r="I525" t="n">
        <v>10.7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60372-2025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46241</v>
      </c>
      <c r="F526" t="inlineStr">
        <is>
          <t>GÄVLEBORGS LÄN</t>
        </is>
      </c>
      <c r="G526" t="inlineStr">
        <is>
          <t>NORDANSTIG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46241</v>
      </c>
      <c r="F527" t="inlineStr">
        <is>
          <t>GÄVLEBORGS LÄN</t>
        </is>
      </c>
      <c r="G527" t="inlineStr">
        <is>
          <t>NORDANSTIG</t>
        </is>
      </c>
      <c r="I527" t="n">
        <v>15.6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18691-2026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46128</v>
      </c>
      <c r="E528" s="1" t="n">
        <v>46241</v>
      </c>
      <c r="F528" t="inlineStr">
        <is>
          <t>GÄVLEBORGS LÄN</t>
        </is>
      </c>
      <c r="G528" t="inlineStr">
        <is>
          <t>NORDANSTIG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5981-2026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46052</v>
      </c>
      <c r="E529" s="1" t="n">
        <v>46241</v>
      </c>
      <c r="F529" t="inlineStr">
        <is>
          <t>GÄVLEBORGS LÄN</t>
        </is>
      </c>
      <c r="G529" t="inlineStr">
        <is>
          <t>NORDANSTIG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46026</v>
      </c>
      <c r="E530" s="1" t="n">
        <v>46241</v>
      </c>
      <c r="F530" t="inlineStr">
        <is>
          <t>GÄVLEBORGS LÄN</t>
        </is>
      </c>
      <c r="G530" t="inlineStr">
        <is>
          <t>NORDANSTIG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60787-2025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46241</v>
      </c>
      <c r="F531" t="inlineStr">
        <is>
          <t>GÄVLEBORGS LÄN</t>
        </is>
      </c>
      <c r="G531" t="inlineStr">
        <is>
          <t>NORDANSTIG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62089-2021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44502</v>
      </c>
      <c r="E532" s="1" t="n">
        <v>46241</v>
      </c>
      <c r="F532" t="inlineStr">
        <is>
          <t>GÄVLEBORGS LÄN</t>
        </is>
      </c>
      <c r="G532" t="inlineStr">
        <is>
          <t>NORDANSTIG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20747-2023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45058</v>
      </c>
      <c r="E533" s="1" t="n">
        <v>46241</v>
      </c>
      <c r="F533" t="inlineStr">
        <is>
          <t>GÄVLEBORGS LÄN</t>
        </is>
      </c>
      <c r="G533" t="inlineStr">
        <is>
          <t>NORDANSTIG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46241</v>
      </c>
      <c r="F534" t="inlineStr">
        <is>
          <t>GÄVLEBORGS LÄN</t>
        </is>
      </c>
      <c r="G534" t="inlineStr">
        <is>
          <t>NORDANSTIG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46241</v>
      </c>
      <c r="F535" t="inlineStr">
        <is>
          <t>GÄVLEBORGS LÄN</t>
        </is>
      </c>
      <c r="G535" t="inlineStr">
        <is>
          <t>NORDANSTIG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51560-2023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45222</v>
      </c>
      <c r="E536" s="1" t="n">
        <v>46241</v>
      </c>
      <c r="F536" t="inlineStr">
        <is>
          <t>GÄVLEBORGS LÄN</t>
        </is>
      </c>
      <c r="G536" t="inlineStr">
        <is>
          <t>NORDANSTIG</t>
        </is>
      </c>
      <c r="I536" t="n">
        <v>26.9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45041</v>
      </c>
      <c r="E537" s="1" t="n">
        <v>46241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11087-2022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44628</v>
      </c>
      <c r="E538" s="1" t="n">
        <v>46241</v>
      </c>
      <c r="F538" t="inlineStr">
        <is>
          <t>GÄVLEBORGS LÄN</t>
        </is>
      </c>
      <c r="G538" t="inlineStr">
        <is>
          <t>NORDANSTIG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50657-2024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45601</v>
      </c>
      <c r="E539" s="1" t="n">
        <v>46241</v>
      </c>
      <c r="F539" t="inlineStr">
        <is>
          <t>GÄVLEBORGS LÄN</t>
        </is>
      </c>
      <c r="G539" t="inlineStr">
        <is>
          <t>NORDANSTIG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22621-2026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46241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45306</v>
      </c>
      <c r="E541" s="1" t="n">
        <v>46241</v>
      </c>
      <c r="F541" t="inlineStr">
        <is>
          <t>GÄVLEBORGS LÄN</t>
        </is>
      </c>
      <c r="G541" t="inlineStr">
        <is>
          <t>NORDANSTIG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34842-2023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45141</v>
      </c>
      <c r="E542" s="1" t="n">
        <v>46241</v>
      </c>
      <c r="F542" t="inlineStr">
        <is>
          <t>GÄVLEBORGS LÄN</t>
        </is>
      </c>
      <c r="G542" t="inlineStr">
        <is>
          <t>NORDANSTIG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45343</v>
      </c>
      <c r="E543" s="1" t="n">
        <v>46241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44601</v>
      </c>
      <c r="E544" s="1" t="n">
        <v>46241</v>
      </c>
      <c r="F544" t="inlineStr">
        <is>
          <t>GÄVLEBORGS LÄN</t>
        </is>
      </c>
      <c r="G544" t="inlineStr">
        <is>
          <t>NORDANSTIG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14532-2026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46100</v>
      </c>
      <c r="E545" s="1" t="n">
        <v>46241</v>
      </c>
      <c r="F545" t="inlineStr">
        <is>
          <t>GÄVLEBORGS LÄN</t>
        </is>
      </c>
      <c r="G545" t="inlineStr">
        <is>
          <t>NORDANSTIG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22607-2026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46155</v>
      </c>
      <c r="E546" s="1" t="n">
        <v>46241</v>
      </c>
      <c r="F546" t="inlineStr">
        <is>
          <t>GÄVLEBORGS LÄN</t>
        </is>
      </c>
      <c r="G546" t="inlineStr">
        <is>
          <t>NORDANSTIG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46155</v>
      </c>
      <c r="E547" s="1" t="n">
        <v>46241</v>
      </c>
      <c r="F547" t="inlineStr">
        <is>
          <t>GÄVLEBORGS LÄN</t>
        </is>
      </c>
      <c r="G547" t="inlineStr">
        <is>
          <t>NORDANSTIG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46241</v>
      </c>
      <c r="F548" t="inlineStr">
        <is>
          <t>GÄVLEBORGS LÄN</t>
        </is>
      </c>
      <c r="G548" t="inlineStr">
        <is>
          <t>NORDANSTIG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61046-2025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46000</v>
      </c>
      <c r="E549" s="1" t="n">
        <v>46241</v>
      </c>
      <c r="F549" t="inlineStr">
        <is>
          <t>GÄVLEBORGS LÄN</t>
        </is>
      </c>
      <c r="G549" t="inlineStr">
        <is>
          <t>NORDANSTIG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32471-2023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45120</v>
      </c>
      <c r="E550" s="1" t="n">
        <v>46241</v>
      </c>
      <c r="F550" t="inlineStr">
        <is>
          <t>GÄVLEBORGS LÄN</t>
        </is>
      </c>
      <c r="G550" t="inlineStr">
        <is>
          <t>NORDANSTIG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25402-2024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45463</v>
      </c>
      <c r="E551" s="1" t="n">
        <v>46241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45525</v>
      </c>
      <c r="E552" s="1" t="n">
        <v>46241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46241</v>
      </c>
      <c r="F553" t="inlineStr">
        <is>
          <t>GÄVLEBORGS LÄN</t>
        </is>
      </c>
      <c r="G553" t="inlineStr">
        <is>
          <t>NORDANSTIG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42796-2024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45566</v>
      </c>
      <c r="E554" s="1" t="n">
        <v>46241</v>
      </c>
      <c r="F554" t="inlineStr">
        <is>
          <t>GÄVLEBORGS LÄN</t>
        </is>
      </c>
      <c r="G554" t="inlineStr">
        <is>
          <t>NORDANSTIG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45596</v>
      </c>
      <c r="E555" s="1" t="n">
        <v>46241</v>
      </c>
      <c r="F555" t="inlineStr">
        <is>
          <t>GÄVLEBORGS LÄN</t>
        </is>
      </c>
      <c r="G555" t="inlineStr">
        <is>
          <t>NORDANSTIG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6581-2022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44601</v>
      </c>
      <c r="E556" s="1" t="n">
        <v>46241</v>
      </c>
      <c r="F556" t="inlineStr">
        <is>
          <t>GÄVLEBORGS LÄN</t>
        </is>
      </c>
      <c r="G556" t="inlineStr">
        <is>
          <t>NORDANSTIG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46006</v>
      </c>
      <c r="E557" s="1" t="n">
        <v>46241</v>
      </c>
      <c r="F557" t="inlineStr">
        <is>
          <t>GÄVLEBORGS LÄN</t>
        </is>
      </c>
      <c r="G557" t="inlineStr">
        <is>
          <t>NORDANSTIG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61871-2025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46003</v>
      </c>
      <c r="E558" s="1" t="n">
        <v>46241</v>
      </c>
      <c r="F558" t="inlineStr">
        <is>
          <t>GÄVLEBORGS LÄN</t>
        </is>
      </c>
      <c r="G558" t="inlineStr">
        <is>
          <t>NORDANSTIG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45618</v>
      </c>
      <c r="E559" s="1" t="n">
        <v>46241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62646-2023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45271</v>
      </c>
      <c r="E560" s="1" t="n">
        <v>46241</v>
      </c>
      <c r="F560" t="inlineStr">
        <is>
          <t>GÄVLEBORGS LÄN</t>
        </is>
      </c>
      <c r="G560" t="inlineStr">
        <is>
          <t>NORDANSTIG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60193-2024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45642</v>
      </c>
      <c r="E561" s="1" t="n">
        <v>46241</v>
      </c>
      <c r="F561" t="inlineStr">
        <is>
          <t>GÄVLEBORGS LÄN</t>
        </is>
      </c>
      <c r="G561" t="inlineStr">
        <is>
          <t>NORDANSTIG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62182-2025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46006</v>
      </c>
      <c r="E562" s="1" t="n">
        <v>46241</v>
      </c>
      <c r="F562" t="inlineStr">
        <is>
          <t>GÄVLEBORGS LÄN</t>
        </is>
      </c>
      <c r="G562" t="inlineStr">
        <is>
          <t>NORDANSTIG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45076</v>
      </c>
      <c r="E563" s="1" t="n">
        <v>46241</v>
      </c>
      <c r="F563" t="inlineStr">
        <is>
          <t>GÄVLEBORGS LÄN</t>
        </is>
      </c>
      <c r="G563" t="inlineStr">
        <is>
          <t>NORDANSTIG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7149-2022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44603</v>
      </c>
      <c r="E564" s="1" t="n">
        <v>46241</v>
      </c>
      <c r="F564" t="inlineStr">
        <is>
          <t>GÄVLEBORGS LÄN</t>
        </is>
      </c>
      <c r="G564" t="inlineStr">
        <is>
          <t>NORDANSTIG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22733-2026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46157</v>
      </c>
      <c r="E565" s="1" t="n">
        <v>46241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62833-2025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46008</v>
      </c>
      <c r="E566" s="1" t="n">
        <v>46241</v>
      </c>
      <c r="F566" t="inlineStr">
        <is>
          <t>GÄVLEBORGS LÄN</t>
        </is>
      </c>
      <c r="G566" t="inlineStr">
        <is>
          <t>NORDANSTIG</t>
        </is>
      </c>
      <c r="H566" t="inlineStr">
        <is>
          <t>SCA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9382-2022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44616</v>
      </c>
      <c r="E567" s="1" t="n">
        <v>46241</v>
      </c>
      <c r="F567" t="inlineStr">
        <is>
          <t>GÄVLEBORGS LÄN</t>
        </is>
      </c>
      <c r="G567" t="inlineStr">
        <is>
          <t>NORDANSTIG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45149</v>
      </c>
      <c r="E568" s="1" t="n">
        <v>46241</v>
      </c>
      <c r="F568" t="inlineStr">
        <is>
          <t>GÄVLEBORGS LÄN</t>
        </is>
      </c>
      <c r="G568" t="inlineStr">
        <is>
          <t>NORDANSTIG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45170</v>
      </c>
      <c r="E569" s="1" t="n">
        <v>46241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62465-2021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44503</v>
      </c>
      <c r="E570" s="1" t="n">
        <v>46241</v>
      </c>
      <c r="F570" t="inlineStr">
        <is>
          <t>GÄVLEBORGS LÄN</t>
        </is>
      </c>
      <c r="G570" t="inlineStr">
        <is>
          <t>NORDANSTIG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45063</v>
      </c>
      <c r="E571" s="1" t="n">
        <v>46241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54705-2024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45618</v>
      </c>
      <c r="E572" s="1" t="n">
        <v>46241</v>
      </c>
      <c r="F572" t="inlineStr">
        <is>
          <t>GÄVLEBORGS LÄN</t>
        </is>
      </c>
      <c r="G572" t="inlineStr">
        <is>
          <t>NORDANSTIG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36028-2024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46241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38332-2024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45545</v>
      </c>
      <c r="E574" s="1" t="n">
        <v>46241</v>
      </c>
      <c r="F574" t="inlineStr">
        <is>
          <t>GÄVLEBORGS LÄN</t>
        </is>
      </c>
      <c r="G574" t="inlineStr">
        <is>
          <t>NORDANSTIG</t>
        </is>
      </c>
      <c r="I574" t="n">
        <v>11.5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38346-2024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45545</v>
      </c>
      <c r="E575" s="1" t="n">
        <v>46241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51541-2025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45950</v>
      </c>
      <c r="E576" s="1" t="n">
        <v>46241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45422</v>
      </c>
      <c r="E577" s="1" t="n">
        <v>46241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48636-2024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45593</v>
      </c>
      <c r="E578" s="1" t="n">
        <v>46241</v>
      </c>
      <c r="F578" t="inlineStr">
        <is>
          <t>GÄVLEBORGS LÄN</t>
        </is>
      </c>
      <c r="G578" t="inlineStr">
        <is>
          <t>NORDANSTIG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46160</v>
      </c>
      <c r="E579" s="1" t="n">
        <v>46241</v>
      </c>
      <c r="F579" t="inlineStr">
        <is>
          <t>GÄVLEBORGS LÄN</t>
        </is>
      </c>
      <c r="G579" t="inlineStr">
        <is>
          <t>NORDANSTIG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63986-2025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46021</v>
      </c>
      <c r="E580" s="1" t="n">
        <v>46241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46024</v>
      </c>
      <c r="E581" s="1" t="n">
        <v>46241</v>
      </c>
      <c r="F581" t="inlineStr">
        <is>
          <t>GÄVLEBORGS LÄN</t>
        </is>
      </c>
      <c r="G581" t="inlineStr">
        <is>
          <t>NORDANSTIG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46026</v>
      </c>
      <c r="E582" s="1" t="n">
        <v>46241</v>
      </c>
      <c r="F582" t="inlineStr">
        <is>
          <t>GÄVLEBORGS LÄN</t>
        </is>
      </c>
      <c r="G582" t="inlineStr">
        <is>
          <t>NORDANSTIG</t>
        </is>
      </c>
      <c r="I582" t="n">
        <v>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46241</v>
      </c>
      <c r="F583" t="inlineStr">
        <is>
          <t>GÄVLEBORGS LÄN</t>
        </is>
      </c>
      <c r="G583" t="inlineStr">
        <is>
          <t>NORDANSTIG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37031-2024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45539</v>
      </c>
      <c r="E584" s="1" t="n">
        <v>46241</v>
      </c>
      <c r="F584" t="inlineStr">
        <is>
          <t>GÄVLEBORGS LÄN</t>
        </is>
      </c>
      <c r="G584" t="inlineStr">
        <is>
          <t>NORDANSTIG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46241</v>
      </c>
      <c r="F585" t="inlineStr">
        <is>
          <t>GÄVLEBORGS LÄN</t>
        </is>
      </c>
      <c r="G585" t="inlineStr">
        <is>
          <t>NORDANSTIG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46241</v>
      </c>
      <c r="F586" t="inlineStr">
        <is>
          <t>GÄVLEBORGS LÄN</t>
        </is>
      </c>
      <c r="G586" t="inlineStr">
        <is>
          <t>NORDANSTIG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44500-2024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45574</v>
      </c>
      <c r="E587" s="1" t="n">
        <v>46241</v>
      </c>
      <c r="F587" t="inlineStr">
        <is>
          <t>GÄVLEBORGS LÄN</t>
        </is>
      </c>
      <c r="G587" t="inlineStr">
        <is>
          <t>NORDANSTIG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54685-2024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45618</v>
      </c>
      <c r="E588" s="1" t="n">
        <v>46241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46034</v>
      </c>
      <c r="E589" s="1" t="n">
        <v>46241</v>
      </c>
      <c r="F589" t="inlineStr">
        <is>
          <t>GÄVLEBORGS LÄN</t>
        </is>
      </c>
      <c r="G589" t="inlineStr">
        <is>
          <t>NORDANSTIG</t>
        </is>
      </c>
      <c r="I589" t="n">
        <v>12.7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46241</v>
      </c>
      <c r="F590" t="inlineStr">
        <is>
          <t>GÄVLEBORGS LÄN</t>
        </is>
      </c>
      <c r="G590" t="inlineStr">
        <is>
          <t>NORDANSTIG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46241</v>
      </c>
      <c r="F591" t="inlineStr">
        <is>
          <t>GÄVLEBORGS LÄN</t>
        </is>
      </c>
      <c r="G591" t="inlineStr">
        <is>
          <t>NORDANSTIG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44009-2023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45188</v>
      </c>
      <c r="E592" s="1" t="n">
        <v>46241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46136</v>
      </c>
      <c r="E593" s="1" t="n">
        <v>46241</v>
      </c>
      <c r="F593" t="inlineStr">
        <is>
          <t>GÄVLEBORGS LÄN</t>
        </is>
      </c>
      <c r="G593" t="inlineStr">
        <is>
          <t>NORDANSTIG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46241</v>
      </c>
      <c r="F594" t="inlineStr">
        <is>
          <t>GÄVLEBORGS LÄN</t>
        </is>
      </c>
      <c r="G594" t="inlineStr">
        <is>
          <t>NORDANSTIG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73389-2021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44551</v>
      </c>
      <c r="E595" s="1" t="n">
        <v>46241</v>
      </c>
      <c r="F595" t="inlineStr">
        <is>
          <t>GÄVLEBORGS LÄN</t>
        </is>
      </c>
      <c r="G595" t="inlineStr">
        <is>
          <t>NORDANSTIG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12858-2025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45733</v>
      </c>
      <c r="E596" s="1" t="n">
        <v>46241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46038</v>
      </c>
      <c r="E597" s="1" t="n">
        <v>46241</v>
      </c>
      <c r="F597" t="inlineStr">
        <is>
          <t>GÄVLEBORGS LÄN</t>
        </is>
      </c>
      <c r="G597" t="inlineStr">
        <is>
          <t>NORDANSTIG</t>
        </is>
      </c>
      <c r="I597" t="n">
        <v>21.1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46241</v>
      </c>
      <c r="F598" t="inlineStr">
        <is>
          <t>GÄVLEBORGS LÄN</t>
        </is>
      </c>
      <c r="G598" t="inlineStr">
        <is>
          <t>NORDANSTIG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46037</v>
      </c>
      <c r="E599" s="1" t="n">
        <v>46241</v>
      </c>
      <c r="F599" t="inlineStr">
        <is>
          <t>GÄVLEBORGS LÄN</t>
        </is>
      </c>
      <c r="G599" t="inlineStr">
        <is>
          <t>NORDANSTIG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5892-2022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44596</v>
      </c>
      <c r="E600" s="1" t="n">
        <v>46241</v>
      </c>
      <c r="F600" t="inlineStr">
        <is>
          <t>GÄVLEBORGS LÄN</t>
        </is>
      </c>
      <c r="G600" t="inlineStr">
        <is>
          <t>NORDANSTIG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46037</v>
      </c>
      <c r="E601" s="1" t="n">
        <v>46241</v>
      </c>
      <c r="F601" t="inlineStr">
        <is>
          <t>GÄVLEBORGS LÄN</t>
        </is>
      </c>
      <c r="G601" t="inlineStr">
        <is>
          <t>NORDANSTIG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46241</v>
      </c>
      <c r="F602" t="inlineStr">
        <is>
          <t>GÄVLEBORGS LÄN</t>
        </is>
      </c>
      <c r="G602" t="inlineStr">
        <is>
          <t>NORDANSTIG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46037</v>
      </c>
      <c r="E603" s="1" t="n">
        <v>46241</v>
      </c>
      <c r="F603" t="inlineStr">
        <is>
          <t>GÄVLEBORGS LÄN</t>
        </is>
      </c>
      <c r="G603" t="inlineStr">
        <is>
          <t>NORDANSTIG</t>
        </is>
      </c>
      <c r="I603" t="n">
        <v>9.300000000000001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46241</v>
      </c>
      <c r="F604" t="inlineStr">
        <is>
          <t>GÄVLEBORGS LÄN</t>
        </is>
      </c>
      <c r="G604" t="inlineStr">
        <is>
          <t>NORDANSTIG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46051</v>
      </c>
      <c r="E605" s="1" t="n">
        <v>46241</v>
      </c>
      <c r="F605" t="inlineStr">
        <is>
          <t>GÄVLEBORGS LÄN</t>
        </is>
      </c>
      <c r="G605" t="inlineStr">
        <is>
          <t>NORDANSTIG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10042-2025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45719</v>
      </c>
      <c r="E606" s="1" t="n">
        <v>46241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46038</v>
      </c>
      <c r="E607" s="1" t="n">
        <v>46241</v>
      </c>
      <c r="F607" t="inlineStr">
        <is>
          <t>GÄVLEBORGS LÄN</t>
        </is>
      </c>
      <c r="G607" t="inlineStr">
        <is>
          <t>NORDANSTIG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57863-2024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45631</v>
      </c>
      <c r="E608" s="1" t="n">
        <v>46241</v>
      </c>
      <c r="F608" t="inlineStr">
        <is>
          <t>GÄVLEBORGS LÄN</t>
        </is>
      </c>
      <c r="G608" t="inlineStr">
        <is>
          <t>NORDANSTIG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45631</v>
      </c>
      <c r="E609" s="1" t="n">
        <v>46241</v>
      </c>
      <c r="F609" t="inlineStr">
        <is>
          <t>GÄVLEBORGS LÄN</t>
        </is>
      </c>
      <c r="G609" t="inlineStr">
        <is>
          <t>NORDANSTIG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41616-2023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45175</v>
      </c>
      <c r="E610" s="1" t="n">
        <v>46241</v>
      </c>
      <c r="F610" t="inlineStr">
        <is>
          <t>GÄVLEBORGS LÄN</t>
        </is>
      </c>
      <c r="G610" t="inlineStr">
        <is>
          <t>NORDANSTIG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46042</v>
      </c>
      <c r="E611" s="1" t="n">
        <v>46241</v>
      </c>
      <c r="F611" t="inlineStr">
        <is>
          <t>GÄVLEBORGS LÄN</t>
        </is>
      </c>
      <c r="G611" t="inlineStr">
        <is>
          <t>NORDANSTIG</t>
        </is>
      </c>
      <c r="I611" t="n">
        <v>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46241</v>
      </c>
      <c r="F612" t="inlineStr">
        <is>
          <t>GÄVLEBORGS LÄN</t>
        </is>
      </c>
      <c r="G612" t="inlineStr">
        <is>
          <t>NORDANSTIG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46241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41074-2023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46241</v>
      </c>
      <c r="F614" t="inlineStr">
        <is>
          <t>GÄVLEBORGS LÄN</t>
        </is>
      </c>
      <c r="G614" t="inlineStr">
        <is>
          <t>NORDANSTIG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46042</v>
      </c>
      <c r="E615" s="1" t="n">
        <v>46241</v>
      </c>
      <c r="F615" t="inlineStr">
        <is>
          <t>GÄVLEBORGS LÄN</t>
        </is>
      </c>
      <c r="G615" t="inlineStr">
        <is>
          <t>NORDANSTIG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40613-2023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45170</v>
      </c>
      <c r="E616" s="1" t="n">
        <v>46241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56733-2024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45628</v>
      </c>
      <c r="E617" s="1" t="n">
        <v>46241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13270-2022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44644</v>
      </c>
      <c r="E618" s="1" t="n">
        <v>46241</v>
      </c>
      <c r="F618" t="inlineStr">
        <is>
          <t>GÄVLEBORGS LÄN</t>
        </is>
      </c>
      <c r="G618" t="inlineStr">
        <is>
          <t>NORDANSTIG</t>
        </is>
      </c>
      <c r="I618" t="n">
        <v>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57977-2024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45631</v>
      </c>
      <c r="E619" s="1" t="n">
        <v>46241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46039</v>
      </c>
      <c r="E620" s="1" t="n">
        <v>46241</v>
      </c>
      <c r="F620" t="inlineStr">
        <is>
          <t>GÄVLEBORGS LÄN</t>
        </is>
      </c>
      <c r="G620" t="inlineStr">
        <is>
          <t>NORDANSTIG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46241</v>
      </c>
      <c r="F621" t="inlineStr">
        <is>
          <t>GÄVLEBORGS LÄN</t>
        </is>
      </c>
      <c r="G621" t="inlineStr">
        <is>
          <t>NORDANSTIG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40261-2023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45169</v>
      </c>
      <c r="E622" s="1" t="n">
        <v>46241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46041</v>
      </c>
      <c r="E623" s="1" t="n">
        <v>46241</v>
      </c>
      <c r="F623" t="inlineStr">
        <is>
          <t>GÄVLEBORGS LÄN</t>
        </is>
      </c>
      <c r="G623" t="inlineStr">
        <is>
          <t>NORDANSTIG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23039-2026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46161</v>
      </c>
      <c r="E624" s="1" t="n">
        <v>46241</v>
      </c>
      <c r="F624" t="inlineStr">
        <is>
          <t>GÄVLEBORGS LÄN</t>
        </is>
      </c>
      <c r="G624" t="inlineStr">
        <is>
          <t>NORDANSTIG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46241</v>
      </c>
      <c r="F625" t="inlineStr">
        <is>
          <t>GÄVLEBORGS LÄN</t>
        </is>
      </c>
      <c r="G625" t="inlineStr">
        <is>
          <t>NORDANSTIG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60285-2024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45642</v>
      </c>
      <c r="E626" s="1" t="n">
        <v>46241</v>
      </c>
      <c r="F626" t="inlineStr">
        <is>
          <t>GÄVLEBORGS LÄN</t>
        </is>
      </c>
      <c r="G626" t="inlineStr">
        <is>
          <t>NORDANSTIG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7012-2025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45701</v>
      </c>
      <c r="E627" s="1" t="n">
        <v>46241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6.9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46241</v>
      </c>
      <c r="F628" t="inlineStr">
        <is>
          <t>GÄVLEBORGS LÄN</t>
        </is>
      </c>
      <c r="G628" t="inlineStr">
        <is>
          <t>NORDANSTIG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46241</v>
      </c>
      <c r="F629" t="inlineStr">
        <is>
          <t>GÄVLEBORGS LÄN</t>
        </is>
      </c>
      <c r="G629" t="inlineStr">
        <is>
          <t>NORDANSTIG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45622</v>
      </c>
      <c r="E630" s="1" t="n">
        <v>46241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4445-2025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45686</v>
      </c>
      <c r="E631" s="1" t="n">
        <v>46241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13.4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29733-2026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46241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31002-2024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45499</v>
      </c>
      <c r="E633" s="1" t="n">
        <v>46241</v>
      </c>
      <c r="F633" t="inlineStr">
        <is>
          <t>GÄVLEBORGS LÄN</t>
        </is>
      </c>
      <c r="G633" t="inlineStr">
        <is>
          <t>NORDANSTIG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60675-2024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45644</v>
      </c>
      <c r="E634" s="1" t="n">
        <v>46241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3762-2026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46043</v>
      </c>
      <c r="E635" s="1" t="n">
        <v>46241</v>
      </c>
      <c r="F635" t="inlineStr">
        <is>
          <t>GÄVLEBORGS LÄN</t>
        </is>
      </c>
      <c r="G635" t="inlineStr">
        <is>
          <t>NORDANSTIG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46241</v>
      </c>
      <c r="F636" t="inlineStr">
        <is>
          <t>GÄVLEBORGS LÄN</t>
        </is>
      </c>
      <c r="G636" t="inlineStr">
        <is>
          <t>NORDANSTIG</t>
        </is>
      </c>
      <c r="I636" t="n">
        <v>24.7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46044</v>
      </c>
      <c r="E637" s="1" t="n">
        <v>46241</v>
      </c>
      <c r="F637" t="inlineStr">
        <is>
          <t>GÄVLEBORGS LÄN</t>
        </is>
      </c>
      <c r="G637" t="inlineStr">
        <is>
          <t>NORDANSTIG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3828-2026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46043</v>
      </c>
      <c r="E638" s="1" t="n">
        <v>46241</v>
      </c>
      <c r="F638" t="inlineStr">
        <is>
          <t>GÄVLEBORGS LÄN</t>
        </is>
      </c>
      <c r="G638" t="inlineStr">
        <is>
          <t>NORDANSTIG</t>
        </is>
      </c>
      <c r="I638" t="n">
        <v>11.3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46241</v>
      </c>
      <c r="F639" t="inlineStr">
        <is>
          <t>GÄVLEBORGS LÄN</t>
        </is>
      </c>
      <c r="G639" t="inlineStr">
        <is>
          <t>NORDANSTIG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30267-2026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46241</v>
      </c>
      <c r="F640" t="inlineStr">
        <is>
          <t>GÄVLEBORGS LÄN</t>
        </is>
      </c>
      <c r="G640" t="inlineStr">
        <is>
          <t>NORDANSTIG</t>
        </is>
      </c>
      <c r="I640" t="n">
        <v>8.1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46044</v>
      </c>
      <c r="E641" s="1" t="n">
        <v>46241</v>
      </c>
      <c r="F641" t="inlineStr">
        <is>
          <t>GÄVLEBORGS LÄN</t>
        </is>
      </c>
      <c r="G641" t="inlineStr">
        <is>
          <t>NORDANSTIG</t>
        </is>
      </c>
      <c r="I641" t="n">
        <v>15.3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46043</v>
      </c>
      <c r="E642" s="1" t="n">
        <v>46241</v>
      </c>
      <c r="F642" t="inlineStr">
        <is>
          <t>GÄVLEBORGS LÄN</t>
        </is>
      </c>
      <c r="G642" t="inlineStr">
        <is>
          <t>NORDANSTIG</t>
        </is>
      </c>
      <c r="I642" t="n">
        <v>8.4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3843-2026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46241</v>
      </c>
      <c r="F643" t="inlineStr">
        <is>
          <t>GÄVLEBORGS LÄN</t>
        </is>
      </c>
      <c r="G643" t="inlineStr">
        <is>
          <t>NORDANSTIG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46241</v>
      </c>
      <c r="F644" t="inlineStr">
        <is>
          <t>GÄVLEBORGS LÄN</t>
        </is>
      </c>
      <c r="G644" t="inlineStr">
        <is>
          <t>NORDANSTIG</t>
        </is>
      </c>
      <c r="I644" t="n">
        <v>10.1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46044</v>
      </c>
      <c r="E645" s="1" t="n">
        <v>46241</v>
      </c>
      <c r="F645" t="inlineStr">
        <is>
          <t>GÄVLEBORGS LÄN</t>
        </is>
      </c>
      <c r="G645" t="inlineStr">
        <is>
          <t>NORDANSTIG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46044</v>
      </c>
      <c r="E646" s="1" t="n">
        <v>46241</v>
      </c>
      <c r="F646" t="inlineStr">
        <is>
          <t>GÄVLEBORGS LÄN</t>
        </is>
      </c>
      <c r="G646" t="inlineStr">
        <is>
          <t>NORDANSTIG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46043</v>
      </c>
      <c r="E647" s="1" t="n">
        <v>46241</v>
      </c>
      <c r="F647" t="inlineStr">
        <is>
          <t>GÄVLEBORGS LÄN</t>
        </is>
      </c>
      <c r="G647" t="inlineStr">
        <is>
          <t>NORDANSTIG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46043</v>
      </c>
      <c r="E648" s="1" t="n">
        <v>46241</v>
      </c>
      <c r="F648" t="inlineStr">
        <is>
          <t>GÄVLEBORGS LÄN</t>
        </is>
      </c>
      <c r="G648" t="inlineStr">
        <is>
          <t>NORDANSTIG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46044</v>
      </c>
      <c r="E649" s="1" t="n">
        <v>46241</v>
      </c>
      <c r="F649" t="inlineStr">
        <is>
          <t>GÄVLEBORGS LÄN</t>
        </is>
      </c>
      <c r="G649" t="inlineStr">
        <is>
          <t>NORDANSTIG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55498-2024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45622</v>
      </c>
      <c r="E650" s="1" t="n">
        <v>46241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46048</v>
      </c>
      <c r="E651" s="1" t="n">
        <v>46241</v>
      </c>
      <c r="F651" t="inlineStr">
        <is>
          <t>GÄVLEBORGS LÄN</t>
        </is>
      </c>
      <c r="G651" t="inlineStr">
        <is>
          <t>NORDANSTIG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4794-2026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46241</v>
      </c>
      <c r="F652" t="inlineStr">
        <is>
          <t>GÄVLEBORGS LÄN</t>
        </is>
      </c>
      <c r="G652" t="inlineStr">
        <is>
          <t>NORDANSTIG</t>
        </is>
      </c>
      <c r="I652" t="n">
        <v>15.3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7503-2022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44607</v>
      </c>
      <c r="E653" s="1" t="n">
        <v>46241</v>
      </c>
      <c r="F653" t="inlineStr">
        <is>
          <t>GÄVLEBORGS LÄN</t>
        </is>
      </c>
      <c r="G653" t="inlineStr">
        <is>
          <t>NORDANSTIG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46241</v>
      </c>
      <c r="F654" t="inlineStr">
        <is>
          <t>GÄVLEBORGS LÄN</t>
        </is>
      </c>
      <c r="G654" t="inlineStr">
        <is>
          <t>NORDANSTIG</t>
        </is>
      </c>
      <c r="I654" t="n">
        <v>8.199999999999999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4370-2026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46241</v>
      </c>
      <c r="F655" t="inlineStr">
        <is>
          <t>GÄVLEBORGS LÄN</t>
        </is>
      </c>
      <c r="G655" t="inlineStr">
        <is>
          <t>NORDANSTIG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46241</v>
      </c>
      <c r="F656" t="inlineStr">
        <is>
          <t>GÄVLEBORGS LÄN</t>
        </is>
      </c>
      <c r="G656" t="inlineStr">
        <is>
          <t>NORDANSTIG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4695-2026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46048</v>
      </c>
      <c r="E657" s="1" t="n">
        <v>46241</v>
      </c>
      <c r="F657" t="inlineStr">
        <is>
          <t>GÄVLEBORGS LÄN</t>
        </is>
      </c>
      <c r="G657" t="inlineStr">
        <is>
          <t>NORDANSTIG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8968-2026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46069</v>
      </c>
      <c r="E658" s="1" t="n">
        <v>46241</v>
      </c>
      <c r="F658" t="inlineStr">
        <is>
          <t>GÄVLEBORGS LÄN</t>
        </is>
      </c>
      <c r="G658" t="inlineStr">
        <is>
          <t>NORDANSTIG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46241</v>
      </c>
      <c r="F659" t="inlineStr">
        <is>
          <t>GÄVLEBORGS LÄN</t>
        </is>
      </c>
      <c r="G659" t="inlineStr">
        <is>
          <t>NORDANSTIG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47876-2023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45204</v>
      </c>
      <c r="E660" s="1" t="n">
        <v>46241</v>
      </c>
      <c r="F660" t="inlineStr">
        <is>
          <t>GÄVLEBORGS LÄN</t>
        </is>
      </c>
      <c r="G660" t="inlineStr">
        <is>
          <t>NORDANSTIG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38298-2024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45545</v>
      </c>
      <c r="E661" s="1" t="n">
        <v>46241</v>
      </c>
      <c r="F661" t="inlineStr">
        <is>
          <t>GÄVLEBORGS LÄN</t>
        </is>
      </c>
      <c r="G661" t="inlineStr">
        <is>
          <t>NORDANSTIG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46050</v>
      </c>
      <c r="E662" s="1" t="n">
        <v>46241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23.8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51091-2024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45603</v>
      </c>
      <c r="E663" s="1" t="n">
        <v>46241</v>
      </c>
      <c r="F663" t="inlineStr">
        <is>
          <t>GÄVLEBORGS LÄN</t>
        </is>
      </c>
      <c r="G663" t="inlineStr">
        <is>
          <t>NORDANSTIG</t>
        </is>
      </c>
      <c r="H663" t="inlineStr">
        <is>
          <t>SCA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33478-2023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45131</v>
      </c>
      <c r="E664" s="1" t="n">
        <v>46241</v>
      </c>
      <c r="F664" t="inlineStr">
        <is>
          <t>GÄVLEBORGS LÄN</t>
        </is>
      </c>
      <c r="G664" t="inlineStr">
        <is>
          <t>NORDANSTIG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30263-2026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46206</v>
      </c>
      <c r="E665" s="1" t="n">
        <v>46241</v>
      </c>
      <c r="F665" t="inlineStr">
        <is>
          <t>GÄVLEBORGS LÄN</t>
        </is>
      </c>
      <c r="G665" t="inlineStr">
        <is>
          <t>NORDANSTIG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23764-2026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46241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23506-2026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46241</v>
      </c>
      <c r="F667" t="inlineStr">
        <is>
          <t>GÄVLEBORGS LÄN</t>
        </is>
      </c>
      <c r="G667" t="inlineStr">
        <is>
          <t>NORDANSTIG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46050</v>
      </c>
      <c r="E668" s="1" t="n">
        <v>46241</v>
      </c>
      <c r="F668" t="inlineStr">
        <is>
          <t>GÄVLEBORGS LÄN</t>
        </is>
      </c>
      <c r="G668" t="inlineStr">
        <is>
          <t>NORDANSTIG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46050</v>
      </c>
      <c r="E669" s="1" t="n">
        <v>46241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23654-2026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46241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53691-2024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45615</v>
      </c>
      <c r="E671" s="1" t="n">
        <v>46241</v>
      </c>
      <c r="F671" t="inlineStr">
        <is>
          <t>GÄVLEBORGS LÄN</t>
        </is>
      </c>
      <c r="G671" t="inlineStr">
        <is>
          <t>NORDANSTIG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46050</v>
      </c>
      <c r="E672" s="1" t="n">
        <v>46241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48832-2022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44859</v>
      </c>
      <c r="E673" s="1" t="n">
        <v>46241</v>
      </c>
      <c r="F673" t="inlineStr">
        <is>
          <t>GÄVLEBORGS LÄN</t>
        </is>
      </c>
      <c r="G673" t="inlineStr">
        <is>
          <t>NORDANSTIG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46052</v>
      </c>
      <c r="E674" s="1" t="n">
        <v>46241</v>
      </c>
      <c r="F674" t="inlineStr">
        <is>
          <t>GÄVLEBORGS LÄN</t>
        </is>
      </c>
      <c r="G674" t="inlineStr">
        <is>
          <t>NORDANSTIG</t>
        </is>
      </c>
      <c r="I674" t="n">
        <v>10.2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5606-2026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46051</v>
      </c>
      <c r="E675" s="1" t="n">
        <v>46241</v>
      </c>
      <c r="F675" t="inlineStr">
        <is>
          <t>GÄVLEBORGS LÄN</t>
        </is>
      </c>
      <c r="G675" t="inlineStr">
        <is>
          <t>NORDANSTIG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5598-2026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46051</v>
      </c>
      <c r="E676" s="1" t="n">
        <v>46241</v>
      </c>
      <c r="F676" t="inlineStr">
        <is>
          <t>GÄVLEBORGS LÄN</t>
        </is>
      </c>
      <c r="G676" t="inlineStr">
        <is>
          <t>NORDANSTIG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5603-2026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46051</v>
      </c>
      <c r="E677" s="1" t="n">
        <v>46241</v>
      </c>
      <c r="F677" t="inlineStr">
        <is>
          <t>GÄVLEBORGS LÄN</t>
        </is>
      </c>
      <c r="G677" t="inlineStr">
        <is>
          <t>NORDANSTIG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1860-2025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45671</v>
      </c>
      <c r="E678" s="1" t="n">
        <v>46241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46051</v>
      </c>
      <c r="E679" s="1" t="n">
        <v>46241</v>
      </c>
      <c r="F679" t="inlineStr">
        <is>
          <t>GÄVLEBORGS LÄN</t>
        </is>
      </c>
      <c r="G679" t="inlineStr">
        <is>
          <t>NORDANSTIG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24178-2026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46168</v>
      </c>
      <c r="E680" s="1" t="n">
        <v>46241</v>
      </c>
      <c r="F680" t="inlineStr">
        <is>
          <t>GÄVLEBORGS LÄN</t>
        </is>
      </c>
      <c r="G680" t="inlineStr">
        <is>
          <t>NORDANSTIG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5963-2025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45695</v>
      </c>
      <c r="E681" s="1" t="n">
        <v>46241</v>
      </c>
      <c r="F681" t="inlineStr">
        <is>
          <t>GÄVLEBORGS LÄN</t>
        </is>
      </c>
      <c r="G681" t="inlineStr">
        <is>
          <t>NORDANSTIG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23895-2026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46167</v>
      </c>
      <c r="E682" s="1" t="n">
        <v>46241</v>
      </c>
      <c r="F682" t="inlineStr">
        <is>
          <t>GÄVLEBORGS LÄN</t>
        </is>
      </c>
      <c r="G682" t="inlineStr">
        <is>
          <t>NORDANSTIG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5745-2026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46051</v>
      </c>
      <c r="E683" s="1" t="n">
        <v>46241</v>
      </c>
      <c r="F683" t="inlineStr">
        <is>
          <t>GÄVLEBORGS LÄN</t>
        </is>
      </c>
      <c r="G683" t="inlineStr">
        <is>
          <t>NORDANSTIG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30390-2026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46241</v>
      </c>
      <c r="F684" t="inlineStr">
        <is>
          <t>GÄVLEBORGS LÄN</t>
        </is>
      </c>
      <c r="G684" t="inlineStr">
        <is>
          <t>NORDANSTIG</t>
        </is>
      </c>
      <c r="I684" t="n">
        <v>9.199999999999999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30391-2026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46241</v>
      </c>
      <c r="F685" t="inlineStr">
        <is>
          <t>GÄVLEBORGS LÄN</t>
        </is>
      </c>
      <c r="G685" t="inlineStr">
        <is>
          <t>NORDANSTIG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6641-2026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46056</v>
      </c>
      <c r="E686" s="1" t="n">
        <v>46241</v>
      </c>
      <c r="F686" t="inlineStr">
        <is>
          <t>GÄVLEBORGS LÄN</t>
        </is>
      </c>
      <c r="G686" t="inlineStr">
        <is>
          <t>NORDANSTIG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58891-2024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45636</v>
      </c>
      <c r="E687" s="1" t="n">
        <v>46241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46053</v>
      </c>
      <c r="E688" s="1" t="n">
        <v>46241</v>
      </c>
      <c r="F688" t="inlineStr">
        <is>
          <t>GÄVLEBORGS LÄN</t>
        </is>
      </c>
      <c r="G688" t="inlineStr">
        <is>
          <t>NORDANSTIG</t>
        </is>
      </c>
      <c r="I688" t="n">
        <v>9.1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30431-2026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46209</v>
      </c>
      <c r="E689" s="1" t="n">
        <v>46241</v>
      </c>
      <c r="F689" t="inlineStr">
        <is>
          <t>GÄVLEBORGS LÄN</t>
        </is>
      </c>
      <c r="G689" t="inlineStr">
        <is>
          <t>NORDANSTIG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46053</v>
      </c>
      <c r="E690" s="1" t="n">
        <v>46241</v>
      </c>
      <c r="F690" t="inlineStr">
        <is>
          <t>GÄVLEBORGS LÄN</t>
        </is>
      </c>
      <c r="G690" t="inlineStr">
        <is>
          <t>NORDANSTIG</t>
        </is>
      </c>
      <c r="I690" t="n">
        <v>45.3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46241</v>
      </c>
      <c r="F691" t="inlineStr">
        <is>
          <t>GÄVLEBORGS LÄN</t>
        </is>
      </c>
      <c r="G691" t="inlineStr">
        <is>
          <t>NORDANSTIG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6344-2026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46055</v>
      </c>
      <c r="E692" s="1" t="n">
        <v>46241</v>
      </c>
      <c r="F692" t="inlineStr">
        <is>
          <t>GÄVLEBORGS LÄN</t>
        </is>
      </c>
      <c r="G692" t="inlineStr">
        <is>
          <t>NORDANSTIG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46299-2023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46241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72820-2021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44547</v>
      </c>
      <c r="E694" s="1" t="n">
        <v>46241</v>
      </c>
      <c r="F694" t="inlineStr">
        <is>
          <t>GÄVLEBORGS LÄN</t>
        </is>
      </c>
      <c r="G694" t="inlineStr">
        <is>
          <t>NORDANSTIG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46055</v>
      </c>
      <c r="E695" s="1" t="n">
        <v>46241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6287-2026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46055</v>
      </c>
      <c r="E696" s="1" t="n">
        <v>46241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6854-2026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46057</v>
      </c>
      <c r="E697" s="1" t="n">
        <v>46241</v>
      </c>
      <c r="F697" t="inlineStr">
        <is>
          <t>GÄVLEBORGS LÄN</t>
        </is>
      </c>
      <c r="G697" t="inlineStr">
        <is>
          <t>NORDANSTIG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6859-2026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46057</v>
      </c>
      <c r="E698" s="1" t="n">
        <v>46241</v>
      </c>
      <c r="F698" t="inlineStr">
        <is>
          <t>GÄVLEBORGS LÄN</t>
        </is>
      </c>
      <c r="G698" t="inlineStr">
        <is>
          <t>NORDANSTIG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59851-2024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45639</v>
      </c>
      <c r="E699" s="1" t="n">
        <v>46241</v>
      </c>
      <c r="F699" t="inlineStr">
        <is>
          <t>GÄVLEBORGS LÄN</t>
        </is>
      </c>
      <c r="G699" t="inlineStr">
        <is>
          <t>NORDANSTIG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6840-2026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46057</v>
      </c>
      <c r="E700" s="1" t="n">
        <v>46241</v>
      </c>
      <c r="F700" t="inlineStr">
        <is>
          <t>GÄVLEBORGS LÄN</t>
        </is>
      </c>
      <c r="G700" t="inlineStr">
        <is>
          <t>NORDANSTIG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7831-2026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46062</v>
      </c>
      <c r="E701" s="1" t="n">
        <v>46241</v>
      </c>
      <c r="F701" t="inlineStr">
        <is>
          <t>GÄVLEBORGS LÄN</t>
        </is>
      </c>
      <c r="G701" t="inlineStr">
        <is>
          <t>NORDANSTIG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45691</v>
      </c>
      <c r="E702" s="1" t="n">
        <v>46241</v>
      </c>
      <c r="F702" t="inlineStr">
        <is>
          <t>GÄVLEBORGS LÄN</t>
        </is>
      </c>
      <c r="G702" t="inlineStr">
        <is>
          <t>NORDANSTIG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23867-2026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46167</v>
      </c>
      <c r="E703" s="1" t="n">
        <v>46241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46167</v>
      </c>
      <c r="E704" s="1" t="n">
        <v>46241</v>
      </c>
      <c r="F704" t="inlineStr">
        <is>
          <t>GÄVLEBORGS LÄN</t>
        </is>
      </c>
      <c r="G704" t="inlineStr">
        <is>
          <t>NORDANSTIG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7783-2026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46062</v>
      </c>
      <c r="E705" s="1" t="n">
        <v>46241</v>
      </c>
      <c r="F705" t="inlineStr">
        <is>
          <t>GÄVLEBORGS LÄN</t>
        </is>
      </c>
      <c r="G705" t="inlineStr">
        <is>
          <t>NORDANSTIG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45297</v>
      </c>
      <c r="E706" s="1" t="n">
        <v>46241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11113-2026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46079</v>
      </c>
      <c r="E707" s="1" t="n">
        <v>46241</v>
      </c>
      <c r="F707" t="inlineStr">
        <is>
          <t>GÄVLEBORGS LÄN</t>
        </is>
      </c>
      <c r="G707" t="inlineStr">
        <is>
          <t>NORDANSTIG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46062</v>
      </c>
      <c r="E708" s="1" t="n">
        <v>46241</v>
      </c>
      <c r="F708" t="inlineStr">
        <is>
          <t>GÄVLEBORGS LÄN</t>
        </is>
      </c>
      <c r="G708" t="inlineStr">
        <is>
          <t>NORDANSTIG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30428-2026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46209</v>
      </c>
      <c r="E709" s="1" t="n">
        <v>46241</v>
      </c>
      <c r="F709" t="inlineStr">
        <is>
          <t>GÄVLEBORGS LÄN</t>
        </is>
      </c>
      <c r="G709" t="inlineStr">
        <is>
          <t>NORDANSTIG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7640-2026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46062</v>
      </c>
      <c r="E710" s="1" t="n">
        <v>46241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35.4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4559-2025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45687</v>
      </c>
      <c r="E711" s="1" t="n">
        <v>46241</v>
      </c>
      <c r="F711" t="inlineStr">
        <is>
          <t>GÄVLEBORGS LÄN</t>
        </is>
      </c>
      <c r="G711" t="inlineStr">
        <is>
          <t>NORDANSTIG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7863-2026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46062</v>
      </c>
      <c r="E712" s="1" t="n">
        <v>46241</v>
      </c>
      <c r="F712" t="inlineStr">
        <is>
          <t>GÄVLEBORGS LÄN</t>
        </is>
      </c>
      <c r="G712" t="inlineStr">
        <is>
          <t>NORDANSTIG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7691-2026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46062</v>
      </c>
      <c r="E713" s="1" t="n">
        <v>46241</v>
      </c>
      <c r="F713" t="inlineStr">
        <is>
          <t>GÄVLEBORGS LÄN</t>
        </is>
      </c>
      <c r="G713" t="inlineStr">
        <is>
          <t>NORDANSTIG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51740-2023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45222</v>
      </c>
      <c r="E714" s="1" t="n">
        <v>46241</v>
      </c>
      <c r="F714" t="inlineStr">
        <is>
          <t>GÄVLEBORGS LÄN</t>
        </is>
      </c>
      <c r="G714" t="inlineStr">
        <is>
          <t>NORDANSTIG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51438-2023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45219</v>
      </c>
      <c r="E715" s="1" t="n">
        <v>46241</v>
      </c>
      <c r="F715" t="inlineStr">
        <is>
          <t>GÄVLEBORGS LÄN</t>
        </is>
      </c>
      <c r="G715" t="inlineStr">
        <is>
          <t>NORDANSTIG</t>
        </is>
      </c>
      <c r="H715" t="inlineStr">
        <is>
          <t>SCA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46062</v>
      </c>
      <c r="E716" s="1" t="n">
        <v>46241</v>
      </c>
      <c r="F716" t="inlineStr">
        <is>
          <t>GÄVLEBORGS LÄN</t>
        </is>
      </c>
      <c r="G716" t="inlineStr">
        <is>
          <t>NORDANSTIG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55494-2024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45622</v>
      </c>
      <c r="E717" s="1" t="n">
        <v>46241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8201-2026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46064</v>
      </c>
      <c r="E718" s="1" t="n">
        <v>46241</v>
      </c>
      <c r="F718" t="inlineStr">
        <is>
          <t>GÄVLEBORGS LÄN</t>
        </is>
      </c>
      <c r="G718" t="inlineStr">
        <is>
          <t>NORDANSTIG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7944-2026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46063</v>
      </c>
      <c r="E719" s="1" t="n">
        <v>46241</v>
      </c>
      <c r="F719" t="inlineStr">
        <is>
          <t>GÄVLEBORGS LÄN</t>
        </is>
      </c>
      <c r="G719" t="inlineStr">
        <is>
          <t>NORDANSTIG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8288-2026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46064</v>
      </c>
      <c r="E720" s="1" t="n">
        <v>46241</v>
      </c>
      <c r="F720" t="inlineStr">
        <is>
          <t>GÄVLEBORGS LÄN</t>
        </is>
      </c>
      <c r="G720" t="inlineStr">
        <is>
          <t>NORDANSTIG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8318-2026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46241</v>
      </c>
      <c r="F721" t="inlineStr">
        <is>
          <t>GÄVLEBORGS LÄN</t>
        </is>
      </c>
      <c r="G721" t="inlineStr">
        <is>
          <t>NORDANSTIG</t>
        </is>
      </c>
      <c r="I721" t="n">
        <v>10.5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55531-2024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46241</v>
      </c>
      <c r="F722" t="inlineStr">
        <is>
          <t>GÄVLEBORGS LÄN</t>
        </is>
      </c>
      <c r="G722" t="inlineStr">
        <is>
          <t>NORDANSTIG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8281-2026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46064</v>
      </c>
      <c r="E723" s="1" t="n">
        <v>46241</v>
      </c>
      <c r="F723" t="inlineStr">
        <is>
          <t>GÄVLEBORGS LÄN</t>
        </is>
      </c>
      <c r="G723" t="inlineStr">
        <is>
          <t>NORDANSTIG</t>
        </is>
      </c>
      <c r="I723" t="n">
        <v>38.1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8182-2026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46241</v>
      </c>
      <c r="F724" t="inlineStr">
        <is>
          <t>GÄVLEBORGS LÄN</t>
        </is>
      </c>
      <c r="G724" t="inlineStr">
        <is>
          <t>NORDANSTIG</t>
        </is>
      </c>
      <c r="I724" t="n">
        <v>19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7928-2026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46241</v>
      </c>
      <c r="F725" t="inlineStr">
        <is>
          <t>GÄVLEBORGS LÄN</t>
        </is>
      </c>
      <c r="G725" t="inlineStr">
        <is>
          <t>NORDANSTIG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8837-2026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46066</v>
      </c>
      <c r="E726" s="1" t="n">
        <v>46241</v>
      </c>
      <c r="F726" t="inlineStr">
        <is>
          <t>GÄVLEBORGS LÄN</t>
        </is>
      </c>
      <c r="G726" t="inlineStr">
        <is>
          <t>NORDANSTIG</t>
        </is>
      </c>
      <c r="H726" t="inlineStr">
        <is>
          <t>Naturvårdsverket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8711-2026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46241</v>
      </c>
      <c r="F727" t="inlineStr">
        <is>
          <t>GÄVLEBORGS LÄN</t>
        </is>
      </c>
      <c r="G727" t="inlineStr">
        <is>
          <t>NORDANSTIG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8407-2026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46241</v>
      </c>
      <c r="F728" t="inlineStr">
        <is>
          <t>GÄVLEBORGS LÄN</t>
        </is>
      </c>
      <c r="G728" t="inlineStr">
        <is>
          <t>NORDANSTIG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20512-2022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44699</v>
      </c>
      <c r="E729" s="1" t="n">
        <v>46241</v>
      </c>
      <c r="F729" t="inlineStr">
        <is>
          <t>GÄVLEBORGS LÄN</t>
        </is>
      </c>
      <c r="G729" t="inlineStr">
        <is>
          <t>NORDANSTIG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17482-2022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44679</v>
      </c>
      <c r="E730" s="1" t="n">
        <v>46241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8541-2026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46241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17271-2022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44678</v>
      </c>
      <c r="E732" s="1" t="n">
        <v>46241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36025-2023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45149</v>
      </c>
      <c r="E733" s="1" t="n">
        <v>46241</v>
      </c>
      <c r="F733" t="inlineStr">
        <is>
          <t>GÄVLEBORGS LÄN</t>
        </is>
      </c>
      <c r="G733" t="inlineStr">
        <is>
          <t>NORDANSTIG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46069</v>
      </c>
      <c r="E734" s="1" t="n">
        <v>46241</v>
      </c>
      <c r="F734" t="inlineStr">
        <is>
          <t>GÄVLEBORGS LÄN</t>
        </is>
      </c>
      <c r="G734" t="inlineStr">
        <is>
          <t>NORDANSTIG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41825-2025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45902</v>
      </c>
      <c r="E735" s="1" t="n">
        <v>46241</v>
      </c>
      <c r="F735" t="inlineStr">
        <is>
          <t>GÄVLEBORGS LÄN</t>
        </is>
      </c>
      <c r="G735" t="inlineStr">
        <is>
          <t>NORDANSTIG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9122-2026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46241</v>
      </c>
      <c r="F736" t="inlineStr">
        <is>
          <t>GÄVLEBORGS LÄN</t>
        </is>
      </c>
      <c r="G736" t="inlineStr">
        <is>
          <t>NORDANSTIG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9340-2026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46070</v>
      </c>
      <c r="E737" s="1" t="n">
        <v>46241</v>
      </c>
      <c r="F737" t="inlineStr">
        <is>
          <t>GÄVLEBORGS LÄN</t>
        </is>
      </c>
      <c r="G737" t="inlineStr">
        <is>
          <t>NORDANSTIG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24265-2026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46241</v>
      </c>
      <c r="F738" t="inlineStr">
        <is>
          <t>GÄVLEBORGS LÄN</t>
        </is>
      </c>
      <c r="G738" t="inlineStr">
        <is>
          <t>NORDANSTIG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9204-2026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46070</v>
      </c>
      <c r="E739" s="1" t="n">
        <v>46241</v>
      </c>
      <c r="F739" t="inlineStr">
        <is>
          <t>GÄVLEBORGS LÄN</t>
        </is>
      </c>
      <c r="G739" t="inlineStr">
        <is>
          <t>NORDANSTIG</t>
        </is>
      </c>
      <c r="I739" t="n">
        <v>15.6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46070</v>
      </c>
      <c r="E740" s="1" t="n">
        <v>46241</v>
      </c>
      <c r="F740" t="inlineStr">
        <is>
          <t>GÄVLEBORGS LÄN</t>
        </is>
      </c>
      <c r="G740" t="inlineStr">
        <is>
          <t>NORDANSTIG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8998-2026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46069</v>
      </c>
      <c r="E741" s="1" t="n">
        <v>46241</v>
      </c>
      <c r="F741" t="inlineStr">
        <is>
          <t>GÄVLEBORGS LÄN</t>
        </is>
      </c>
      <c r="G741" t="inlineStr">
        <is>
          <t>NORDANSTIG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9516-2026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46071</v>
      </c>
      <c r="E742" s="1" t="n">
        <v>46241</v>
      </c>
      <c r="F742" t="inlineStr">
        <is>
          <t>GÄVLEBORGS LÄN</t>
        </is>
      </c>
      <c r="G742" t="inlineStr">
        <is>
          <t>NORDANSTIG</t>
        </is>
      </c>
      <c r="I742" t="n">
        <v>12.2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9591-2026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46241</v>
      </c>
      <c r="F743" t="inlineStr">
        <is>
          <t>GÄVLEBORGS LÄN</t>
        </is>
      </c>
      <c r="G743" t="inlineStr">
        <is>
          <t>NORDANSTIG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50413-2023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45216</v>
      </c>
      <c r="E744" s="1" t="n">
        <v>46241</v>
      </c>
      <c r="F744" t="inlineStr">
        <is>
          <t>GÄVLEBORGS LÄN</t>
        </is>
      </c>
      <c r="G744" t="inlineStr">
        <is>
          <t>NORDANSTIG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9496-2026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46071</v>
      </c>
      <c r="E745" s="1" t="n">
        <v>46241</v>
      </c>
      <c r="F745" t="inlineStr">
        <is>
          <t>GÄVLEBORGS LÄN</t>
        </is>
      </c>
      <c r="G745" t="inlineStr">
        <is>
          <t>NORDANSTIG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9500-2026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46071</v>
      </c>
      <c r="E746" s="1" t="n">
        <v>46241</v>
      </c>
      <c r="F746" t="inlineStr">
        <is>
          <t>GÄVLEBORGS LÄN</t>
        </is>
      </c>
      <c r="G746" t="inlineStr">
        <is>
          <t>NORDANSTIG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18529-2022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44686</v>
      </c>
      <c r="E747" s="1" t="n">
        <v>46241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46241</v>
      </c>
      <c r="F748" t="inlineStr">
        <is>
          <t>GÄVLEBORGS LÄN</t>
        </is>
      </c>
      <c r="G748" t="inlineStr">
        <is>
          <t>NORDANSTIG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9685-2026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46072</v>
      </c>
      <c r="E749" s="1" t="n">
        <v>46241</v>
      </c>
      <c r="F749" t="inlineStr">
        <is>
          <t>GÄVLEBORGS LÄN</t>
        </is>
      </c>
      <c r="G749" t="inlineStr">
        <is>
          <t>NORDANSTIG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46030</v>
      </c>
      <c r="E750" s="1" t="n">
        <v>46241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9425-2026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46071</v>
      </c>
      <c r="E751" s="1" t="n">
        <v>46241</v>
      </c>
      <c r="F751" t="inlineStr">
        <is>
          <t>GÄVLEBORGS LÄN</t>
        </is>
      </c>
      <c r="G751" t="inlineStr">
        <is>
          <t>NORDANSTIG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9650-2026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46072</v>
      </c>
      <c r="E752" s="1" t="n">
        <v>46241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46072</v>
      </c>
      <c r="E753" s="1" t="n">
        <v>46241</v>
      </c>
      <c r="F753" t="inlineStr">
        <is>
          <t>GÄVLEBORGS LÄN</t>
        </is>
      </c>
      <c r="G753" t="inlineStr">
        <is>
          <t>NORDANSTIG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10193-2026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46076</v>
      </c>
      <c r="E754" s="1" t="n">
        <v>46241</v>
      </c>
      <c r="F754" t="inlineStr">
        <is>
          <t>GÄVLEBORGS LÄN</t>
        </is>
      </c>
      <c r="G754" t="inlineStr">
        <is>
          <t>NORDANSTIG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1034-2026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46241</v>
      </c>
      <c r="F755" t="inlineStr">
        <is>
          <t>GÄVLEBORGS LÄN</t>
        </is>
      </c>
      <c r="G755" t="inlineStr">
        <is>
          <t>NORDANSTIG</t>
        </is>
      </c>
      <c r="I755" t="n">
        <v>11.5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24612-2026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46171</v>
      </c>
      <c r="E756" s="1" t="n">
        <v>46241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46171</v>
      </c>
      <c r="E757" s="1" t="n">
        <v>46241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9969-2026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46073</v>
      </c>
      <c r="E758" s="1" t="n">
        <v>46241</v>
      </c>
      <c r="F758" t="inlineStr">
        <is>
          <t>GÄVLEBORGS LÄN</t>
        </is>
      </c>
      <c r="G758" t="inlineStr">
        <is>
          <t>NORDANSTIG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10310-2026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46241</v>
      </c>
      <c r="F759" t="inlineStr">
        <is>
          <t>GÄVLEBORGS LÄN</t>
        </is>
      </c>
      <c r="G759" t="inlineStr">
        <is>
          <t>NORDANSTIG</t>
        </is>
      </c>
      <c r="I759" t="n">
        <v>7.8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59930-2024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45642</v>
      </c>
      <c r="E760" s="1" t="n">
        <v>46241</v>
      </c>
      <c r="F760" t="inlineStr">
        <is>
          <t>GÄVLEBORGS LÄN</t>
        </is>
      </c>
      <c r="G760" t="inlineStr">
        <is>
          <t>NORDANSTIG</t>
        </is>
      </c>
      <c r="I760" t="n">
        <v>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9971-2026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46241</v>
      </c>
      <c r="F761" t="inlineStr">
        <is>
          <t>GÄVLEBORGS LÄN</t>
        </is>
      </c>
      <c r="G761" t="inlineStr">
        <is>
          <t>NORDANSTIG</t>
        </is>
      </c>
      <c r="I761" t="n">
        <v>7.5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10655-2026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46078</v>
      </c>
      <c r="E762" s="1" t="n">
        <v>46241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11087-2026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46079</v>
      </c>
      <c r="E763" s="1" t="n">
        <v>46241</v>
      </c>
      <c r="F763" t="inlineStr">
        <is>
          <t>GÄVLEBORGS LÄN</t>
        </is>
      </c>
      <c r="G763" t="inlineStr">
        <is>
          <t>NORDANSTIG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46043</v>
      </c>
      <c r="E764" s="1" t="n">
        <v>46241</v>
      </c>
      <c r="F764" t="inlineStr">
        <is>
          <t>GÄVLEBORGS LÄN</t>
        </is>
      </c>
      <c r="G764" t="inlineStr">
        <is>
          <t>NORDANSTIG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10993-2026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46079</v>
      </c>
      <c r="E765" s="1" t="n">
        <v>46241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46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9883-2026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46073</v>
      </c>
      <c r="E766" s="1" t="n">
        <v>46241</v>
      </c>
      <c r="F766" t="inlineStr">
        <is>
          <t>GÄVLEBORGS LÄN</t>
        </is>
      </c>
      <c r="G766" t="inlineStr">
        <is>
          <t>NORDANSTIG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10984-2026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46079</v>
      </c>
      <c r="E767" s="1" t="n">
        <v>46241</v>
      </c>
      <c r="F767" t="inlineStr">
        <is>
          <t>GÄVLEBORGS LÄN</t>
        </is>
      </c>
      <c r="G767" t="inlineStr">
        <is>
          <t>NORDANSTIG</t>
        </is>
      </c>
      <c r="I767" t="n">
        <v>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10928-2026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46241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32149-2024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45511</v>
      </c>
      <c r="E769" s="1" t="n">
        <v>46241</v>
      </c>
      <c r="F769" t="inlineStr">
        <is>
          <t>GÄVLEBORGS LÄN</t>
        </is>
      </c>
      <c r="G769" t="inlineStr">
        <is>
          <t>NORDANSTIG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30899-2026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46213</v>
      </c>
      <c r="E770" s="1" t="n">
        <v>46241</v>
      </c>
      <c r="F770" t="inlineStr">
        <is>
          <t>GÄVLEBORGS LÄN</t>
        </is>
      </c>
      <c r="G770" t="inlineStr">
        <is>
          <t>NORDANSTIG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11307-2026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46080</v>
      </c>
      <c r="E771" s="1" t="n">
        <v>46241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30630-2022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44763</v>
      </c>
      <c r="E772" s="1" t="n">
        <v>46241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46029</v>
      </c>
      <c r="E773" s="1" t="n">
        <v>46241</v>
      </c>
      <c r="F773" t="inlineStr">
        <is>
          <t>GÄVLEBORGS LÄN</t>
        </is>
      </c>
      <c r="G773" t="inlineStr">
        <is>
          <t>NORDANSTIG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24518-2026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46170</v>
      </c>
      <c r="E774" s="1" t="n">
        <v>46241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24623-2026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46241</v>
      </c>
      <c r="F775" t="inlineStr">
        <is>
          <t>GÄVLEBORGS LÄN</t>
        </is>
      </c>
      <c r="G775" t="inlineStr">
        <is>
          <t>NORDANSTIG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28711-2022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44748</v>
      </c>
      <c r="E776" s="1" t="n">
        <v>46241</v>
      </c>
      <c r="F776" t="inlineStr">
        <is>
          <t>GÄVLEBORGS LÄN</t>
        </is>
      </c>
      <c r="G776" t="inlineStr">
        <is>
          <t>NORDANSTIG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14402-2025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45741</v>
      </c>
      <c r="E777" s="1" t="n">
        <v>46241</v>
      </c>
      <c r="F777" t="inlineStr">
        <is>
          <t>GÄVLEBORGS LÄN</t>
        </is>
      </c>
      <c r="G777" t="inlineStr">
        <is>
          <t>NORDANSTIG</t>
        </is>
      </c>
      <c r="I777" t="n">
        <v>17.1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11614-2026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46084</v>
      </c>
      <c r="E778" s="1" t="n">
        <v>46241</v>
      </c>
      <c r="F778" t="inlineStr">
        <is>
          <t>GÄVLEBORGS LÄN</t>
        </is>
      </c>
      <c r="G778" t="inlineStr">
        <is>
          <t>NORDANSTIG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46084</v>
      </c>
      <c r="E779" s="1" t="n">
        <v>46241</v>
      </c>
      <c r="F779" t="inlineStr">
        <is>
          <t>GÄVLEBORGS LÄN</t>
        </is>
      </c>
      <c r="G779" t="inlineStr">
        <is>
          <t>NORDANSTIG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11592-2026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46084</v>
      </c>
      <c r="E780" s="1" t="n">
        <v>46241</v>
      </c>
      <c r="F780" t="inlineStr">
        <is>
          <t>GÄVLEBORGS LÄN</t>
        </is>
      </c>
      <c r="G780" t="inlineStr">
        <is>
          <t>NORDANSTIG</t>
        </is>
      </c>
      <c r="I780" t="n">
        <v>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46241</v>
      </c>
      <c r="F781" t="inlineStr">
        <is>
          <t>GÄVLEBORGS LÄN</t>
        </is>
      </c>
      <c r="G781" t="inlineStr">
        <is>
          <t>NORDANSTIG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11713-2026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46084</v>
      </c>
      <c r="E782" s="1" t="n">
        <v>46241</v>
      </c>
      <c r="F782" t="inlineStr">
        <is>
          <t>GÄVLEBORGS LÄN</t>
        </is>
      </c>
      <c r="G782" t="inlineStr">
        <is>
          <t>NORDANSTIG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36960-2023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45154</v>
      </c>
      <c r="E783" s="1" t="n">
        <v>46241</v>
      </c>
      <c r="F783" t="inlineStr">
        <is>
          <t>GÄVLEBORGS LÄN</t>
        </is>
      </c>
      <c r="G783" t="inlineStr">
        <is>
          <t>NORDANSTIG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46084</v>
      </c>
      <c r="E784" s="1" t="n">
        <v>46241</v>
      </c>
      <c r="F784" t="inlineStr">
        <is>
          <t>GÄVLEBORGS LÄN</t>
        </is>
      </c>
      <c r="G784" t="inlineStr">
        <is>
          <t>NORDANSTIG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46084</v>
      </c>
      <c r="E785" s="1" t="n">
        <v>46241</v>
      </c>
      <c r="F785" t="inlineStr">
        <is>
          <t>GÄVLEBORGS LÄN</t>
        </is>
      </c>
      <c r="G785" t="inlineStr">
        <is>
          <t>NORDANSTIG</t>
        </is>
      </c>
      <c r="I785" t="n">
        <v>10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12334-2026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46087</v>
      </c>
      <c r="E786" s="1" t="n">
        <v>46241</v>
      </c>
      <c r="F786" t="inlineStr">
        <is>
          <t>GÄVLEBORGS LÄN</t>
        </is>
      </c>
      <c r="G786" t="inlineStr">
        <is>
          <t>NORDANSTIG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46087</v>
      </c>
      <c r="E787" s="1" t="n">
        <v>46241</v>
      </c>
      <c r="F787" t="inlineStr">
        <is>
          <t>GÄVLEBORGS LÄN</t>
        </is>
      </c>
      <c r="G787" t="inlineStr">
        <is>
          <t>NORDANSTIG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46043</v>
      </c>
      <c r="E788" s="1" t="n">
        <v>46241</v>
      </c>
      <c r="F788" t="inlineStr">
        <is>
          <t>GÄVLEBORGS LÄN</t>
        </is>
      </c>
      <c r="G788" t="inlineStr">
        <is>
          <t>NORDANSTIG</t>
        </is>
      </c>
      <c r="I788" t="n">
        <v>14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30940-2022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44768</v>
      </c>
      <c r="E789" s="1" t="n">
        <v>46241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46043</v>
      </c>
      <c r="E790" s="1" t="n">
        <v>46241</v>
      </c>
      <c r="F790" t="inlineStr">
        <is>
          <t>GÄVLEBORGS LÄN</t>
        </is>
      </c>
      <c r="G790" t="inlineStr">
        <is>
          <t>NORDANSTIG</t>
        </is>
      </c>
      <c r="I790" t="n">
        <v>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12085-2026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46086</v>
      </c>
      <c r="E791" s="1" t="n">
        <v>46241</v>
      </c>
      <c r="F791" t="inlineStr">
        <is>
          <t>GÄVLEBORGS LÄN</t>
        </is>
      </c>
      <c r="G791" t="inlineStr">
        <is>
          <t>NORDANSTIG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55002-2023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45236</v>
      </c>
      <c r="E792" s="1" t="n">
        <v>46241</v>
      </c>
      <c r="F792" t="inlineStr">
        <is>
          <t>GÄVLEBORGS LÄN</t>
        </is>
      </c>
      <c r="G792" t="inlineStr">
        <is>
          <t>NORDANSTIG</t>
        </is>
      </c>
      <c r="H792" t="inlineStr">
        <is>
          <t>SCA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60398-2023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45259</v>
      </c>
      <c r="E793" s="1" t="n">
        <v>46241</v>
      </c>
      <c r="F793" t="inlineStr">
        <is>
          <t>GÄVLEBORGS LÄN</t>
        </is>
      </c>
      <c r="G793" t="inlineStr">
        <is>
          <t>NORDANSTIG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46042</v>
      </c>
      <c r="E794" s="1" t="n">
        <v>46241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25166-2026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46241</v>
      </c>
      <c r="F795" t="inlineStr">
        <is>
          <t>GÄVLEBORGS LÄN</t>
        </is>
      </c>
      <c r="G795" t="inlineStr">
        <is>
          <t>NORDANSTIG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46031</v>
      </c>
      <c r="E796" s="1" t="n">
        <v>46241</v>
      </c>
      <c r="F796" t="inlineStr">
        <is>
          <t>GÄVLEBORGS LÄN</t>
        </is>
      </c>
      <c r="G796" t="inlineStr">
        <is>
          <t>NORDANSTIG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12552-2026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46090</v>
      </c>
      <c r="E797" s="1" t="n">
        <v>46241</v>
      </c>
      <c r="F797" t="inlineStr">
        <is>
          <t>GÄVLEBORGS LÄN</t>
        </is>
      </c>
      <c r="G797" t="inlineStr">
        <is>
          <t>NORDANSTIG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38241-2024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46241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1849-2026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46035</v>
      </c>
      <c r="E799" s="1" t="n">
        <v>46241</v>
      </c>
      <c r="F799" t="inlineStr">
        <is>
          <t>GÄVLEBORGS LÄN</t>
        </is>
      </c>
      <c r="G799" t="inlineStr">
        <is>
          <t>NORDANSTIG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7916-2022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44608</v>
      </c>
      <c r="E800" s="1" t="n">
        <v>46241</v>
      </c>
      <c r="F800" t="inlineStr">
        <is>
          <t>GÄVLEBORGS LÄN</t>
        </is>
      </c>
      <c r="G800" t="inlineStr">
        <is>
          <t>NORDANSTIG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25089-2026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46175</v>
      </c>
      <c r="E801" s="1" t="n">
        <v>46241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23369-2022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44720</v>
      </c>
      <c r="E802" s="1" t="n">
        <v>46241</v>
      </c>
      <c r="F802" t="inlineStr">
        <is>
          <t>GÄVLEBORGS LÄN</t>
        </is>
      </c>
      <c r="G802" t="inlineStr">
        <is>
          <t>NORDANSTIG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40269-2023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45169</v>
      </c>
      <c r="E803" s="1" t="n">
        <v>46241</v>
      </c>
      <c r="F803" t="inlineStr">
        <is>
          <t>GÄVLEBORGS LÄN</t>
        </is>
      </c>
      <c r="G803" t="inlineStr">
        <is>
          <t>NORDANSTIG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12216-2025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45729</v>
      </c>
      <c r="E804" s="1" t="n">
        <v>46241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12458-2026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46090</v>
      </c>
      <c r="E805" s="1" t="n">
        <v>46241</v>
      </c>
      <c r="F805" t="inlineStr">
        <is>
          <t>GÄVLEBORGS LÄN</t>
        </is>
      </c>
      <c r="G805" t="inlineStr">
        <is>
          <t>NORDANSTIG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47762-2021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44448</v>
      </c>
      <c r="E806" s="1" t="n">
        <v>46241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12956-2026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46092</v>
      </c>
      <c r="E807" s="1" t="n">
        <v>46241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31366-2026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46241</v>
      </c>
      <c r="F808" t="inlineStr">
        <is>
          <t>GÄVLEBORGS LÄN</t>
        </is>
      </c>
      <c r="G808" t="inlineStr">
        <is>
          <t>NORDANSTIG</t>
        </is>
      </c>
      <c r="I808" t="n">
        <v>9.6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13218-2026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46093</v>
      </c>
      <c r="E809" s="1" t="n">
        <v>46241</v>
      </c>
      <c r="F809" t="inlineStr">
        <is>
          <t>GÄVLEBORGS LÄN</t>
        </is>
      </c>
      <c r="G809" t="inlineStr">
        <is>
          <t>NORDANSTIG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41620-2023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45175</v>
      </c>
      <c r="E810" s="1" t="n">
        <v>46241</v>
      </c>
      <c r="F810" t="inlineStr">
        <is>
          <t>GÄVLEBORGS LÄN</t>
        </is>
      </c>
      <c r="G810" t="inlineStr">
        <is>
          <t>NORDANSTIG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20577-2025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45775</v>
      </c>
      <c r="E811" s="1" t="n">
        <v>46241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13647-2026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46097</v>
      </c>
      <c r="E812" s="1" t="n">
        <v>46241</v>
      </c>
      <c r="F812" t="inlineStr">
        <is>
          <t>GÄVLEBORGS LÄN</t>
        </is>
      </c>
      <c r="G812" t="inlineStr">
        <is>
          <t>NORDANSTIG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18445-2025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45762</v>
      </c>
      <c r="E813" s="1" t="n">
        <v>46241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25406-2026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46176</v>
      </c>
      <c r="E814" s="1" t="n">
        <v>46241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44446-2023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45189</v>
      </c>
      <c r="E815" s="1" t="n">
        <v>46241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14244-2026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46099</v>
      </c>
      <c r="E816" s="1" t="n">
        <v>46241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31422-2026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46220</v>
      </c>
      <c r="E817" s="1" t="n">
        <v>46241</v>
      </c>
      <c r="F817" t="inlineStr">
        <is>
          <t>GÄVLEBORGS LÄN</t>
        </is>
      </c>
      <c r="G817" t="inlineStr">
        <is>
          <t>NORDANSTIG</t>
        </is>
      </c>
      <c r="I817" t="n">
        <v>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31423-2026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46220</v>
      </c>
      <c r="E818" s="1" t="n">
        <v>46241</v>
      </c>
      <c r="F818" t="inlineStr">
        <is>
          <t>GÄVLEBORGS LÄN</t>
        </is>
      </c>
      <c r="G818" t="inlineStr">
        <is>
          <t>NORDANSTIG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25586-2026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46241</v>
      </c>
      <c r="F819" t="inlineStr">
        <is>
          <t>GÄVLEBORGS LÄN</t>
        </is>
      </c>
      <c r="G819" t="inlineStr">
        <is>
          <t>NORDANSTIG</t>
        </is>
      </c>
      <c r="H819" t="inlineStr">
        <is>
          <t>SCA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31406-2026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46220</v>
      </c>
      <c r="E820" s="1" t="n">
        <v>46241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3387-2026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46042</v>
      </c>
      <c r="E821" s="1" t="n">
        <v>46241</v>
      </c>
      <c r="F821" t="inlineStr">
        <is>
          <t>GÄVLEBORGS LÄN</t>
        </is>
      </c>
      <c r="G821" t="inlineStr">
        <is>
          <t>NORDANSTIG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13978-2026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46098</v>
      </c>
      <c r="E822" s="1" t="n">
        <v>46241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13982-2026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46098</v>
      </c>
      <c r="E823" s="1" t="n">
        <v>46241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14267-2026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46099</v>
      </c>
      <c r="E824" s="1" t="n">
        <v>46241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13823-2026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46098</v>
      </c>
      <c r="E825" s="1" t="n">
        <v>46241</v>
      </c>
      <c r="F825" t="inlineStr">
        <is>
          <t>GÄVLEBORGS LÄN</t>
        </is>
      </c>
      <c r="G825" t="inlineStr">
        <is>
          <t>NORDANSTIG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13822-2026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46098</v>
      </c>
      <c r="E826" s="1" t="n">
        <v>46241</v>
      </c>
      <c r="F826" t="inlineStr">
        <is>
          <t>GÄVLEBORGS LÄN</t>
        </is>
      </c>
      <c r="G826" t="inlineStr">
        <is>
          <t>NORDANSTIG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31365-2026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46213</v>
      </c>
      <c r="E827" s="1" t="n">
        <v>46241</v>
      </c>
      <c r="F827" t="inlineStr">
        <is>
          <t>GÄVLEBORGS LÄN</t>
        </is>
      </c>
      <c r="G827" t="inlineStr">
        <is>
          <t>NORDANSTIG</t>
        </is>
      </c>
      <c r="I827" t="n">
        <v>4.8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31385-2026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46220</v>
      </c>
      <c r="E828" s="1" t="n">
        <v>46241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31899-2022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44777</v>
      </c>
      <c r="E829" s="1" t="n">
        <v>46241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37295-2022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44808</v>
      </c>
      <c r="E830" s="1" t="n">
        <v>46241</v>
      </c>
      <c r="F830" t="inlineStr">
        <is>
          <t>GÄVLEBORGS LÄN</t>
        </is>
      </c>
      <c r="G830" t="inlineStr">
        <is>
          <t>NORDANSTIG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20133-2026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46136</v>
      </c>
      <c r="E831" s="1" t="n">
        <v>46241</v>
      </c>
      <c r="F831" t="inlineStr">
        <is>
          <t>GÄVLEBORGS LÄN</t>
        </is>
      </c>
      <c r="G831" t="inlineStr">
        <is>
          <t>NORDANSTIG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10910-2026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46079</v>
      </c>
      <c r="E832" s="1" t="n">
        <v>46241</v>
      </c>
      <c r="F832" t="inlineStr">
        <is>
          <t>GÄVLEBORGS LÄN</t>
        </is>
      </c>
      <c r="G832" t="inlineStr">
        <is>
          <t>NORDANSTIG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25633-2026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46177</v>
      </c>
      <c r="E833" s="1" t="n">
        <v>46241</v>
      </c>
      <c r="F833" t="inlineStr">
        <is>
          <t>GÄVLEBORGS LÄN</t>
        </is>
      </c>
      <c r="G833" t="inlineStr">
        <is>
          <t>NORDANSTIG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16640-2025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45754</v>
      </c>
      <c r="E834" s="1" t="n">
        <v>46241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18020-2026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46125</v>
      </c>
      <c r="E835" s="1" t="n">
        <v>46241</v>
      </c>
      <c r="F835" t="inlineStr">
        <is>
          <t>GÄVLEBORGS LÄN</t>
        </is>
      </c>
      <c r="G835" t="inlineStr">
        <is>
          <t>NORDANSTIG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31500-2026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46223</v>
      </c>
      <c r="E836" s="1" t="n">
        <v>46241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11627-2026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46084</v>
      </c>
      <c r="E837" s="1" t="n">
        <v>46241</v>
      </c>
      <c r="F837" t="inlineStr">
        <is>
          <t>GÄVLEBORGS LÄN</t>
        </is>
      </c>
      <c r="G837" t="inlineStr">
        <is>
          <t>NORDANSTIG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8646-2026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46066</v>
      </c>
      <c r="E838" s="1" t="n">
        <v>46241</v>
      </c>
      <c r="F838" t="inlineStr">
        <is>
          <t>GÄVLEBORGS LÄN</t>
        </is>
      </c>
      <c r="G838" t="inlineStr">
        <is>
          <t>NORDANSTIG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15009-2026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46241</v>
      </c>
      <c r="F839" t="inlineStr">
        <is>
          <t>GÄVLEBORGS LÄN</t>
        </is>
      </c>
      <c r="G839" t="inlineStr">
        <is>
          <t>NORDANSTIG</t>
        </is>
      </c>
      <c r="I839" t="n">
        <v>8.4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15010-2026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46104</v>
      </c>
      <c r="E840" s="1" t="n">
        <v>46241</v>
      </c>
      <c r="F840" t="inlineStr">
        <is>
          <t>GÄVLEBORGS LÄN</t>
        </is>
      </c>
      <c r="G840" t="inlineStr">
        <is>
          <t>NORDANSTIG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2573-2024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45313</v>
      </c>
      <c r="E841" s="1" t="n">
        <v>46241</v>
      </c>
      <c r="F841" t="inlineStr">
        <is>
          <t>GÄVLEBORGS LÄN</t>
        </is>
      </c>
      <c r="G841" t="inlineStr">
        <is>
          <t>NORDANSTIG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15746-2026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46107</v>
      </c>
      <c r="E842" s="1" t="n">
        <v>46241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6.5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5411-2022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44595</v>
      </c>
      <c r="E843" s="1" t="n">
        <v>46241</v>
      </c>
      <c r="F843" t="inlineStr">
        <is>
          <t>GÄVLEBORGS LÄN</t>
        </is>
      </c>
      <c r="G843" t="inlineStr">
        <is>
          <t>NORDANSTIG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37972-2022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44811</v>
      </c>
      <c r="E844" s="1" t="n">
        <v>46241</v>
      </c>
      <c r="F844" t="inlineStr">
        <is>
          <t>GÄVLEBORGS LÄN</t>
        </is>
      </c>
      <c r="G844" t="inlineStr">
        <is>
          <t>NORDANSTIG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37986-2022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44811</v>
      </c>
      <c r="E845" s="1" t="n">
        <v>46241</v>
      </c>
      <c r="F845" t="inlineStr">
        <is>
          <t>GÄVLEBORGS LÄN</t>
        </is>
      </c>
      <c r="G845" t="inlineStr">
        <is>
          <t>NORDANSTIG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46181</v>
      </c>
      <c r="E846" s="1" t="n">
        <v>46241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16184-2026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46241</v>
      </c>
      <c r="F847" t="inlineStr">
        <is>
          <t>GÄVLEBORGS LÄN</t>
        </is>
      </c>
      <c r="G847" t="inlineStr">
        <is>
          <t>NORDANSTIG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35070-2022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44797</v>
      </c>
      <c r="E848" s="1" t="n">
        <v>46241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46111-2023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45196</v>
      </c>
      <c r="E849" s="1" t="n">
        <v>46241</v>
      </c>
      <c r="F849" t="inlineStr">
        <is>
          <t>GÄVLEBORGS LÄN</t>
        </is>
      </c>
      <c r="G849" t="inlineStr">
        <is>
          <t>NORDANSTIG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16291-2026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46111</v>
      </c>
      <c r="E850" s="1" t="n">
        <v>46241</v>
      </c>
      <c r="F850" t="inlineStr">
        <is>
          <t>GÄVLEBORGS LÄN</t>
        </is>
      </c>
      <c r="G850" t="inlineStr">
        <is>
          <t>NORDANSTIG</t>
        </is>
      </c>
      <c r="H850" t="inlineStr">
        <is>
          <t>Kommuner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26044-2026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46181</v>
      </c>
      <c r="E851" s="1" t="n">
        <v>46241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5608-2026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46051</v>
      </c>
      <c r="E852" s="1" t="n">
        <v>46241</v>
      </c>
      <c r="F852" t="inlineStr">
        <is>
          <t>GÄVLEBORGS LÄN</t>
        </is>
      </c>
      <c r="G852" t="inlineStr">
        <is>
          <t>NORDANSTIG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31538-2026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46223</v>
      </c>
      <c r="E853" s="1" t="n">
        <v>46241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55026-2022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44886</v>
      </c>
      <c r="E854" s="1" t="n">
        <v>46241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55120-2022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44886</v>
      </c>
      <c r="E855" s="1" t="n">
        <v>46241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8.4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3640-2026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46043</v>
      </c>
      <c r="E856" s="1" t="n">
        <v>46241</v>
      </c>
      <c r="F856" t="inlineStr">
        <is>
          <t>GÄVLEBORGS LÄN</t>
        </is>
      </c>
      <c r="G856" t="inlineStr">
        <is>
          <t>NORDANSTIG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25931-2026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46179</v>
      </c>
      <c r="E857" s="1" t="n">
        <v>46241</v>
      </c>
      <c r="F857" t="inlineStr">
        <is>
          <t>GÄVLEBORGS LÄN</t>
        </is>
      </c>
      <c r="G857" t="inlineStr">
        <is>
          <t>NORDANSTIG</t>
        </is>
      </c>
      <c r="I857" t="n">
        <v>8.4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6820-2023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44967</v>
      </c>
      <c r="E858" s="1" t="n">
        <v>46241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25704-2026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46178</v>
      </c>
      <c r="E859" s="1" t="n">
        <v>46241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31698-2026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46226</v>
      </c>
      <c r="E860" s="1" t="n">
        <v>46241</v>
      </c>
      <c r="F860" t="inlineStr">
        <is>
          <t>GÄVLEBORGS LÄN</t>
        </is>
      </c>
      <c r="G860" t="inlineStr">
        <is>
          <t>NORDANSTIG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31708-2026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46226</v>
      </c>
      <c r="E861" s="1" t="n">
        <v>46241</v>
      </c>
      <c r="F861" t="inlineStr">
        <is>
          <t>GÄVLEBORGS LÄN</t>
        </is>
      </c>
      <c r="G861" t="inlineStr">
        <is>
          <t>NORDANSTIG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32622-2022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44783</v>
      </c>
      <c r="E862" s="1" t="n">
        <v>46241</v>
      </c>
      <c r="F862" t="inlineStr">
        <is>
          <t>GÄVLEBORGS LÄN</t>
        </is>
      </c>
      <c r="G862" t="inlineStr">
        <is>
          <t>NORDANSTIG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15226-2023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45019</v>
      </c>
      <c r="E863" s="1" t="n">
        <v>46241</v>
      </c>
      <c r="F863" t="inlineStr">
        <is>
          <t>GÄVLEBORGS LÄN</t>
        </is>
      </c>
      <c r="G863" t="inlineStr">
        <is>
          <t>NORDANSTIG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7436-2024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45345</v>
      </c>
      <c r="E864" s="1" t="n">
        <v>46241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62.5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7460-2024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45345</v>
      </c>
      <c r="E865" s="1" t="n">
        <v>46241</v>
      </c>
      <c r="F865" t="inlineStr">
        <is>
          <t>GÄVLEBORGS LÄN</t>
        </is>
      </c>
      <c r="G865" t="inlineStr">
        <is>
          <t>NORDANSTIG</t>
        </is>
      </c>
      <c r="I865" t="n">
        <v>10.8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26486-2026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46183</v>
      </c>
      <c r="E866" s="1" t="n">
        <v>46241</v>
      </c>
      <c r="F866" t="inlineStr">
        <is>
          <t>GÄVLEBORGS LÄN</t>
        </is>
      </c>
      <c r="G866" t="inlineStr">
        <is>
          <t>NORDANSTIG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56586-2023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45243</v>
      </c>
      <c r="E867" s="1" t="n">
        <v>46241</v>
      </c>
      <c r="F867" t="inlineStr">
        <is>
          <t>GÄVLEBORGS LÄN</t>
        </is>
      </c>
      <c r="G867" t="inlineStr">
        <is>
          <t>NORDANSTIG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26238-2026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46182</v>
      </c>
      <c r="E868" s="1" t="n">
        <v>46241</v>
      </c>
      <c r="F868" t="inlineStr">
        <is>
          <t>GÄVLEBORGS LÄN</t>
        </is>
      </c>
      <c r="G868" t="inlineStr">
        <is>
          <t>NORDANSTIG</t>
        </is>
      </c>
      <c r="H868" t="inlineStr">
        <is>
          <t>SCA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26842-2026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46185</v>
      </c>
      <c r="E869" s="1" t="n">
        <v>46241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50.7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26838-2026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46185</v>
      </c>
      <c r="E870" s="1" t="n">
        <v>46241</v>
      </c>
      <c r="F870" t="inlineStr">
        <is>
          <t>GÄVLEBORGS LÄN</t>
        </is>
      </c>
      <c r="G870" t="inlineStr">
        <is>
          <t>NORDANSTIG</t>
        </is>
      </c>
      <c r="H870" t="inlineStr">
        <is>
          <t>SCA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51250-2022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44868</v>
      </c>
      <c r="E871" s="1" t="n">
        <v>46241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26696-2026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46184</v>
      </c>
      <c r="E872" s="1" t="n">
        <v>46241</v>
      </c>
      <c r="F872" t="inlineStr">
        <is>
          <t>GÄVLEBORGS LÄN</t>
        </is>
      </c>
      <c r="G872" t="inlineStr">
        <is>
          <t>NORDANSTIG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15088-2024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45399</v>
      </c>
      <c r="E873" s="1" t="n">
        <v>46241</v>
      </c>
      <c r="F873" t="inlineStr">
        <is>
          <t>GÄVLEBORGS LÄN</t>
        </is>
      </c>
      <c r="G873" t="inlineStr">
        <is>
          <t>NORDANSTIG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26634-2026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46184</v>
      </c>
      <c r="E874" s="1" t="n">
        <v>46241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19569-2024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45429</v>
      </c>
      <c r="E875" s="1" t="n">
        <v>46241</v>
      </c>
      <c r="F875" t="inlineStr">
        <is>
          <t>GÄVLEBORGS LÄN</t>
        </is>
      </c>
      <c r="G875" t="inlineStr">
        <is>
          <t>NORDANSTIG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26893-2026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46241</v>
      </c>
      <c r="F876" t="inlineStr">
        <is>
          <t>GÄVLEBORGS LÄN</t>
        </is>
      </c>
      <c r="G876" t="inlineStr">
        <is>
          <t>NORDANSTIG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35765-2024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45532</v>
      </c>
      <c r="E877" s="1" t="n">
        <v>46241</v>
      </c>
      <c r="F877" t="inlineStr">
        <is>
          <t>GÄVLEBORGS LÄN</t>
        </is>
      </c>
      <c r="G877" t="inlineStr">
        <is>
          <t>NORDANSTIG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26700-2026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46184</v>
      </c>
      <c r="E878" s="1" t="n">
        <v>46241</v>
      </c>
      <c r="F878" t="inlineStr">
        <is>
          <t>GÄVLEBORGS LÄN</t>
        </is>
      </c>
      <c r="G878" t="inlineStr">
        <is>
          <t>NORDANSTIG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31732-2026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46227</v>
      </c>
      <c r="E879" s="1" t="n">
        <v>46241</v>
      </c>
      <c r="F879" t="inlineStr">
        <is>
          <t>GÄVLEBORGS LÄN</t>
        </is>
      </c>
      <c r="G879" t="inlineStr">
        <is>
          <t>NORDANSTIG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26684-2026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46184</v>
      </c>
      <c r="E880" s="1" t="n">
        <v>46241</v>
      </c>
      <c r="F880" t="inlineStr">
        <is>
          <t>GÄVLEBORGS LÄN</t>
        </is>
      </c>
      <c r="G880" t="inlineStr">
        <is>
          <t>NORDANSTIG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18479-2024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45425</v>
      </c>
      <c r="E881" s="1" t="n">
        <v>46241</v>
      </c>
      <c r="F881" t="inlineStr">
        <is>
          <t>GÄVLEBORGS LÄN</t>
        </is>
      </c>
      <c r="G881" t="inlineStr">
        <is>
          <t>NORDANSTIG</t>
        </is>
      </c>
      <c r="I881" t="n">
        <v>7.6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59912-2024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45641</v>
      </c>
      <c r="E882" s="1" t="n">
        <v>46241</v>
      </c>
      <c r="F882" t="inlineStr">
        <is>
          <t>GÄVLEBORGS LÄN</t>
        </is>
      </c>
      <c r="G882" t="inlineStr">
        <is>
          <t>NORDANSTIG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27114-2026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46188</v>
      </c>
      <c r="E883" s="1" t="n">
        <v>46241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36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27129-2026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46188</v>
      </c>
      <c r="E884" s="1" t="n">
        <v>46241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25.3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41773-2025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45902</v>
      </c>
      <c r="E885" s="1" t="n">
        <v>46241</v>
      </c>
      <c r="F885" t="inlineStr">
        <is>
          <t>GÄVLEBORGS LÄN</t>
        </is>
      </c>
      <c r="G885" t="inlineStr">
        <is>
          <t>NORDANSTIG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6324-2023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44965</v>
      </c>
      <c r="E886" s="1" t="n">
        <v>46241</v>
      </c>
      <c r="F886" t="inlineStr">
        <is>
          <t>GÄVLEBORGS LÄN</t>
        </is>
      </c>
      <c r="G886" t="inlineStr">
        <is>
          <t>NORDANSTIG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27149-2026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46188</v>
      </c>
      <c r="E887" s="1" t="n">
        <v>46241</v>
      </c>
      <c r="F887" t="inlineStr">
        <is>
          <t>GÄVLEBORGS LÄN</t>
        </is>
      </c>
      <c r="G887" t="inlineStr">
        <is>
          <t>NORDANSTIG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27236-2026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46241</v>
      </c>
      <c r="F888" t="inlineStr">
        <is>
          <t>GÄVLEBORGS LÄN</t>
        </is>
      </c>
      <c r="G888" t="inlineStr">
        <is>
          <t>NORDANSTIG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14961-2025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45743</v>
      </c>
      <c r="E889" s="1" t="n">
        <v>46241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27183-2026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46188</v>
      </c>
      <c r="E890" s="1" t="n">
        <v>46241</v>
      </c>
      <c r="F890" t="inlineStr">
        <is>
          <t>GÄVLEBORGS LÄN</t>
        </is>
      </c>
      <c r="G890" t="inlineStr">
        <is>
          <t>NORDANSTIG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27150-2026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46188</v>
      </c>
      <c r="E891" s="1" t="n">
        <v>46241</v>
      </c>
      <c r="F891" t="inlineStr">
        <is>
          <t>GÄVLEBORGS LÄN</t>
        </is>
      </c>
      <c r="G891" t="inlineStr">
        <is>
          <t>NORDANSTIG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30130-2024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45489</v>
      </c>
      <c r="E892" s="1" t="n">
        <v>46241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40798-2022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44824</v>
      </c>
      <c r="E893" s="1" t="n">
        <v>46241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37005-2022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44806</v>
      </c>
      <c r="E894" s="1" t="n">
        <v>46241</v>
      </c>
      <c r="F894" t="inlineStr">
        <is>
          <t>GÄVLEBORGS LÄN</t>
        </is>
      </c>
      <c r="G894" t="inlineStr">
        <is>
          <t>NORDANSTIG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14415-2022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44652</v>
      </c>
      <c r="E895" s="1" t="n">
        <v>46241</v>
      </c>
      <c r="F895" t="inlineStr">
        <is>
          <t>GÄVLEBORGS LÄN</t>
        </is>
      </c>
      <c r="G895" t="inlineStr">
        <is>
          <t>NORDANSTIG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32092-2026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46234</v>
      </c>
      <c r="E896" s="1" t="n">
        <v>46241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43893-2023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45187</v>
      </c>
      <c r="E897" s="1" t="n">
        <v>46241</v>
      </c>
      <c r="F897" t="inlineStr">
        <is>
          <t>GÄVLEBORGS LÄN</t>
        </is>
      </c>
      <c r="G897" t="inlineStr">
        <is>
          <t>NORDANSTIG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5999-2024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45336</v>
      </c>
      <c r="E898" s="1" t="n">
        <v>46241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43465-2024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45568</v>
      </c>
      <c r="E899" s="1" t="n">
        <v>46241</v>
      </c>
      <c r="F899" t="inlineStr">
        <is>
          <t>GÄVLEBORGS LÄN</t>
        </is>
      </c>
      <c r="G899" t="inlineStr">
        <is>
          <t>NORDANSTIG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27975-2026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46195</v>
      </c>
      <c r="E900" s="1" t="n">
        <v>46241</v>
      </c>
      <c r="F900" t="inlineStr">
        <is>
          <t>GÄVLEBORGS LÄN</t>
        </is>
      </c>
      <c r="G900" t="inlineStr">
        <is>
          <t>NORDANSTIG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27976-2026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46195</v>
      </c>
      <c r="E901" s="1" t="n">
        <v>46241</v>
      </c>
      <c r="F901" t="inlineStr">
        <is>
          <t>GÄVLEBORGS LÄN</t>
        </is>
      </c>
      <c r="G901" t="inlineStr">
        <is>
          <t>NORDANSTIG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27981-2026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46195</v>
      </c>
      <c r="E902" s="1" t="n">
        <v>46241</v>
      </c>
      <c r="F902" t="inlineStr">
        <is>
          <t>GÄVLEBORGS LÄN</t>
        </is>
      </c>
      <c r="G902" t="inlineStr">
        <is>
          <t>NORDANSTIG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57463-2023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45246</v>
      </c>
      <c r="E903" s="1" t="n">
        <v>46241</v>
      </c>
      <c r="F903" t="inlineStr">
        <is>
          <t>GÄVLEBORGS LÄN</t>
        </is>
      </c>
      <c r="G903" t="inlineStr">
        <is>
          <t>NORDANSTIG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32340-2026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46238</v>
      </c>
      <c r="E904" s="1" t="n">
        <v>46241</v>
      </c>
      <c r="F904" t="inlineStr">
        <is>
          <t>GÄVLEBORGS LÄN</t>
        </is>
      </c>
      <c r="G904" t="inlineStr">
        <is>
          <t>NORDANSTIG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31894-2026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46231</v>
      </c>
      <c r="E905" s="1" t="n">
        <v>46241</v>
      </c>
      <c r="F905" t="inlineStr">
        <is>
          <t>GÄVLEBORGS LÄN</t>
        </is>
      </c>
      <c r="G905" t="inlineStr">
        <is>
          <t>NORDANSTIG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37217-2024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45539</v>
      </c>
      <c r="E906" s="1" t="n">
        <v>46241</v>
      </c>
      <c r="F906" t="inlineStr">
        <is>
          <t>GÄVLEBORGS LÄN</t>
        </is>
      </c>
      <c r="G906" t="inlineStr">
        <is>
          <t>NORDANSTIG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51988-2024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45607</v>
      </c>
      <c r="E907" s="1" t="n">
        <v>46241</v>
      </c>
      <c r="F907" t="inlineStr">
        <is>
          <t>GÄVLEBORGS LÄN</t>
        </is>
      </c>
      <c r="G907" t="inlineStr">
        <is>
          <t>NORDANSTIG</t>
        </is>
      </c>
      <c r="I907" t="n">
        <v>4.8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25821-2026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46178</v>
      </c>
      <c r="E908" s="1" t="n">
        <v>46241</v>
      </c>
      <c r="F908" t="inlineStr">
        <is>
          <t>GÄVLEBORGS LÄN</t>
        </is>
      </c>
      <c r="G908" t="inlineStr">
        <is>
          <t>NORDANSTIG</t>
        </is>
      </c>
      <c r="I908" t="n">
        <v>11.2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25665-2023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45089</v>
      </c>
      <c r="E909" s="1" t="n">
        <v>46241</v>
      </c>
      <c r="F909" t="inlineStr">
        <is>
          <t>GÄVLEBORGS LÄN</t>
        </is>
      </c>
      <c r="G909" t="inlineStr">
        <is>
          <t>NORDANSTIG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12764-2025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45733</v>
      </c>
      <c r="E910" s="1" t="n">
        <v>46241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37974-2024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45544</v>
      </c>
      <c r="E911" s="1" t="n">
        <v>46241</v>
      </c>
      <c r="F911" t="inlineStr">
        <is>
          <t>GÄVLEBORGS LÄN</t>
        </is>
      </c>
      <c r="G911" t="inlineStr">
        <is>
          <t>NORDANSTIG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28734-2026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46198</v>
      </c>
      <c r="E912" s="1" t="n">
        <v>46241</v>
      </c>
      <c r="F912" t="inlineStr">
        <is>
          <t>GÄVLEBORGS LÄN</t>
        </is>
      </c>
      <c r="G912" t="inlineStr">
        <is>
          <t>NORDANSTIG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28529-2026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46197</v>
      </c>
      <c r="E913" s="1" t="n">
        <v>46241</v>
      </c>
      <c r="F913" t="inlineStr">
        <is>
          <t>GÄVLEBORGS LÄN</t>
        </is>
      </c>
      <c r="G913" t="inlineStr">
        <is>
          <t>NORDANSTIG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28777-2026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46198</v>
      </c>
      <c r="E914" s="1" t="n">
        <v>46241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28724-2026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46198</v>
      </c>
      <c r="E915" s="1" t="n">
        <v>46241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52006-2024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45607</v>
      </c>
      <c r="E916" s="1" t="n">
        <v>46241</v>
      </c>
      <c r="F916" t="inlineStr">
        <is>
          <t>GÄVLEBORGS LÄN</t>
        </is>
      </c>
      <c r="G916" t="inlineStr">
        <is>
          <t>NORDANSTIG</t>
        </is>
      </c>
      <c r="I916" t="n">
        <v>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18988-2022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44690</v>
      </c>
      <c r="E917" s="1" t="n">
        <v>46241</v>
      </c>
      <c r="F917" t="inlineStr">
        <is>
          <t>GÄVLEBORGS LÄN</t>
        </is>
      </c>
      <c r="G917" t="inlineStr">
        <is>
          <t>NORDANSTIG</t>
        </is>
      </c>
      <c r="I917" t="n">
        <v>9.300000000000001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12607-2024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45382</v>
      </c>
      <c r="E918" s="1" t="n">
        <v>46241</v>
      </c>
      <c r="F918" t="inlineStr">
        <is>
          <t>GÄVLEBORGS LÄN</t>
        </is>
      </c>
      <c r="G918" t="inlineStr">
        <is>
          <t>NORDANSTIG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18332-2024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45422</v>
      </c>
      <c r="E919" s="1" t="n">
        <v>46241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3.5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51387-2024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45604</v>
      </c>
      <c r="E920" s="1" t="n">
        <v>46241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38581-2024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45546</v>
      </c>
      <c r="E921" s="1" t="n">
        <v>46241</v>
      </c>
      <c r="F921" t="inlineStr">
        <is>
          <t>GÄVLEBORGS LÄN</t>
        </is>
      </c>
      <c r="G921" t="inlineStr">
        <is>
          <t>NORDANSTIG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38589-2024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45546</v>
      </c>
      <c r="E922" s="1" t="n">
        <v>46241</v>
      </c>
      <c r="F922" t="inlineStr">
        <is>
          <t>GÄVLEBORGS LÄN</t>
        </is>
      </c>
      <c r="G922" t="inlineStr">
        <is>
          <t>NORDANSTIG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28739-2026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46198</v>
      </c>
      <c r="E923" s="1" t="n">
        <v>46241</v>
      </c>
      <c r="F923" t="inlineStr">
        <is>
          <t>GÄVLEBORGS LÄN</t>
        </is>
      </c>
      <c r="G923" t="inlineStr">
        <is>
          <t>NORDANSTIG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28370-2026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46196</v>
      </c>
      <c r="E924" s="1" t="n">
        <v>46241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40078-2024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45554</v>
      </c>
      <c r="E925" s="1" t="n">
        <v>46241</v>
      </c>
      <c r="F925" t="inlineStr">
        <is>
          <t>GÄVLEBORGS LÄN</t>
        </is>
      </c>
      <c r="G925" t="inlineStr">
        <is>
          <t>NORDANSTIG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55704-2024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45622</v>
      </c>
      <c r="E926" s="1" t="n">
        <v>46241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19566-2025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45770</v>
      </c>
      <c r="E927" s="1" t="n">
        <v>46241</v>
      </c>
      <c r="F927" t="inlineStr">
        <is>
          <t>GÄVLEBORGS LÄN</t>
        </is>
      </c>
      <c r="G927" t="inlineStr">
        <is>
          <t>NORDANSTIG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19569-2025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46241</v>
      </c>
      <c r="F928" t="inlineStr">
        <is>
          <t>GÄVLEBORGS LÄN</t>
        </is>
      </c>
      <c r="G928" t="inlineStr">
        <is>
          <t>NORDANSTIG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28391-2026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46196</v>
      </c>
      <c r="E929" s="1" t="n">
        <v>46241</v>
      </c>
      <c r="F929" t="inlineStr">
        <is>
          <t>GÄVLEBORGS LÄN</t>
        </is>
      </c>
      <c r="G929" t="inlineStr">
        <is>
          <t>NORDANSTIG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28226-2026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46196</v>
      </c>
      <c r="E930" s="1" t="n">
        <v>46241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58870-2023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45252</v>
      </c>
      <c r="E931" s="1" t="n">
        <v>46241</v>
      </c>
      <c r="F931" t="inlineStr">
        <is>
          <t>GÄVLEBORGS LÄN</t>
        </is>
      </c>
      <c r="G931" t="inlineStr">
        <is>
          <t>NORDANSTIG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3404-2025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45680</v>
      </c>
      <c r="E932" s="1" t="n">
        <v>46241</v>
      </c>
      <c r="F932" t="inlineStr">
        <is>
          <t>GÄVLEBORGS LÄN</t>
        </is>
      </c>
      <c r="G932" t="inlineStr">
        <is>
          <t>NORDANSTIG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17843-2023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45037</v>
      </c>
      <c r="E933" s="1" t="n">
        <v>46241</v>
      </c>
      <c r="F933" t="inlineStr">
        <is>
          <t>GÄVLEBORGS LÄN</t>
        </is>
      </c>
      <c r="G933" t="inlineStr">
        <is>
          <t>NORDANSTIG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12815-2023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45001</v>
      </c>
      <c r="E934" s="1" t="n">
        <v>46241</v>
      </c>
      <c r="F934" t="inlineStr">
        <is>
          <t>GÄVLEBORGS LÄN</t>
        </is>
      </c>
      <c r="G934" t="inlineStr">
        <is>
          <t>NORDANSTIG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20044-2024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45434</v>
      </c>
      <c r="E935" s="1" t="n">
        <v>46241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9.1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11599-2024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45373</v>
      </c>
      <c r="E936" s="1" t="n">
        <v>46241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30842-2024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45497</v>
      </c>
      <c r="E937" s="1" t="n">
        <v>46241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6.9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39068-2023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45163</v>
      </c>
      <c r="E938" s="1" t="n">
        <v>46241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11.8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19231-2024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45428</v>
      </c>
      <c r="E939" s="1" t="n">
        <v>46241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52746-2022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44874</v>
      </c>
      <c r="E940" s="1" t="n">
        <v>46241</v>
      </c>
      <c r="F940" t="inlineStr">
        <is>
          <t>GÄVLEBORGS LÄN</t>
        </is>
      </c>
      <c r="G940" t="inlineStr">
        <is>
          <t>NORDANSTIG</t>
        </is>
      </c>
      <c r="H940" t="inlineStr">
        <is>
          <t>SCA</t>
        </is>
      </c>
      <c r="I940" t="n">
        <v>7.1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54524-2024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45617</v>
      </c>
      <c r="E941" s="1" t="n">
        <v>46241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8898-2024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45357</v>
      </c>
      <c r="E942" s="1" t="n">
        <v>46241</v>
      </c>
      <c r="F942" t="inlineStr">
        <is>
          <t>GÄVLEBORGS LÄN</t>
        </is>
      </c>
      <c r="G942" t="inlineStr">
        <is>
          <t>NORDANSTIG</t>
        </is>
      </c>
      <c r="I942" t="n">
        <v>8.199999999999999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41318-2024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45559</v>
      </c>
      <c r="E943" s="1" t="n">
        <v>46241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15385-2023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45019</v>
      </c>
      <c r="E944" s="1" t="n">
        <v>46241</v>
      </c>
      <c r="F944" t="inlineStr">
        <is>
          <t>GÄVLEBORGS LÄN</t>
        </is>
      </c>
      <c r="G944" t="inlineStr">
        <is>
          <t>NORDANSTIG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1351-2024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45303</v>
      </c>
      <c r="E945" s="1" t="n">
        <v>46241</v>
      </c>
      <c r="F945" t="inlineStr">
        <is>
          <t>GÄVLEBORGS LÄN</t>
        </is>
      </c>
      <c r="G945" t="inlineStr">
        <is>
          <t>NORDANSTIG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1564-2025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45667</v>
      </c>
      <c r="E946" s="1" t="n">
        <v>46241</v>
      </c>
      <c r="F946" t="inlineStr">
        <is>
          <t>GÄVLEBORGS LÄN</t>
        </is>
      </c>
      <c r="G946" t="inlineStr">
        <is>
          <t>NORDANSTIG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1576-2025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45670</v>
      </c>
      <c r="E947" s="1" t="n">
        <v>46241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5.6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1579-2025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45670</v>
      </c>
      <c r="E948" s="1" t="n">
        <v>46241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2705-2025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45677</v>
      </c>
      <c r="E949" s="1" t="n">
        <v>46241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55276-2024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45621</v>
      </c>
      <c r="E950" s="1" t="n">
        <v>46241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58749-2024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45635</v>
      </c>
      <c r="E951" s="1" t="n">
        <v>46241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25631-2023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45089</v>
      </c>
      <c r="E952" s="1" t="n">
        <v>46241</v>
      </c>
      <c r="F952" t="inlineStr">
        <is>
          <t>GÄVLEBORGS LÄN</t>
        </is>
      </c>
      <c r="G952" t="inlineStr">
        <is>
          <t>NORDANSTIG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51842-2024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45607</v>
      </c>
      <c r="E953" s="1" t="n">
        <v>46241</v>
      </c>
      <c r="F953" t="inlineStr">
        <is>
          <t>GÄVLEBORGS LÄN</t>
        </is>
      </c>
      <c r="G953" t="inlineStr">
        <is>
          <t>NORDANSTIG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54401-2024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45617</v>
      </c>
      <c r="E954" s="1" t="n">
        <v>46241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17641-2025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45758</v>
      </c>
      <c r="E955" s="1" t="n">
        <v>46241</v>
      </c>
      <c r="F955" t="inlineStr">
        <is>
          <t>GÄVLEBORGS LÄN</t>
        </is>
      </c>
      <c r="G955" t="inlineStr">
        <is>
          <t>NORDANSTIG</t>
        </is>
      </c>
      <c r="I955" t="n">
        <v>4.7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54200-2023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45232</v>
      </c>
      <c r="E956" s="1" t="n">
        <v>46241</v>
      </c>
      <c r="F956" t="inlineStr">
        <is>
          <t>GÄVLEBORGS LÄN</t>
        </is>
      </c>
      <c r="G956" t="inlineStr">
        <is>
          <t>NORDANSTIG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59043-2024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45636</v>
      </c>
      <c r="E957" s="1" t="n">
        <v>46241</v>
      </c>
      <c r="F957" t="inlineStr">
        <is>
          <t>GÄVLEBORGS LÄN</t>
        </is>
      </c>
      <c r="G957" t="inlineStr">
        <is>
          <t>NORDANSTIG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10069-2025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45719</v>
      </c>
      <c r="E958" s="1" t="n">
        <v>46241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40241-2023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45169</v>
      </c>
      <c r="E959" s="1" t="n">
        <v>46241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4.3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11394-2025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45726</v>
      </c>
      <c r="E960" s="1" t="n">
        <v>46241</v>
      </c>
      <c r="F960" t="inlineStr">
        <is>
          <t>GÄVLEBORGS LÄN</t>
        </is>
      </c>
      <c r="G960" t="inlineStr">
        <is>
          <t>NORDANSTIG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55523-2024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45622</v>
      </c>
      <c r="E961" s="1" t="n">
        <v>46241</v>
      </c>
      <c r="F961" t="inlineStr">
        <is>
          <t>GÄVLEBORGS LÄN</t>
        </is>
      </c>
      <c r="G961" t="inlineStr">
        <is>
          <t>NORDANSTIG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32350-2022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44781</v>
      </c>
      <c r="E962" s="1" t="n">
        <v>46241</v>
      </c>
      <c r="F962" t="inlineStr">
        <is>
          <t>GÄVLEBORGS LÄN</t>
        </is>
      </c>
      <c r="G962" t="inlineStr">
        <is>
          <t>NORDANSTIG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55948-2024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45623</v>
      </c>
      <c r="E963" s="1" t="n">
        <v>46241</v>
      </c>
      <c r="F963" t="inlineStr">
        <is>
          <t>GÄVLEBORGS LÄN</t>
        </is>
      </c>
      <c r="G963" t="inlineStr">
        <is>
          <t>NORDANSTIG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32827-2023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45124</v>
      </c>
      <c r="E964" s="1" t="n">
        <v>46241</v>
      </c>
      <c r="F964" t="inlineStr">
        <is>
          <t>GÄVLEBORGS LÄN</t>
        </is>
      </c>
      <c r="G964" t="inlineStr">
        <is>
          <t>NORDANSTIG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28697-2023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45103</v>
      </c>
      <c r="E965" s="1" t="n">
        <v>46241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1708-2023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44938</v>
      </c>
      <c r="E966" s="1" t="n">
        <v>46241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59799-2022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44908</v>
      </c>
      <c r="E967" s="1" t="n">
        <v>46241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36525-2024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45537</v>
      </c>
      <c r="E968" s="1" t="n">
        <v>46241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59422-2022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44907</v>
      </c>
      <c r="E969" s="1" t="n">
        <v>46241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22547-2022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44713</v>
      </c>
      <c r="E970" s="1" t="n">
        <v>46241</v>
      </c>
      <c r="F970" t="inlineStr">
        <is>
          <t>GÄVLEBORGS LÄN</t>
        </is>
      </c>
      <c r="G970" t="inlineStr">
        <is>
          <t>NORDANSTIG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38451-2024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45546</v>
      </c>
      <c r="E971" s="1" t="n">
        <v>46241</v>
      </c>
      <c r="F971" t="inlineStr">
        <is>
          <t>GÄVLEBORGS LÄN</t>
        </is>
      </c>
      <c r="G971" t="inlineStr">
        <is>
          <t>NORDANSTIG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45551-2024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45579</v>
      </c>
      <c r="E972" s="1" t="n">
        <v>46241</v>
      </c>
      <c r="F972" t="inlineStr">
        <is>
          <t>GÄVLEBORGS LÄN</t>
        </is>
      </c>
      <c r="G972" t="inlineStr">
        <is>
          <t>NORDANSTIG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58162-2024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45632</v>
      </c>
      <c r="E973" s="1" t="n">
        <v>46241</v>
      </c>
      <c r="F973" t="inlineStr">
        <is>
          <t>GÄVLEBORGS LÄN</t>
        </is>
      </c>
      <c r="G973" t="inlineStr">
        <is>
          <t>NORDANSTIG</t>
        </is>
      </c>
      <c r="H973" t="inlineStr">
        <is>
          <t>Kyrkan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58876-2024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45636</v>
      </c>
      <c r="E974" s="1" t="n">
        <v>46241</v>
      </c>
      <c r="F974" t="inlineStr">
        <is>
          <t>GÄVLEBORGS LÄN</t>
        </is>
      </c>
      <c r="G974" t="inlineStr">
        <is>
          <t>NORDANSTIG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20876-2025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45777</v>
      </c>
      <c r="E975" s="1" t="n">
        <v>46241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21725-2025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46241</v>
      </c>
      <c r="F976" t="inlineStr">
        <is>
          <t>GÄVLEBORGS LÄN</t>
        </is>
      </c>
      <c r="G976" t="inlineStr">
        <is>
          <t>NORDANSTIG</t>
        </is>
      </c>
      <c r="I976" t="n">
        <v>6.4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18716-2025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45763</v>
      </c>
      <c r="E977" s="1" t="n">
        <v>46241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18707-2025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45763</v>
      </c>
      <c r="E978" s="1" t="n">
        <v>46241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12389-2023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44999</v>
      </c>
      <c r="E979" s="1" t="n">
        <v>46241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21928-2025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45784</v>
      </c>
      <c r="E980" s="1" t="n">
        <v>46241</v>
      </c>
      <c r="F980" t="inlineStr">
        <is>
          <t>GÄVLEBORGS LÄN</t>
        </is>
      </c>
      <c r="G980" t="inlineStr">
        <is>
          <t>NORDANSTIG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30879-2024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45498</v>
      </c>
      <c r="E981" s="1" t="n">
        <v>46241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32470-2023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45120</v>
      </c>
      <c r="E982" s="1" t="n">
        <v>46241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22310-2025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45786</v>
      </c>
      <c r="E983" s="1" t="n">
        <v>46241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67879-2021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44525</v>
      </c>
      <c r="E984" s="1" t="n">
        <v>46241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16616-2025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45754</v>
      </c>
      <c r="E985" s="1" t="n">
        <v>46241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22319-2025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45786</v>
      </c>
      <c r="E986" s="1" t="n">
        <v>46241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4.3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23122-2025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45791</v>
      </c>
      <c r="E987" s="1" t="n">
        <v>46241</v>
      </c>
      <c r="F987" t="inlineStr">
        <is>
          <t>GÄVLEBORGS LÄN</t>
        </is>
      </c>
      <c r="G987" t="inlineStr">
        <is>
          <t>NORDANSTIG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17678-2025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45758</v>
      </c>
      <c r="E988" s="1" t="n">
        <v>46241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23623-2025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45792</v>
      </c>
      <c r="E989" s="1" t="n">
        <v>46241</v>
      </c>
      <c r="F989" t="inlineStr">
        <is>
          <t>GÄVLEBORGS LÄN</t>
        </is>
      </c>
      <c r="G989" t="inlineStr">
        <is>
          <t>NORDANSTIG</t>
        </is>
      </c>
      <c r="I989" t="n">
        <v>12.9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46241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20137-2023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45055</v>
      </c>
      <c r="E991" s="1" t="n">
        <v>46241</v>
      </c>
      <c r="F991" t="inlineStr">
        <is>
          <t>GÄVLEBORGS LÄN</t>
        </is>
      </c>
      <c r="G991" t="inlineStr">
        <is>
          <t>NORDANSTIG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54803-2023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45236</v>
      </c>
      <c r="E992" s="1" t="n">
        <v>46241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33414-2022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44788</v>
      </c>
      <c r="E993" s="1" t="n">
        <v>46241</v>
      </c>
      <c r="F993" t="inlineStr">
        <is>
          <t>GÄVLEBORGS LÄN</t>
        </is>
      </c>
      <c r="G993" t="inlineStr">
        <is>
          <t>NORDANSTIG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23119-2025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45791</v>
      </c>
      <c r="E994" s="1" t="n">
        <v>46241</v>
      </c>
      <c r="F994" t="inlineStr">
        <is>
          <t>GÄVLEBORGS LÄN</t>
        </is>
      </c>
      <c r="G994" t="inlineStr">
        <is>
          <t>NORDANSTIG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23072-2025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45790</v>
      </c>
      <c r="E995" s="1" t="n">
        <v>46241</v>
      </c>
      <c r="F995" t="inlineStr">
        <is>
          <t>GÄVLEBORGS LÄN</t>
        </is>
      </c>
      <c r="G995" t="inlineStr">
        <is>
          <t>NORDANSTIG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23993-2025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46241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23791-2025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45793</v>
      </c>
      <c r="E997" s="1" t="n">
        <v>46241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43523-2024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45569</v>
      </c>
      <c r="E998" s="1" t="n">
        <v>46241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45312-2023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45191</v>
      </c>
      <c r="E999" s="1" t="n">
        <v>46241</v>
      </c>
      <c r="F999" t="inlineStr">
        <is>
          <t>GÄVLEBORGS LÄN</t>
        </is>
      </c>
      <c r="G999" t="inlineStr">
        <is>
          <t>NORDANSTIG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23788-2025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45793</v>
      </c>
      <c r="E1000" s="1" t="n">
        <v>46241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24101-2025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45796</v>
      </c>
      <c r="E1001" s="1" t="n">
        <v>46241</v>
      </c>
      <c r="F1001" t="inlineStr">
        <is>
          <t>GÄVLEBORGS LÄN</t>
        </is>
      </c>
      <c r="G1001" t="inlineStr">
        <is>
          <t>NORDANSTIG</t>
        </is>
      </c>
      <c r="I1001" t="n">
        <v>4.9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25723-2024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45463</v>
      </c>
      <c r="E1002" s="1" t="n">
        <v>46241</v>
      </c>
      <c r="F1002" t="inlineStr">
        <is>
          <t>GÄVLEBORGS LÄN</t>
        </is>
      </c>
      <c r="G1002" t="inlineStr">
        <is>
          <t>NORDANSTIG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35741-2024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45532</v>
      </c>
      <c r="E1003" s="1" t="n">
        <v>46241</v>
      </c>
      <c r="F1003" t="inlineStr">
        <is>
          <t>GÄVLEBORGS LÄN</t>
        </is>
      </c>
      <c r="G1003" t="inlineStr">
        <is>
          <t>NORDANSTIG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37294-2024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45540</v>
      </c>
      <c r="E1004" s="1" t="n">
        <v>46241</v>
      </c>
      <c r="F1004" t="inlineStr">
        <is>
          <t>GÄVLEBORGS LÄN</t>
        </is>
      </c>
      <c r="G1004" t="inlineStr">
        <is>
          <t>NORDANSTIG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47238-2024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45586</v>
      </c>
      <c r="E1005" s="1" t="n">
        <v>46241</v>
      </c>
      <c r="F1005" t="inlineStr">
        <is>
          <t>GÄVLEBORGS LÄN</t>
        </is>
      </c>
      <c r="G1005" t="inlineStr">
        <is>
          <t>NORDANSTIG</t>
        </is>
      </c>
      <c r="I1005" t="n">
        <v>4.2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45799</v>
      </c>
      <c r="E1006" s="1" t="n">
        <v>46241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24938-2025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45799</v>
      </c>
      <c r="E1007" s="1" t="n">
        <v>46241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25080-2025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46241</v>
      </c>
      <c r="F1008" t="inlineStr">
        <is>
          <t>GÄVLEBORGS LÄN</t>
        </is>
      </c>
      <c r="G1008" t="inlineStr">
        <is>
          <t>NORDANSTIG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25468-2025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45802</v>
      </c>
      <c r="E1009" s="1" t="n">
        <v>46241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25467-2025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45802</v>
      </c>
      <c r="E1010" s="1" t="n">
        <v>46241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46241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4142-2023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44953</v>
      </c>
      <c r="E1012" s="1" t="n">
        <v>46241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1526-2024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45306</v>
      </c>
      <c r="E1013" s="1" t="n">
        <v>46241</v>
      </c>
      <c r="F1013" t="inlineStr">
        <is>
          <t>GÄVLEBORGS LÄN</t>
        </is>
      </c>
      <c r="G1013" t="inlineStr">
        <is>
          <t>NORDANSTIG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52120-2022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44873</v>
      </c>
      <c r="E1014" s="1" t="n">
        <v>46241</v>
      </c>
      <c r="F1014" t="inlineStr">
        <is>
          <t>GÄVLEBORGS LÄN</t>
        </is>
      </c>
      <c r="G1014" t="inlineStr">
        <is>
          <t>NORDANSTIG</t>
        </is>
      </c>
      <c r="I1014" t="n">
        <v>6.9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5475-2023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44960</v>
      </c>
      <c r="E1015" s="1" t="n">
        <v>46241</v>
      </c>
      <c r="F1015" t="inlineStr">
        <is>
          <t>GÄVLEBORGS LÄN</t>
        </is>
      </c>
      <c r="G1015" t="inlineStr">
        <is>
          <t>NORDANSTIG</t>
        </is>
      </c>
      <c r="I1015" t="n">
        <v>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60520-2023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45259</v>
      </c>
      <c r="E1016" s="1" t="n">
        <v>46241</v>
      </c>
      <c r="F1016" t="inlineStr">
        <is>
          <t>GÄVLEBORGS LÄN</t>
        </is>
      </c>
      <c r="G1016" t="inlineStr">
        <is>
          <t>NORDANSTIG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2149-2024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45309</v>
      </c>
      <c r="E1017" s="1" t="n">
        <v>46241</v>
      </c>
      <c r="F1017" t="inlineStr">
        <is>
          <t>GÄVLEBORGS LÄN</t>
        </is>
      </c>
      <c r="G1017" t="inlineStr">
        <is>
          <t>NORDANSTIG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14051-2025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45740</v>
      </c>
      <c r="E1018" s="1" t="n">
        <v>46241</v>
      </c>
      <c r="F1018" t="inlineStr">
        <is>
          <t>GÄVLEBORGS LÄN</t>
        </is>
      </c>
      <c r="G1018" t="inlineStr">
        <is>
          <t>NORDANSTIG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45812</v>
      </c>
      <c r="E1019" s="1" t="n">
        <v>46241</v>
      </c>
      <c r="F1019" t="inlineStr">
        <is>
          <t>GÄVLEBORGS LÄN</t>
        </is>
      </c>
      <c r="G1019" t="inlineStr">
        <is>
          <t>NORDANSTIG</t>
        </is>
      </c>
      <c r="I1019" t="n">
        <v>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27203-2025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45812</v>
      </c>
      <c r="E1020" s="1" t="n">
        <v>46241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61418-2024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45646</v>
      </c>
      <c r="E1021" s="1" t="n">
        <v>46241</v>
      </c>
      <c r="F1021" t="inlineStr">
        <is>
          <t>GÄVLEBORGS LÄN</t>
        </is>
      </c>
      <c r="G1021" t="inlineStr">
        <is>
          <t>NORDANSTIG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71442-2021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44540</v>
      </c>
      <c r="E1022" s="1" t="n">
        <v>46241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27447-2025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45813</v>
      </c>
      <c r="E1023" s="1" t="n">
        <v>46241</v>
      </c>
      <c r="F1023" t="inlineStr">
        <is>
          <t>GÄVLEBORGS LÄN</t>
        </is>
      </c>
      <c r="G1023" t="inlineStr">
        <is>
          <t>NORDANSTIG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411-2025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45663</v>
      </c>
      <c r="E1024" s="1" t="n">
        <v>46241</v>
      </c>
      <c r="F1024" t="inlineStr">
        <is>
          <t>GÄVLEBORGS LÄN</t>
        </is>
      </c>
      <c r="G1024" t="inlineStr">
        <is>
          <t>NORDANSTIG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27894-2025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45817</v>
      </c>
      <c r="E1025" s="1" t="n">
        <v>46241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8.6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27841-2025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46241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27804-2025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45817</v>
      </c>
      <c r="E1027" s="1" t="n">
        <v>46241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29275-2025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45824</v>
      </c>
      <c r="E1028" s="1" t="n">
        <v>46241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5.3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29878-2025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45826</v>
      </c>
      <c r="E1029" s="1" t="n">
        <v>46241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45826</v>
      </c>
      <c r="E1030" s="1" t="n">
        <v>46241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29741-2025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45825</v>
      </c>
      <c r="E1031" s="1" t="n">
        <v>46241</v>
      </c>
      <c r="F1031" t="inlineStr">
        <is>
          <t>GÄVLEBORGS LÄN</t>
        </is>
      </c>
      <c r="G1031" t="inlineStr">
        <is>
          <t>NORDANSTIG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30291-2025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45827</v>
      </c>
      <c r="E1032" s="1" t="n">
        <v>46241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30870-2025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45832</v>
      </c>
      <c r="E1033" s="1" t="n">
        <v>46241</v>
      </c>
      <c r="F1033" t="inlineStr">
        <is>
          <t>GÄVLEBORGS LÄN</t>
        </is>
      </c>
      <c r="G1033" t="inlineStr">
        <is>
          <t>NORDANSTIG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31031-2025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45832</v>
      </c>
      <c r="E1034" s="1" t="n">
        <v>46241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31197-2025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46241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32092-2025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45835</v>
      </c>
      <c r="E1036" s="1" t="n">
        <v>46241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32105-2025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45835</v>
      </c>
      <c r="E1037" s="1" t="n">
        <v>46241</v>
      </c>
      <c r="F1037" t="inlineStr">
        <is>
          <t>GÄVLEBORGS LÄN</t>
        </is>
      </c>
      <c r="G1037" t="inlineStr">
        <is>
          <t>NORDANSTIG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32082-2025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45835</v>
      </c>
      <c r="E1038" s="1" t="n">
        <v>46241</v>
      </c>
      <c r="F1038" t="inlineStr">
        <is>
          <t>GÄVLEBORGS LÄN</t>
        </is>
      </c>
      <c r="G1038" t="inlineStr">
        <is>
          <t>NORDANSTIG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33097-2025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45840</v>
      </c>
      <c r="E1039" s="1" t="n">
        <v>46241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40104-2024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45554</v>
      </c>
      <c r="E1040" s="1" t="n">
        <v>46241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32736-2025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45839</v>
      </c>
      <c r="E1041" s="1" t="n">
        <v>46241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33355-2025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45841</v>
      </c>
      <c r="E1042" s="1" t="n">
        <v>46241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34.6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33339-2025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45841</v>
      </c>
      <c r="E1043" s="1" t="n">
        <v>46241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33532-2025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45841</v>
      </c>
      <c r="E1044" s="1" t="n">
        <v>46241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34311-2025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45846</v>
      </c>
      <c r="E1045" s="1" t="n">
        <v>46241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34342-2025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45846</v>
      </c>
      <c r="E1046" s="1" t="n">
        <v>46241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34728-2025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45848</v>
      </c>
      <c r="E1047" s="1" t="n">
        <v>46241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34788-2025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45848</v>
      </c>
      <c r="E1048" s="1" t="n">
        <v>46241</v>
      </c>
      <c r="F1048" t="inlineStr">
        <is>
          <t>GÄVLEBORGS LÄN</t>
        </is>
      </c>
      <c r="G1048" t="inlineStr">
        <is>
          <t>NORDANSTIG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34694-2025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45848</v>
      </c>
      <c r="E1049" s="1" t="n">
        <v>46241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45695</v>
      </c>
      <c r="E1050" s="1" t="n">
        <v>46241</v>
      </c>
      <c r="F1050" t="inlineStr">
        <is>
          <t>GÄVLEBORGS LÄN</t>
        </is>
      </c>
      <c r="G1050" t="inlineStr">
        <is>
          <t>NORDANSTIG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8-2025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45650</v>
      </c>
      <c r="E1051" s="1" t="n">
        <v>46241</v>
      </c>
      <c r="F1051" t="inlineStr">
        <is>
          <t>GÄVLEBORGS LÄN</t>
        </is>
      </c>
      <c r="G1051" t="inlineStr">
        <is>
          <t>NORDANSTIG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3999-2023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45238</v>
      </c>
      <c r="E1052" s="1" t="n">
        <v>46241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39.7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3990-2023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46241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79.5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10130-2021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44538</v>
      </c>
      <c r="E1054" s="1" t="n">
        <v>46241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281.2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3983-2023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46241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131-2025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45670</v>
      </c>
      <c r="E1056" s="1" t="n">
        <v>46241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3986-2023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46241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131.6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117-2025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46241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68.7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3987-2023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46241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25-2023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44929</v>
      </c>
      <c r="E1060" s="1" t="n">
        <v>46241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46241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1008-2024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45386</v>
      </c>
      <c r="E1062" s="1" t="n">
        <v>46241</v>
      </c>
      <c r="F1062" t="inlineStr">
        <is>
          <t>GÄVLEBORGS LÄN</t>
        </is>
      </c>
      <c r="G1062" t="inlineStr">
        <is>
          <t>NORDANSTIG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46241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3994-2023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46241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127-2025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46241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42.5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3991-2023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46241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46241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3992-2023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46241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138-2025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46241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49.7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3988-2023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46241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150.6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46241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122-2025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46241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HYPERLINK("https://klasma.github.io/Logging_2132/knärot/S 122-2025 karta knärot.png", "S 122-2025")</f>
        <v/>
      </c>
      <c r="AA1072">
        <f>HYPERLINK("https://klasma.github.io/Logging_2132/klagomål/S 122-2025 FSC-klagomål.docx", "S 122-2025")</f>
        <v/>
      </c>
      <c r="AB1072">
        <f>HYPERLINK("https://klasma.github.io/Logging_2132/klagomålsmail/S 122-2025 FSC-klagomål mail.docx", "S 122-2025")</f>
        <v/>
      </c>
      <c r="AC1072">
        <f>HYPERLINK("https://klasma.github.io/Logging_2132/tillsyn/S 122-2025 tillsynsbegäran.docx", "S 122-2025")</f>
        <v/>
      </c>
      <c r="AD1072">
        <f>HYPERLINK("https://klasma.github.io/Logging_2132/tillsynsmail/S 122-2025 tillsynsbegäran mail.docx", "S 122-2025")</f>
        <v/>
      </c>
    </row>
    <row r="1073">
      <c r="A1073" t="inlineStr">
        <is>
          <t>S 573-2026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46083</v>
      </c>
      <c r="E1073" s="1" t="n">
        <v>46241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SCA</t>
        </is>
      </c>
      <c r="I1073" t="n">
        <v>64.3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2026-08-07T01:58:24Z</dcterms:created>
  <dcterms:modified xmlns:dcterms="http://purl.org/dc/terms/" xmlns:xsi="http://www.w3.org/2001/XMLSchema-instance" xsi:type="dcterms:W3CDTF">2026-08-07T01:58:25Z</dcterms:modified>
</cp:coreProperties>
</file>