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45846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45846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45846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45846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45846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45846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45846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45846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45846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45846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45846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45846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45846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45846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45846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45846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45846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45846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45846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45846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45846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45846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45846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45846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45846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45846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62767-2022</t>
        </is>
      </c>
      <c r="B28" s="1" t="n">
        <v>44884</v>
      </c>
      <c r="C28" s="1" t="n">
        <v>45846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13.3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Skogsknipprot
Törnskata</t>
        </is>
      </c>
      <c r="S28">
        <f>HYPERLINK("https://klasma.github.io/Logging_2132/artfynd/A 62767-2022 artfynd.xlsx", "A 62767-2022")</f>
        <v/>
      </c>
      <c r="T28">
        <f>HYPERLINK("https://klasma.github.io/Logging_2132/kartor/A 62767-2022 karta.png", "A 62767-2022")</f>
        <v/>
      </c>
      <c r="V28">
        <f>HYPERLINK("https://klasma.github.io/Logging_2132/klagomål/A 62767-2022 FSC-klagomål.docx", "A 62767-2022")</f>
        <v/>
      </c>
      <c r="W28">
        <f>HYPERLINK("https://klasma.github.io/Logging_2132/klagomålsmail/A 62767-2022 FSC-klagomål mail.docx", "A 62767-2022")</f>
        <v/>
      </c>
      <c r="X28">
        <f>HYPERLINK("https://klasma.github.io/Logging_2132/tillsyn/A 62767-2022 tillsynsbegäran.docx", "A 62767-2022")</f>
        <v/>
      </c>
      <c r="Y28">
        <f>HYPERLINK("https://klasma.github.io/Logging_2132/tillsynsmail/A 62767-2022 tillsynsbegäran mail.docx", "A 62767-2022")</f>
        <v/>
      </c>
      <c r="Z28">
        <f>HYPERLINK("https://klasma.github.io/Logging_2132/fåglar/A 62767-2022 prioriterade fågelarter.docx", "A 62767-2022")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45846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26325-2023</t>
        </is>
      </c>
      <c r="B30" s="1" t="n">
        <v>45091</v>
      </c>
      <c r="C30" s="1" t="n">
        <v>45846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9.9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Ringlav
Rosenticka</t>
        </is>
      </c>
      <c r="S30">
        <f>HYPERLINK("https://klasma.github.io/Logging_2132/artfynd/A 26325-2023 artfynd.xlsx", "A 26325-2023")</f>
        <v/>
      </c>
      <c r="T30">
        <f>HYPERLINK("https://klasma.github.io/Logging_2132/kartor/A 26325-2023 karta.png", "A 26325-2023")</f>
        <v/>
      </c>
      <c r="V30">
        <f>HYPERLINK("https://klasma.github.io/Logging_2132/klagomål/A 26325-2023 FSC-klagomål.docx", "A 26325-2023")</f>
        <v/>
      </c>
      <c r="W30">
        <f>HYPERLINK("https://klasma.github.io/Logging_2132/klagomålsmail/A 26325-2023 FSC-klagomål mail.docx", "A 26325-2023")</f>
        <v/>
      </c>
      <c r="X30">
        <f>HYPERLINK("https://klasma.github.io/Logging_2132/tillsyn/A 26325-2023 tillsynsbegäran.docx", "A 26325-2023")</f>
        <v/>
      </c>
      <c r="Y30">
        <f>HYPERLINK("https://klasma.github.io/Logging_2132/tillsynsmail/A 26325-2023 tillsynsbegäran mail.docx", "A 26325-2023")</f>
        <v/>
      </c>
    </row>
    <row r="31" ht="15" customHeight="1">
      <c r="A31" t="inlineStr">
        <is>
          <t>A 33614-2023</t>
        </is>
      </c>
      <c r="B31" s="1" t="n">
        <v>45132</v>
      </c>
      <c r="C31" s="1" t="n">
        <v>45846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Nattviol</t>
        </is>
      </c>
      <c r="S31">
        <f>HYPERLINK("https://klasma.github.io/Logging_2132/artfynd/A 33614-2023 artfynd.xlsx", "A 33614-2023")</f>
        <v/>
      </c>
      <c r="T31">
        <f>HYPERLINK("https://klasma.github.io/Logging_2132/kartor/A 33614-2023 karta.png", "A 33614-2023")</f>
        <v/>
      </c>
      <c r="V31">
        <f>HYPERLINK("https://klasma.github.io/Logging_2132/klagomål/A 33614-2023 FSC-klagomål.docx", "A 33614-2023")</f>
        <v/>
      </c>
      <c r="W31">
        <f>HYPERLINK("https://klasma.github.io/Logging_2132/klagomålsmail/A 33614-2023 FSC-klagomål mail.docx", "A 33614-2023")</f>
        <v/>
      </c>
      <c r="X31">
        <f>HYPERLINK("https://klasma.github.io/Logging_2132/tillsyn/A 33614-2023 tillsynsbegäran.docx", "A 33614-2023")</f>
        <v/>
      </c>
      <c r="Y31">
        <f>HYPERLINK("https://klasma.github.io/Logging_2132/tillsynsmail/A 33614-2023 tillsynsbegäran mail.docx", "A 33614-2023")</f>
        <v/>
      </c>
    </row>
    <row r="32" ht="15" customHeight="1">
      <c r="A32" t="inlineStr">
        <is>
          <t>A 41221-2023</t>
        </is>
      </c>
      <c r="B32" s="1" t="n">
        <v>45174</v>
      </c>
      <c r="C32" s="1" t="n">
        <v>45846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13.1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Dropptaggsvamp</t>
        </is>
      </c>
      <c r="S32">
        <f>HYPERLINK("https://klasma.github.io/Logging_2132/artfynd/A 41221-2023 artfynd.xlsx", "A 41221-2023")</f>
        <v/>
      </c>
      <c r="T32">
        <f>HYPERLINK("https://klasma.github.io/Logging_2132/kartor/A 41221-2023 karta.png", "A 41221-2023")</f>
        <v/>
      </c>
      <c r="V32">
        <f>HYPERLINK("https://klasma.github.io/Logging_2132/klagomål/A 41221-2023 FSC-klagomål.docx", "A 41221-2023")</f>
        <v/>
      </c>
      <c r="W32">
        <f>HYPERLINK("https://klasma.github.io/Logging_2132/klagomålsmail/A 41221-2023 FSC-klagomål mail.docx", "A 41221-2023")</f>
        <v/>
      </c>
      <c r="X32">
        <f>HYPERLINK("https://klasma.github.io/Logging_2132/tillsyn/A 41221-2023 tillsynsbegäran.docx", "A 41221-2023")</f>
        <v/>
      </c>
      <c r="Y32">
        <f>HYPERLINK("https://klasma.github.io/Logging_2132/tillsynsmail/A 41221-2023 tillsynsbegäran mail.docx", "A 41221-2023")</f>
        <v/>
      </c>
    </row>
    <row r="33" ht="15" customHeight="1">
      <c r="A33" t="inlineStr">
        <is>
          <t>A 60875-2023</t>
        </is>
      </c>
      <c r="B33" s="1" t="n">
        <v>45261</v>
      </c>
      <c r="C33" s="1" t="n">
        <v>45846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Skogshakmossa
Strutbräken</t>
        </is>
      </c>
      <c r="S33">
        <f>HYPERLINK("https://klasma.github.io/Logging_2132/artfynd/A 60875-2023 artfynd.xlsx", "A 60875-2023")</f>
        <v/>
      </c>
      <c r="T33">
        <f>HYPERLINK("https://klasma.github.io/Logging_2132/kartor/A 60875-2023 karta.png", "A 60875-2023")</f>
        <v/>
      </c>
      <c r="V33">
        <f>HYPERLINK("https://klasma.github.io/Logging_2132/klagomål/A 60875-2023 FSC-klagomål.docx", "A 60875-2023")</f>
        <v/>
      </c>
      <c r="W33">
        <f>HYPERLINK("https://klasma.github.io/Logging_2132/klagomålsmail/A 60875-2023 FSC-klagomål mail.docx", "A 60875-2023")</f>
        <v/>
      </c>
      <c r="X33">
        <f>HYPERLINK("https://klasma.github.io/Logging_2132/tillsyn/A 60875-2023 tillsynsbegäran.docx", "A 60875-2023")</f>
        <v/>
      </c>
      <c r="Y33">
        <f>HYPERLINK("https://klasma.github.io/Logging_2132/tillsynsmail/A 60875-2023 tillsynsbegäran mail.docx", "A 60875-2023")</f>
        <v/>
      </c>
    </row>
    <row r="34" ht="15" customHeight="1">
      <c r="A34" t="inlineStr">
        <is>
          <t>A 21192-2024</t>
        </is>
      </c>
      <c r="B34" s="1" t="n">
        <v>45440</v>
      </c>
      <c r="C34" s="1" t="n">
        <v>45846</v>
      </c>
      <c r="D34" t="inlineStr">
        <is>
          <t>GÄVLEBORGS LÄN</t>
        </is>
      </c>
      <c r="E34" t="inlineStr">
        <is>
          <t>NORDANSTIG</t>
        </is>
      </c>
      <c r="G34" t="n">
        <v>11.7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21192-2024 artfynd.xlsx", "A 21192-2024")</f>
        <v/>
      </c>
      <c r="T34">
        <f>HYPERLINK("https://klasma.github.io/Logging_2132/kartor/A 21192-2024 karta.png", "A 21192-2024")</f>
        <v/>
      </c>
      <c r="V34">
        <f>HYPERLINK("https://klasma.github.io/Logging_2132/klagomål/A 21192-2024 FSC-klagomål.docx", "A 21192-2024")</f>
        <v/>
      </c>
      <c r="W34">
        <f>HYPERLINK("https://klasma.github.io/Logging_2132/klagomålsmail/A 21192-2024 FSC-klagomål mail.docx", "A 21192-2024")</f>
        <v/>
      </c>
      <c r="X34">
        <f>HYPERLINK("https://klasma.github.io/Logging_2132/tillsyn/A 21192-2024 tillsynsbegäran.docx", "A 21192-2024")</f>
        <v/>
      </c>
      <c r="Y34">
        <f>HYPERLINK("https://klasma.github.io/Logging_2132/tillsynsmail/A 21192-2024 tillsynsbegäran mail.docx", "A 21192-2024")</f>
        <v/>
      </c>
    </row>
    <row r="35" ht="15" customHeight="1">
      <c r="A35" t="inlineStr">
        <is>
          <t>A 31053-2024</t>
        </is>
      </c>
      <c r="B35" s="1" t="n">
        <v>45502</v>
      </c>
      <c r="C35" s="1" t="n">
        <v>45846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Smal svampklubba
Fläcknycklar</t>
        </is>
      </c>
      <c r="S35">
        <f>HYPERLINK("https://klasma.github.io/Logging_2132/artfynd/A 31053-2024 artfynd.xlsx", "A 31053-2024")</f>
        <v/>
      </c>
      <c r="T35">
        <f>HYPERLINK("https://klasma.github.io/Logging_2132/kartor/A 31053-2024 karta.png", "A 31053-2024")</f>
        <v/>
      </c>
      <c r="V35">
        <f>HYPERLINK("https://klasma.github.io/Logging_2132/klagomål/A 31053-2024 FSC-klagomål.docx", "A 31053-2024")</f>
        <v/>
      </c>
      <c r="W35">
        <f>HYPERLINK("https://klasma.github.io/Logging_2132/klagomålsmail/A 31053-2024 FSC-klagomål mail.docx", "A 31053-2024")</f>
        <v/>
      </c>
      <c r="X35">
        <f>HYPERLINK("https://klasma.github.io/Logging_2132/tillsyn/A 31053-2024 tillsynsbegäran.docx", "A 31053-2024")</f>
        <v/>
      </c>
      <c r="Y35">
        <f>HYPERLINK("https://klasma.github.io/Logging_2132/tillsynsmail/A 31053-2024 tillsynsbegäran mail.docx", "A 31053-2024")</f>
        <v/>
      </c>
    </row>
    <row r="36" ht="15" customHeight="1">
      <c r="A36" t="inlineStr">
        <is>
          <t>A 36310-2024</t>
        </is>
      </c>
      <c r="B36" s="1" t="n">
        <v>45534</v>
      </c>
      <c r="C36" s="1" t="n">
        <v>45846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Nästlav
Revlummer</t>
        </is>
      </c>
      <c r="S36">
        <f>HYPERLINK("https://klasma.github.io/Logging_2132/artfynd/A 36310-2024 artfynd.xlsx", "A 36310-2024")</f>
        <v/>
      </c>
      <c r="T36">
        <f>HYPERLINK("https://klasma.github.io/Logging_2132/kartor/A 36310-2024 karta.png", "A 36310-2024")</f>
        <v/>
      </c>
      <c r="V36">
        <f>HYPERLINK("https://klasma.github.io/Logging_2132/klagomål/A 36310-2024 FSC-klagomål.docx", "A 36310-2024")</f>
        <v/>
      </c>
      <c r="W36">
        <f>HYPERLINK("https://klasma.github.io/Logging_2132/klagomålsmail/A 36310-2024 FSC-klagomål mail.docx", "A 36310-2024")</f>
        <v/>
      </c>
      <c r="X36">
        <f>HYPERLINK("https://klasma.github.io/Logging_2132/tillsyn/A 36310-2024 tillsynsbegäran.docx", "A 36310-2024")</f>
        <v/>
      </c>
      <c r="Y36">
        <f>HYPERLINK("https://klasma.github.io/Logging_2132/tillsynsmail/A 36310-2024 tillsynsbegäran mail.docx", "A 36310-2024")</f>
        <v/>
      </c>
    </row>
    <row r="37" ht="15" customHeight="1">
      <c r="A37" t="inlineStr">
        <is>
          <t>A 4601-2025</t>
        </is>
      </c>
      <c r="B37" s="1" t="n">
        <v>45687</v>
      </c>
      <c r="C37" s="1" t="n">
        <v>45846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Rödvingetrast</t>
        </is>
      </c>
      <c r="S37">
        <f>HYPERLINK("https://klasma.github.io/Logging_2132/artfynd/A 4601-2025 artfynd.xlsx", "A 4601-2025")</f>
        <v/>
      </c>
      <c r="T37">
        <f>HYPERLINK("https://klasma.github.io/Logging_2132/kartor/A 4601-2025 karta.png", "A 4601-2025")</f>
        <v/>
      </c>
      <c r="V37">
        <f>HYPERLINK("https://klasma.github.io/Logging_2132/klagomål/A 4601-2025 FSC-klagomål.docx", "A 4601-2025")</f>
        <v/>
      </c>
      <c r="W37">
        <f>HYPERLINK("https://klasma.github.io/Logging_2132/klagomålsmail/A 4601-2025 FSC-klagomål mail.docx", "A 4601-2025")</f>
        <v/>
      </c>
      <c r="X37">
        <f>HYPERLINK("https://klasma.github.io/Logging_2132/tillsyn/A 4601-2025 tillsynsbegäran.docx", "A 4601-2025")</f>
        <v/>
      </c>
      <c r="Y37">
        <f>HYPERLINK("https://klasma.github.io/Logging_2132/tillsynsmail/A 4601-2025 tillsynsbegäran mail.docx", "A 4601-2025")</f>
        <v/>
      </c>
      <c r="Z37">
        <f>HYPERLINK("https://klasma.github.io/Logging_2132/fåglar/A 4601-2025 prioriterade fågelarter.docx", "A 4601-2025")</f>
        <v/>
      </c>
    </row>
    <row r="38" ht="15" customHeight="1">
      <c r="A38" t="inlineStr">
        <is>
          <t>A 41576-2019</t>
        </is>
      </c>
      <c r="B38" s="1" t="n">
        <v>43699</v>
      </c>
      <c r="C38" s="1" t="n">
        <v>45846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41576-2019 artfynd.xlsx", "A 41576-2019")</f>
        <v/>
      </c>
      <c r="T38">
        <f>HYPERLINK("https://klasma.github.io/Logging_2132/kartor/A 41576-2019 karta.png", "A 41576-2019")</f>
        <v/>
      </c>
      <c r="V38">
        <f>HYPERLINK("https://klasma.github.io/Logging_2132/klagomål/A 41576-2019 FSC-klagomål.docx", "A 41576-2019")</f>
        <v/>
      </c>
      <c r="W38">
        <f>HYPERLINK("https://klasma.github.io/Logging_2132/klagomålsmail/A 41576-2019 FSC-klagomål mail.docx", "A 41576-2019")</f>
        <v/>
      </c>
      <c r="X38">
        <f>HYPERLINK("https://klasma.github.io/Logging_2132/tillsyn/A 41576-2019 tillsynsbegäran.docx", "A 41576-2019")</f>
        <v/>
      </c>
      <c r="Y38">
        <f>HYPERLINK("https://klasma.github.io/Logging_2132/tillsynsmail/A 41576-2019 tillsynsbegäran mail.docx", "A 41576-2019")</f>
        <v/>
      </c>
    </row>
    <row r="39" ht="15" customHeight="1">
      <c r="A39" t="inlineStr">
        <is>
          <t>A 68915-2019</t>
        </is>
      </c>
      <c r="B39" s="1" t="n">
        <v>43822</v>
      </c>
      <c r="C39" s="1" t="n">
        <v>45846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Långskägg</t>
        </is>
      </c>
      <c r="S39">
        <f>HYPERLINK("https://klasma.github.io/Logging_2132/artfynd/A 68915-2019 artfynd.xlsx", "A 68915-2019")</f>
        <v/>
      </c>
      <c r="T39">
        <f>HYPERLINK("https://klasma.github.io/Logging_2132/kartor/A 68915-2019 karta.png", "A 68915-2019")</f>
        <v/>
      </c>
      <c r="V39">
        <f>HYPERLINK("https://klasma.github.io/Logging_2132/klagomål/A 68915-2019 FSC-klagomål.docx", "A 68915-2019")</f>
        <v/>
      </c>
      <c r="W39">
        <f>HYPERLINK("https://klasma.github.io/Logging_2132/klagomålsmail/A 68915-2019 FSC-klagomål mail.docx", "A 68915-2019")</f>
        <v/>
      </c>
      <c r="X39">
        <f>HYPERLINK("https://klasma.github.io/Logging_2132/tillsyn/A 68915-2019 tillsynsbegäran.docx", "A 68915-2019")</f>
        <v/>
      </c>
      <c r="Y39">
        <f>HYPERLINK("https://klasma.github.io/Logging_2132/tillsynsmail/A 68915-2019 tillsynsbegäran mail.docx", "A 68915-2019")</f>
        <v/>
      </c>
    </row>
    <row r="40" ht="15" customHeight="1">
      <c r="A40" t="inlineStr">
        <is>
          <t>A 10186-2020</t>
        </is>
      </c>
      <c r="B40" s="1" t="n">
        <v>43885</v>
      </c>
      <c r="C40" s="1" t="n">
        <v>45846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Aspskinn</t>
        </is>
      </c>
      <c r="S40">
        <f>HYPERLINK("https://klasma.github.io/Logging_2132/artfynd/A 10186-2020 artfynd.xlsx", "A 10186-2020")</f>
        <v/>
      </c>
      <c r="T40">
        <f>HYPERLINK("https://klasma.github.io/Logging_2132/kartor/A 10186-2020 karta.png", "A 10186-2020")</f>
        <v/>
      </c>
      <c r="V40">
        <f>HYPERLINK("https://klasma.github.io/Logging_2132/klagomål/A 10186-2020 FSC-klagomål.docx", "A 10186-2020")</f>
        <v/>
      </c>
      <c r="W40">
        <f>HYPERLINK("https://klasma.github.io/Logging_2132/klagomålsmail/A 10186-2020 FSC-klagomål mail.docx", "A 10186-2020")</f>
        <v/>
      </c>
      <c r="X40">
        <f>HYPERLINK("https://klasma.github.io/Logging_2132/tillsyn/A 10186-2020 tillsynsbegäran.docx", "A 10186-2020")</f>
        <v/>
      </c>
      <c r="Y40">
        <f>HYPERLINK("https://klasma.github.io/Logging_2132/tillsynsmail/A 10186-2020 tillsynsbegäran mail.docx", "A 10186-2020")</f>
        <v/>
      </c>
    </row>
    <row r="41" ht="15" customHeight="1">
      <c r="A41" t="inlineStr">
        <is>
          <t>A 24126-2020</t>
        </is>
      </c>
      <c r="B41" s="1" t="n">
        <v>43973</v>
      </c>
      <c r="C41" s="1" t="n">
        <v>45846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24126-2020 artfynd.xlsx", "A 24126-2020")</f>
        <v/>
      </c>
      <c r="T41">
        <f>HYPERLINK("https://klasma.github.io/Logging_2132/kartor/A 24126-2020 karta.png", "A 24126-2020")</f>
        <v/>
      </c>
      <c r="V41">
        <f>HYPERLINK("https://klasma.github.io/Logging_2132/klagomål/A 24126-2020 FSC-klagomål.docx", "A 24126-2020")</f>
        <v/>
      </c>
      <c r="W41">
        <f>HYPERLINK("https://klasma.github.io/Logging_2132/klagomålsmail/A 24126-2020 FSC-klagomål mail.docx", "A 24126-2020")</f>
        <v/>
      </c>
      <c r="X41">
        <f>HYPERLINK("https://klasma.github.io/Logging_2132/tillsyn/A 24126-2020 tillsynsbegäran.docx", "A 24126-2020")</f>
        <v/>
      </c>
      <c r="Y41">
        <f>HYPERLINK("https://klasma.github.io/Logging_2132/tillsynsmail/A 24126-2020 tillsynsbegäran mail.docx", "A 24126-2020")</f>
        <v/>
      </c>
    </row>
    <row r="42" ht="15" customHeight="1">
      <c r="A42" t="inlineStr">
        <is>
          <t>A 58828-2021</t>
        </is>
      </c>
      <c r="B42" s="1" t="n">
        <v>44489</v>
      </c>
      <c r="C42" s="1" t="n">
        <v>45846</v>
      </c>
      <c r="D42" t="inlineStr">
        <is>
          <t>GÄVLEBORGS LÄN</t>
        </is>
      </c>
      <c r="E42" t="inlineStr">
        <is>
          <t>NORDANSTIG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58828-2021 artfynd.xlsx", "A 58828-2021")</f>
        <v/>
      </c>
      <c r="T42">
        <f>HYPERLINK("https://klasma.github.io/Logging_2132/kartor/A 58828-2021 karta.png", "A 58828-2021")</f>
        <v/>
      </c>
      <c r="V42">
        <f>HYPERLINK("https://klasma.github.io/Logging_2132/klagomål/A 58828-2021 FSC-klagomål.docx", "A 58828-2021")</f>
        <v/>
      </c>
      <c r="W42">
        <f>HYPERLINK("https://klasma.github.io/Logging_2132/klagomålsmail/A 58828-2021 FSC-klagomål mail.docx", "A 58828-2021")</f>
        <v/>
      </c>
      <c r="X42">
        <f>HYPERLINK("https://klasma.github.io/Logging_2132/tillsyn/A 58828-2021 tillsynsbegäran.docx", "A 58828-2021")</f>
        <v/>
      </c>
      <c r="Y42">
        <f>HYPERLINK("https://klasma.github.io/Logging_2132/tillsynsmail/A 58828-2021 tillsynsbegäran mail.docx", "A 58828-2021")</f>
        <v/>
      </c>
    </row>
    <row r="43" ht="15" customHeight="1">
      <c r="A43" t="inlineStr">
        <is>
          <t>A 16809-2022</t>
        </is>
      </c>
      <c r="B43" s="1" t="n">
        <v>44673</v>
      </c>
      <c r="C43" s="1" t="n">
        <v>45846</v>
      </c>
      <c r="D43" t="inlineStr">
        <is>
          <t>GÄVLEBORGS LÄN</t>
        </is>
      </c>
      <c r="E43" t="inlineStr">
        <is>
          <t>NORDANSTIG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HYPERLINK("https://klasma.github.io/Logging_2132/artfynd/A 16809-2022 artfynd.xlsx", "A 16809-2022")</f>
        <v/>
      </c>
      <c r="T43">
        <f>HYPERLINK("https://klasma.github.io/Logging_2132/kartor/A 16809-2022 karta.png", "A 16809-2022")</f>
        <v/>
      </c>
      <c r="V43">
        <f>HYPERLINK("https://klasma.github.io/Logging_2132/klagomål/A 16809-2022 FSC-klagomål.docx", "A 16809-2022")</f>
        <v/>
      </c>
      <c r="W43">
        <f>HYPERLINK("https://klasma.github.io/Logging_2132/klagomålsmail/A 16809-2022 FSC-klagomål mail.docx", "A 16809-2022")</f>
        <v/>
      </c>
      <c r="X43">
        <f>HYPERLINK("https://klasma.github.io/Logging_2132/tillsyn/A 16809-2022 tillsynsbegäran.docx", "A 16809-2022")</f>
        <v/>
      </c>
      <c r="Y43">
        <f>HYPERLINK("https://klasma.github.io/Logging_2132/tillsynsmail/A 16809-2022 tillsynsbegäran mail.docx", "A 16809-2022")</f>
        <v/>
      </c>
    </row>
    <row r="44" ht="15" customHeight="1">
      <c r="A44" t="inlineStr">
        <is>
          <t>A 20782-2022</t>
        </is>
      </c>
      <c r="B44" s="1" t="n">
        <v>44701</v>
      </c>
      <c r="C44" s="1" t="n">
        <v>45846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20782-2022 artfynd.xlsx", "A 20782-2022")</f>
        <v/>
      </c>
      <c r="T44">
        <f>HYPERLINK("https://klasma.github.io/Logging_2132/kartor/A 20782-2022 karta.png", "A 20782-2022")</f>
        <v/>
      </c>
      <c r="U44">
        <f>HYPERLINK("https://klasma.github.io/Logging_2132/knärot/A 20782-2022 karta knärot.png", "A 20782-2022")</f>
        <v/>
      </c>
      <c r="V44">
        <f>HYPERLINK("https://klasma.github.io/Logging_2132/klagomål/A 20782-2022 FSC-klagomål.docx", "A 20782-2022")</f>
        <v/>
      </c>
      <c r="W44">
        <f>HYPERLINK("https://klasma.github.io/Logging_2132/klagomålsmail/A 20782-2022 FSC-klagomål mail.docx", "A 20782-2022")</f>
        <v/>
      </c>
      <c r="X44">
        <f>HYPERLINK("https://klasma.github.io/Logging_2132/tillsyn/A 20782-2022 tillsynsbegäran.docx", "A 20782-2022")</f>
        <v/>
      </c>
      <c r="Y44">
        <f>HYPERLINK("https://klasma.github.io/Logging_2132/tillsynsmail/A 20782-2022 tillsynsbegäran mail.docx", "A 20782-2022")</f>
        <v/>
      </c>
    </row>
    <row r="45" ht="15" customHeight="1">
      <c r="A45" t="inlineStr">
        <is>
          <t>A 38159-2022</t>
        </is>
      </c>
      <c r="B45" s="1" t="n">
        <v>44812</v>
      </c>
      <c r="C45" s="1" t="n">
        <v>45846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45846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45846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45846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45846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45846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45846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45846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45846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45846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45846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45846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45846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45846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45846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45846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45846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45846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45846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45846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45846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45846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45846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45846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45846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45846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45846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45846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45846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45846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45846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45846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45846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45846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45846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45846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45846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45846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45846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45846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45846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45846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45846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45846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45846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45846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45846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45846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45846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45846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45846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45846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45846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45846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45846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45846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45846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45846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45846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45846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45846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45846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45846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45846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45846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45846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45846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45846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45846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45846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45846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45846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45846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45846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45846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45846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45846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45846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45846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45846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45846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45846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45846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45846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45846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45846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45846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45846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45846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45846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45846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45846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45846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45846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45846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45846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45846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45846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45846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45846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45846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45846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45846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45846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45846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45846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45846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45846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45846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45846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45846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45846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45846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45846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45846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45846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45846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45846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45846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45846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45846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45846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45846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45846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45846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45846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45846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45846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45846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45846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45846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45846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45846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45846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45846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45846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45846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45846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45846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45846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45846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45846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45846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45846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45846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45846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45846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45846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45846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45846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45846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45846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45846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45846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45846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45846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45846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45846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45846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45846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45846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45846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45846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45846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45846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45846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45846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45846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45846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45846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45846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45846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45846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45846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45846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45846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45846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45846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45846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45846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45846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45846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45846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45846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45846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45846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45846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45846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45846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45846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45846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45846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45846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45846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45846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45846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45846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45846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45846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45846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45846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45846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45846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45846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45846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45846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45846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45846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45846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45846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45846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45846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45846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45846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45846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45846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45846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45846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45846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45846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45846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45846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45846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45846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45846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45846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45846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45846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45846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45846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45846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45846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45846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45846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45846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45846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45846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45846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45846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45846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45846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45846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45846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45846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45846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45846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45846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45846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45846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45846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45846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45846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45846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45846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45846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45846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45846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45846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45846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45846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45846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45846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45846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45846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45846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45846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45846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45846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45846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45846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45846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45846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45846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45846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45846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45846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45846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45846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45846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45846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45846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45846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45846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45846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45846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45846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45846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45846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45846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45846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45846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45846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45846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45846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45846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45846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45846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45846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45846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45846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45846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45846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45846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45846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45846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45846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45846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45846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45846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45846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45846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45846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45846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45846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45846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45846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45846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45846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45846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45846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45846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45846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45846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45846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45846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45846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45846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45846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45846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45846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45846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45846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45846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45846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45846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45846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45846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45846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45846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45846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45846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45846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45846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45846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45846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45846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45846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45846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45846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45846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45846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45846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45846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45846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45846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45846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45846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45846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45846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45846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45846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45846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45846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45846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45846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45846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45846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45846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45846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45846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45846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45846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45846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45846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45846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45846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45846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45846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45846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45846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45846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45846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45846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45846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45846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45846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45846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45846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45846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45846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45846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45846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45846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45846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45846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45846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45846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45846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45846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45846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45846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45846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45846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45846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45846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45846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45846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45846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45846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45846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45846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45846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45846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45846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45846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45846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45846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45846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45846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45846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45846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45846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45846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45846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45846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45846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45846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45846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45846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45846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45846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45846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45846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45846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45846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45846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45846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45846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45846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45846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45846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45846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45846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45846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45846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45846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45846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45846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45846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45846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45846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45846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45846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45846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45846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45846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45846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45846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45846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45846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45846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45846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45846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45846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45846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45846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45846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45846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45846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45846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45846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45846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45846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45846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45846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45846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45846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45846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45846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45846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45846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45846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45846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45846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45846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45846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45846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45846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45846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45846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45846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45846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45846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45846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45846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45846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45846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45846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45846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45846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45846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45846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45846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45846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45846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45846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45846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45846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45846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45846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45846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45846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45846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45846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45846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45846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45846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45846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45846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45846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45846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45846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45846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45846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45846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45846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45846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45846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45846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45846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45846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45846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45846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45846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45846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45846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45846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45846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45846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45846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45846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45846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45846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45846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45846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45846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45846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45846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45846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45846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45846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45846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45846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45846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45846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45846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45846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45846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45846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45846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45846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45846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45846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45846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45846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45846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45846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45846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45846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45846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45846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45846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45846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45846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45846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45846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45846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45846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45846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45846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45846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45846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45846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45846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45846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45846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45846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45846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45846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45846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45846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45846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45846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45846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45846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45846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45846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45846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45846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45846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45846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45846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45846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45846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45846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45846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45846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45846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45846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45846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45846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45846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45846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45846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45846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45846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45846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45846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45846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45846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45846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45846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45846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45846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45846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45846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45846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45846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45846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45846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45846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45846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45846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45846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45846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45846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45846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45846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45846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45846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45846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45846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45846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45846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45846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45846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45846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45846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45846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45846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45846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45846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45846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45846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45846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45846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45846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45846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45846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45846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45846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45846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45846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45846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45846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45846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45846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45846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45846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45846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45846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45846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45846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45846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45846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45846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45846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45846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45846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45846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45846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45846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45846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45846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45846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45846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45846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45846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45846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45846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45846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45846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45846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45846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45846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45846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45846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45846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45846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45846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45846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45846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45846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45846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45846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45846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45846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45846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45846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45846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45846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45846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45846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45846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45846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45846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45846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45846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45846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45846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45846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45846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45846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45846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45846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45846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45846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45846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45846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45846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45846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45846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45846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45846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45846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45846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45846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45846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45846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45846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45846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45846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45846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45846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45846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45846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45846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45846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45846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45846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45846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45846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45846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45846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45846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45846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45846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45846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45846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45846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45846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45846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45846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45846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45846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45846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45846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45846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45846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45846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45846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45846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45846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45846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45846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45846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45846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45846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45846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45846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45846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45846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45846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45846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45846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45846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45846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45846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45846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45846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45846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45846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45846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45846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45846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45846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45846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45846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45846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45846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45846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45846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45846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45846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45846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45846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45846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45846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45846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45846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45846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45846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45846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45846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45846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45846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45846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45846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45846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45846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45846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45846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45846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45846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45846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45846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45846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45846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45846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45846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45846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45846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45846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45846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45846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45846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45846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45846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45846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45846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45846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45846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45846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45846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45846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45846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45846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45846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45846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45846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45846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45846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45846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45846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45846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45846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45846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45846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45846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45846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45846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45846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45846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45846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45846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45846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45846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45846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45846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45846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45846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45846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45846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45846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45846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45846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45846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45846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45846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45846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45846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45846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45846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45846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45846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45846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45846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45846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45846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45846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45846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45846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45846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45846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45846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45846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45846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45846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45846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45846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45846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45846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45846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45846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45846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45846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45846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45846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45846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45846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45846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45846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45846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45846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45846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45846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45846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45846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45846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45846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45846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45846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45846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45846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45846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45846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45846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45846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45846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45846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45846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45846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45846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45846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45846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45846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45846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45846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45846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45846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45846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45846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45846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45846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45846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45846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45846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45846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45846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45846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45846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45846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45846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45846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45846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45846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45846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45846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45846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45846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45846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45846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45846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45846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45846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45846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45846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45846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45846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45846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45846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45846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45846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45846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45846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45846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45846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45846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45846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45846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45846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45846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45846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45846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45846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45846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45846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45846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45846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45846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45846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45846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45846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45846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45846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45846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45846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45846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45846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45846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45846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45846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45846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45846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45846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45846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45846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45846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45846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45846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45846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45846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45846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45846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45846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45846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45846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45846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45846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45846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45846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45846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45846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45846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45846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45846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45846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45846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45846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45846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45846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45846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45846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45846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45846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45846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45846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45846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45846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45846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45846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45846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45846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45846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45846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45846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45846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45846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45846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45846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45846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45846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45846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45846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45846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45846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45846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45846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45846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45846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45846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45846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45846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45846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45846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45846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45846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45846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45846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45846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45846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45846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45846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45846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45846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45846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45846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45846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45846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45846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45846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45846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45846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45846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45846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45846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45846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45846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45846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45846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45846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45846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45846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45846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45846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45846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45846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45846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45846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45846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45846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45846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45846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45846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45846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45846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45846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45846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45846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45846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45846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45846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45846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45846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45846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45846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45846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45846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45846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45846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45846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45846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45846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45846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45846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45846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45846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45846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45846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45846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45846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45846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45846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45846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45846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45846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45846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45846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45846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45846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45846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45846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45846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45846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45846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45846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45846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45846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45846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45846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45846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45846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45846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45846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45846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45846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45846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45846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45846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45846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45846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45846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45846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45846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45846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45846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45846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45846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45846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45846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45846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45846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45846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45846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45846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45846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45846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45846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45846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45846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45846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45846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45846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45846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45846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45846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45846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45846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45846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45846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45846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45846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45846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45846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45846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45846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45846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45846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45846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45846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45846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45846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45846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45846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45846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45846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45846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45846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45846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45846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45846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45846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45846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45846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45846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45846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45846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45846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45846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45846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45846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45846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45846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45846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45846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45846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45846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45846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45846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45846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45846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45846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45846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45846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45846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45846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45846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45846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45846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45846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45846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45846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45846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45846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45846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45846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45846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45846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45846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45846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45846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45846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45846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45846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45846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45846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45846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45846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45846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45846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45846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45846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45846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45846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45846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45846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45846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45846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45846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45846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45846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45846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45846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45846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45846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45846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45846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45846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45846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45846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45846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45846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45846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45846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45846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45846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45846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45846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45846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45846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45846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45846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45846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45846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45846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45846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45846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45846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45846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45846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45846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45846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45846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45846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45846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45846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45846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45846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45846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45846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45846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45846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45846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45846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45846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45846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45846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45846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45846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45846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45846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45846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45846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45846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45846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45846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45846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45846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45846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45846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45846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45846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45846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45846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45846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45846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45846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45846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45846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45846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45846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45846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45846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45846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45846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45846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45846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45846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45846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45846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45846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45846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45846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45846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45846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45846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45846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45846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45846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45846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45846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45846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45846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45846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45846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45846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45846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45846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45846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45846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45846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45846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45846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45846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45846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45846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45846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45846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45846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45846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45846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45846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45846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45846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45846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45846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45846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45846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45846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45846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45846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45846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45846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45846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45846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45846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45846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45846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45846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45846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45846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45846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45846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45846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45846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45846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45846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45846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45846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45846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45846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45846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45846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45846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45846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45846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45846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45846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45846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45846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45846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45846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45846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45846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45846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45846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45846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45846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45846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45846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45846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45846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45846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45846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45846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45846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45846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45846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45846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45846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45846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45846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45846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45846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45846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45846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45846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45846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45846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45846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45846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45846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45846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45846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45846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45846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45846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45846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45846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45846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45846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45846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45846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45846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45846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45846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45846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45846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45846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45846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45846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45846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45846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45846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45846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45846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45846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45846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45846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45846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45846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45846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45846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45846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45846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27894-2025</t>
        </is>
      </c>
      <c r="B1530" s="1" t="n">
        <v>45817</v>
      </c>
      <c r="C1530" s="1" t="n">
        <v>45846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27841-2025</t>
        </is>
      </c>
      <c r="B1531" s="1" t="n">
        <v>45817</v>
      </c>
      <c r="C1531" s="1" t="n">
        <v>45846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14.2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45846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28238-2025</t>
        </is>
      </c>
      <c r="B1533" s="1" t="n">
        <v>45818</v>
      </c>
      <c r="C1533" s="1" t="n">
        <v>45846</v>
      </c>
      <c r="D1533" t="inlineStr">
        <is>
          <t>GÄVLEBORGS LÄN</t>
        </is>
      </c>
      <c r="E1533" t="inlineStr">
        <is>
          <t>NORDANSTIG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28241-2025</t>
        </is>
      </c>
      <c r="B1534" s="1" t="n">
        <v>45818</v>
      </c>
      <c r="C1534" s="1" t="n">
        <v>45846</v>
      </c>
      <c r="D1534" t="inlineStr">
        <is>
          <t>GÄVLEBORGS LÄN</t>
        </is>
      </c>
      <c r="E1534" t="inlineStr">
        <is>
          <t>NORDANSTIG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28236-2025</t>
        </is>
      </c>
      <c r="B1535" s="1" t="n">
        <v>45818</v>
      </c>
      <c r="C1535" s="1" t="n">
        <v>45846</v>
      </c>
      <c r="D1535" t="inlineStr">
        <is>
          <t>GÄVLEBORGS LÄN</t>
        </is>
      </c>
      <c r="E1535" t="inlineStr">
        <is>
          <t>NORDANSTIG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28244-2025</t>
        </is>
      </c>
      <c r="B1536" s="1" t="n">
        <v>45818</v>
      </c>
      <c r="C1536" s="1" t="n">
        <v>45846</v>
      </c>
      <c r="D1536" t="inlineStr">
        <is>
          <t>GÄVLEBORGS LÄN</t>
        </is>
      </c>
      <c r="E1536" t="inlineStr">
        <is>
          <t>NORDANSTIG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28245-2025</t>
        </is>
      </c>
      <c r="B1537" s="1" t="n">
        <v>45818</v>
      </c>
      <c r="C1537" s="1" t="n">
        <v>45846</v>
      </c>
      <c r="D1537" t="inlineStr">
        <is>
          <t>GÄVLEBORGS LÄN</t>
        </is>
      </c>
      <c r="E1537" t="inlineStr">
        <is>
          <t>NORDANSTIG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45846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45846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45846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45846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45846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45846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30448-2025</t>
        </is>
      </c>
      <c r="B1544" s="1" t="n">
        <v>45827</v>
      </c>
      <c r="C1544" s="1" t="n">
        <v>45846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30445-2025</t>
        </is>
      </c>
      <c r="B1545" s="1" t="n">
        <v>45827</v>
      </c>
      <c r="C1545" s="1" t="n">
        <v>45846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30291-2025</t>
        </is>
      </c>
      <c r="B1546" s="1" t="n">
        <v>45827</v>
      </c>
      <c r="C1546" s="1" t="n">
        <v>45846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30400-2025</t>
        </is>
      </c>
      <c r="B1547" s="1" t="n">
        <v>45827</v>
      </c>
      <c r="C1547" s="1" t="n">
        <v>45846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30870-2025</t>
        </is>
      </c>
      <c r="B1548" s="1" t="n">
        <v>45832</v>
      </c>
      <c r="C1548" s="1" t="n">
        <v>45846</v>
      </c>
      <c r="D1548" t="inlineStr">
        <is>
          <t>GÄVLEBORGS LÄN</t>
        </is>
      </c>
      <c r="E1548" t="inlineStr">
        <is>
          <t>NORDANSTIG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31197-2025</t>
        </is>
      </c>
      <c r="B1549" s="1" t="n">
        <v>45832</v>
      </c>
      <c r="C1549" s="1" t="n">
        <v>45846</v>
      </c>
      <c r="D1549" t="inlineStr">
        <is>
          <t>GÄVLEBORGS LÄN</t>
        </is>
      </c>
      <c r="E1549" t="inlineStr">
        <is>
          <t>NORDANSTIG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31031-2025</t>
        </is>
      </c>
      <c r="B1550" s="1" t="n">
        <v>45832</v>
      </c>
      <c r="C1550" s="1" t="n">
        <v>45846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45846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32034-2025</t>
        </is>
      </c>
      <c r="B1552" s="1" t="n">
        <v>45835</v>
      </c>
      <c r="C1552" s="1" t="n">
        <v>45846</v>
      </c>
      <c r="D1552" t="inlineStr">
        <is>
          <t>GÄVLEBORGS LÄN</t>
        </is>
      </c>
      <c r="E1552" t="inlineStr">
        <is>
          <t>NORDANSTIG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32056-2025</t>
        </is>
      </c>
      <c r="B1553" s="1" t="n">
        <v>45835</v>
      </c>
      <c r="C1553" s="1" t="n">
        <v>45846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32105-2025</t>
        </is>
      </c>
      <c r="B1554" s="1" t="n">
        <v>45835</v>
      </c>
      <c r="C1554" s="1" t="n">
        <v>45846</v>
      </c>
      <c r="D1554" t="inlineStr">
        <is>
          <t>GÄVLEBORGS LÄN</t>
        </is>
      </c>
      <c r="E1554" t="inlineStr">
        <is>
          <t>NORDANSTIG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32082-2025</t>
        </is>
      </c>
      <c r="B1555" s="1" t="n">
        <v>45835</v>
      </c>
      <c r="C1555" s="1" t="n">
        <v>45846</v>
      </c>
      <c r="D1555" t="inlineStr">
        <is>
          <t>GÄVLEBORGS LÄN</t>
        </is>
      </c>
      <c r="E1555" t="inlineStr">
        <is>
          <t>NORDANSTIG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32092-2025</t>
        </is>
      </c>
      <c r="B1556" s="1" t="n">
        <v>45835</v>
      </c>
      <c r="C1556" s="1" t="n">
        <v>45846</v>
      </c>
      <c r="D1556" t="inlineStr">
        <is>
          <t>GÄVLEBORGS LÄN</t>
        </is>
      </c>
      <c r="E1556" t="inlineStr">
        <is>
          <t>NORDANSTIG</t>
        </is>
      </c>
      <c r="F1556" t="inlineStr">
        <is>
          <t>Holmen skog AB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45846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45846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45846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45846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33355-2025</t>
        </is>
      </c>
      <c r="B1561" s="1" t="n">
        <v>45841</v>
      </c>
      <c r="C1561" s="1" t="n">
        <v>45846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34.6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33339-2025</t>
        </is>
      </c>
      <c r="B1562" s="1" t="n">
        <v>45841</v>
      </c>
      <c r="C1562" s="1" t="n">
        <v>45846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33532-2025</t>
        </is>
      </c>
      <c r="B1563" s="1" t="n">
        <v>45841</v>
      </c>
      <c r="C1563" s="1" t="n">
        <v>45846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34240-2025</t>
        </is>
      </c>
      <c r="B1564" s="1" t="n">
        <v>45845</v>
      </c>
      <c r="C1564" s="1" t="n">
        <v>45846</v>
      </c>
      <c r="D1564" t="inlineStr">
        <is>
          <t>GÄVLEBORGS LÄN</t>
        </is>
      </c>
      <c r="E1564" t="inlineStr">
        <is>
          <t>NORDANSTIG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2025-07-08T19:51:22Z</dcterms:created>
  <dcterms:modified xmlns:dcterms="http://purl.org/dc/terms/" xmlns:xsi="http://www.w3.org/2001/XMLSchema-instance" xsi:type="dcterms:W3CDTF">2025-07-08T19:51:24Z</dcterms:modified>
</cp:coreProperties>
</file>